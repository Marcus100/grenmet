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charts/chart2.xml" ContentType="application/vnd.openxmlformats-officedocument.drawingml.chart+xml"/>
  <Override PartName="/xl/drawings/drawing2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I:\MET\CLIMATOLOGY\CL Forms\2004\"/>
    </mc:Choice>
  </mc:AlternateContent>
  <xr:revisionPtr revIDLastSave="0" documentId="13_ncr:1_{BD159C68-9506-40E4-98FA-0884BAE438AC}" xr6:coauthVersionLast="47" xr6:coauthVersionMax="47" xr10:uidLastSave="{00000000-0000-0000-0000-000000000000}"/>
  <bookViews>
    <workbookView xWindow="-120" yWindow="-120" windowWidth="29040" windowHeight="17520" tabRatio="708" firstSheet="5" activeTab="20" xr2:uid="{00000000-000D-0000-FFFF-FFFF00000000}"/>
  </bookViews>
  <sheets>
    <sheet name="2300z" sheetId="26" r:id="rId1"/>
    <sheet name="2200z" sheetId="25" r:id="rId2"/>
    <sheet name="2100z" sheetId="24" r:id="rId3"/>
    <sheet name="2000z" sheetId="23" r:id="rId4"/>
    <sheet name="1900z" sheetId="22" r:id="rId5"/>
    <sheet name="1800z" sheetId="21" r:id="rId6"/>
    <sheet name="1700z" sheetId="20" r:id="rId7"/>
    <sheet name="1600z" sheetId="19" r:id="rId8"/>
    <sheet name="1500z" sheetId="18" r:id="rId9"/>
    <sheet name="1400z" sheetId="17" r:id="rId10"/>
    <sheet name="1300z" sheetId="16" r:id="rId11"/>
    <sheet name="1200z" sheetId="15" r:id="rId12"/>
    <sheet name="CL2" sheetId="27" r:id="rId13"/>
    <sheet name="1100z" sheetId="14" r:id="rId14"/>
    <sheet name="1000z" sheetId="13" r:id="rId15"/>
    <sheet name="0900z" sheetId="28" r:id="rId16"/>
    <sheet name="0800z" sheetId="11" r:id="rId17"/>
    <sheet name="0700z" sheetId="10" r:id="rId18"/>
    <sheet name="0600z" sheetId="9" r:id="rId19"/>
    <sheet name="0500z" sheetId="8" r:id="rId20"/>
    <sheet name="0400z" sheetId="7" r:id="rId21"/>
    <sheet name="0300z" sheetId="6" r:id="rId22"/>
    <sheet name="0200z" sheetId="5" r:id="rId23"/>
    <sheet name="0100z" sheetId="4" r:id="rId24"/>
    <sheet name="0000z" sheetId="1" r:id="rId25"/>
    <sheet name="Wind rose" sheetId="29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3" i="29" l="1"/>
  <c r="AC6" i="29"/>
  <c r="AC22" i="29"/>
  <c r="AB24" i="29"/>
  <c r="AB26" i="29"/>
  <c r="AB25" i="29"/>
  <c r="AC21" i="29"/>
  <c r="AC20" i="29"/>
  <c r="AC19" i="29"/>
  <c r="AC18" i="29"/>
  <c r="AC17" i="29"/>
  <c r="AC16" i="29"/>
  <c r="AC15" i="29"/>
  <c r="AC14" i="29"/>
  <c r="AC13" i="29"/>
  <c r="AC12" i="29"/>
  <c r="AC11" i="29"/>
  <c r="AC10" i="29"/>
  <c r="AC9" i="29"/>
  <c r="AC8" i="29"/>
  <c r="AC7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M1" i="29"/>
  <c r="H1" i="29"/>
  <c r="W17" i="21"/>
  <c r="W17" i="20"/>
  <c r="W17" i="19"/>
  <c r="AA34" i="4" l="1"/>
  <c r="AA34" i="1"/>
  <c r="W38" i="16" l="1"/>
  <c r="W38" i="15"/>
  <c r="AA38" i="14"/>
  <c r="W38" i="14"/>
  <c r="AA37" i="14" l="1"/>
  <c r="AA36" i="15"/>
  <c r="W36" i="13"/>
  <c r="AA36" i="28"/>
  <c r="W36" i="9"/>
  <c r="W36" i="8"/>
  <c r="AD35" i="23"/>
  <c r="AA35" i="23"/>
  <c r="AD35" i="22"/>
  <c r="W35" i="21"/>
  <c r="AA35" i="7"/>
  <c r="AA34" i="26"/>
  <c r="AA34" i="25"/>
  <c r="AA34" i="24"/>
  <c r="AA34" i="23"/>
  <c r="AA34" i="22"/>
  <c r="AA34" i="18"/>
  <c r="AA34" i="17"/>
  <c r="AA34" i="16"/>
  <c r="W34" i="16"/>
  <c r="AA34" i="15"/>
  <c r="AA34" i="13"/>
  <c r="W33" i="17" l="1"/>
  <c r="AA33" i="14"/>
  <c r="AA31" i="14"/>
  <c r="AA29" i="11"/>
  <c r="AA27" i="21"/>
  <c r="AA27" i="18" l="1"/>
  <c r="AA28" i="13"/>
  <c r="W27" i="15"/>
  <c r="AA27" i="7"/>
  <c r="W26" i="23"/>
  <c r="W26" i="22"/>
  <c r="W26" i="21"/>
  <c r="AA21" i="23"/>
  <c r="AA21" i="22"/>
  <c r="AA21" i="20"/>
  <c r="AA21" i="18"/>
  <c r="AA21" i="13" l="1"/>
  <c r="W19" i="20" l="1"/>
  <c r="W19" i="18"/>
  <c r="BE40" i="25" l="1"/>
  <c r="AY40" i="25" s="1"/>
  <c r="AZ40" i="25" s="1"/>
  <c r="BC40" i="25"/>
  <c r="BE39" i="25"/>
  <c r="AY39" i="25" s="1"/>
  <c r="AZ39" i="25" s="1"/>
  <c r="AO39" i="25" s="1"/>
  <c r="BC39" i="25"/>
  <c r="BE38" i="25"/>
  <c r="AY38" i="25" s="1"/>
  <c r="AZ38" i="25" s="1"/>
  <c r="AO38" i="25" s="1"/>
  <c r="BC38" i="25"/>
  <c r="BE37" i="25"/>
  <c r="AY37" i="25" s="1"/>
  <c r="AZ37" i="25" s="1"/>
  <c r="AO37" i="25" s="1"/>
  <c r="BC37" i="25"/>
  <c r="BE36" i="25"/>
  <c r="AY36" i="25" s="1"/>
  <c r="AZ36" i="25" s="1"/>
  <c r="AO36" i="25" s="1"/>
  <c r="BC36" i="25"/>
  <c r="BE35" i="25"/>
  <c r="AY35" i="25" s="1"/>
  <c r="BC35" i="25"/>
  <c r="BE34" i="25"/>
  <c r="AY34" i="25" s="1"/>
  <c r="AZ34" i="25" s="1"/>
  <c r="AO34" i="25" s="1"/>
  <c r="BC34" i="25"/>
  <c r="BE33" i="25"/>
  <c r="AY33" i="25" s="1"/>
  <c r="AZ33" i="25" s="1"/>
  <c r="AO33" i="25" s="1"/>
  <c r="BC33" i="25"/>
  <c r="BE32" i="25"/>
  <c r="AY32" i="25" s="1"/>
  <c r="AZ32" i="25" s="1"/>
  <c r="AO32" i="25" s="1"/>
  <c r="BC32" i="25"/>
  <c r="BE31" i="25"/>
  <c r="AY31" i="25" s="1"/>
  <c r="BC31" i="25"/>
  <c r="BE30" i="25"/>
  <c r="AY30" i="25" s="1"/>
  <c r="AZ30" i="25" s="1"/>
  <c r="AO30" i="25" s="1"/>
  <c r="BC30" i="25"/>
  <c r="BE29" i="25"/>
  <c r="AY29" i="25" s="1"/>
  <c r="AZ29" i="25" s="1"/>
  <c r="AO29" i="25" s="1"/>
  <c r="BC29" i="25"/>
  <c r="BE28" i="25"/>
  <c r="AY28" i="25" s="1"/>
  <c r="AZ28" i="25" s="1"/>
  <c r="AO28" i="25" s="1"/>
  <c r="BC28" i="25"/>
  <c r="BE27" i="25"/>
  <c r="AY27" i="25" s="1"/>
  <c r="AZ27" i="25" s="1"/>
  <c r="AO27" i="25" s="1"/>
  <c r="BC27" i="25"/>
  <c r="BE26" i="25"/>
  <c r="AY26" i="25" s="1"/>
  <c r="AZ26" i="25" s="1"/>
  <c r="AO26" i="25" s="1"/>
  <c r="BC26" i="25"/>
  <c r="BE25" i="25"/>
  <c r="AY25" i="25" s="1"/>
  <c r="AZ25" i="25" s="1"/>
  <c r="AO25" i="25" s="1"/>
  <c r="BC25" i="25"/>
  <c r="BE24" i="25"/>
  <c r="AY24" i="25" s="1"/>
  <c r="AZ24" i="25" s="1"/>
  <c r="AO24" i="25" s="1"/>
  <c r="BC24" i="25"/>
  <c r="BE23" i="25"/>
  <c r="AY23" i="25" s="1"/>
  <c r="BC23" i="25"/>
  <c r="BE22" i="25"/>
  <c r="AY22" i="25" s="1"/>
  <c r="AZ22" i="25" s="1"/>
  <c r="AO22" i="25" s="1"/>
  <c r="BC22" i="25"/>
  <c r="BE21" i="25"/>
  <c r="AY21" i="25" s="1"/>
  <c r="AZ21" i="25" s="1"/>
  <c r="AO21" i="25" s="1"/>
  <c r="BC21" i="25"/>
  <c r="BE20" i="25"/>
  <c r="AY20" i="25" s="1"/>
  <c r="BC20" i="25"/>
  <c r="BE19" i="25"/>
  <c r="AY19" i="25" s="1"/>
  <c r="BC19" i="25"/>
  <c r="BE18" i="25"/>
  <c r="AY18" i="25" s="1"/>
  <c r="BC18" i="25"/>
  <c r="BE17" i="25"/>
  <c r="AY17" i="25" s="1"/>
  <c r="BC17" i="25"/>
  <c r="BE16" i="25"/>
  <c r="AY16" i="25" s="1"/>
  <c r="BC16" i="25"/>
  <c r="BE15" i="25"/>
  <c r="AY15" i="25" s="1"/>
  <c r="BC15" i="25"/>
  <c r="BE14" i="25"/>
  <c r="AY14" i="25" s="1"/>
  <c r="BC14" i="25"/>
  <c r="BE13" i="25"/>
  <c r="BC13" i="25"/>
  <c r="AY13" i="25"/>
  <c r="BE12" i="25"/>
  <c r="AY12" i="25" s="1"/>
  <c r="BA12" i="25" s="1"/>
  <c r="AP12" i="25" s="1"/>
  <c r="BC12" i="25"/>
  <c r="BE11" i="25"/>
  <c r="BC11" i="25"/>
  <c r="AY11" i="25"/>
  <c r="BE10" i="25"/>
  <c r="AY10" i="25" s="1"/>
  <c r="BA10" i="25" s="1"/>
  <c r="AP10" i="25" s="1"/>
  <c r="BC10" i="25"/>
  <c r="BE40" i="24"/>
  <c r="BC40" i="24"/>
  <c r="AY40" i="24"/>
  <c r="AZ40" i="24" s="1"/>
  <c r="BE39" i="24"/>
  <c r="AY39" i="24" s="1"/>
  <c r="BC39" i="24"/>
  <c r="BE38" i="24"/>
  <c r="BC38" i="24"/>
  <c r="AY38" i="24"/>
  <c r="BE37" i="24"/>
  <c r="AY37" i="24" s="1"/>
  <c r="AZ37" i="24" s="1"/>
  <c r="AO37" i="24" s="1"/>
  <c r="BC37" i="24"/>
  <c r="BE36" i="24"/>
  <c r="BC36" i="24"/>
  <c r="AY36" i="24"/>
  <c r="BE35" i="24"/>
  <c r="AY35" i="24" s="1"/>
  <c r="BC35" i="24"/>
  <c r="BE34" i="24"/>
  <c r="BC34" i="24"/>
  <c r="AY34" i="24"/>
  <c r="AZ34" i="24" s="1"/>
  <c r="AO34" i="24" s="1"/>
  <c r="BE33" i="24"/>
  <c r="AY33" i="24" s="1"/>
  <c r="AZ33" i="24" s="1"/>
  <c r="AO33" i="24" s="1"/>
  <c r="BC33" i="24"/>
  <c r="BE32" i="24"/>
  <c r="BC32" i="24"/>
  <c r="AY32" i="24"/>
  <c r="BE31" i="24"/>
  <c r="AY31" i="24" s="1"/>
  <c r="AZ31" i="24" s="1"/>
  <c r="AO31" i="24" s="1"/>
  <c r="BC31" i="24"/>
  <c r="BE30" i="24"/>
  <c r="BC30" i="24"/>
  <c r="AY30" i="24"/>
  <c r="AZ30" i="24" s="1"/>
  <c r="AO30" i="24" s="1"/>
  <c r="BE29" i="24"/>
  <c r="BC29" i="24"/>
  <c r="AY29" i="24"/>
  <c r="BE28" i="24"/>
  <c r="BC28" i="24"/>
  <c r="AY28" i="24"/>
  <c r="AZ28" i="24" s="1"/>
  <c r="AO28" i="24" s="1"/>
  <c r="BE27" i="24"/>
  <c r="BC27" i="24"/>
  <c r="AY27" i="24"/>
  <c r="BE26" i="24"/>
  <c r="BC26" i="24"/>
  <c r="AY26" i="24"/>
  <c r="AZ26" i="24" s="1"/>
  <c r="AO26" i="24" s="1"/>
  <c r="BE25" i="24"/>
  <c r="BC25" i="24"/>
  <c r="AY25" i="24"/>
  <c r="BE24" i="24"/>
  <c r="BC24" i="24"/>
  <c r="AY24" i="24"/>
  <c r="AZ24" i="24" s="1"/>
  <c r="AO24" i="24" s="1"/>
  <c r="BE23" i="24"/>
  <c r="BC23" i="24"/>
  <c r="AY23" i="24"/>
  <c r="BE22" i="24"/>
  <c r="BC22" i="24"/>
  <c r="AY22" i="24"/>
  <c r="AZ22" i="24" s="1"/>
  <c r="AO22" i="24" s="1"/>
  <c r="BE21" i="24"/>
  <c r="AY21" i="24" s="1"/>
  <c r="BC21" i="24"/>
  <c r="BE20" i="24"/>
  <c r="BC20" i="24"/>
  <c r="AY20" i="24"/>
  <c r="AZ20" i="24" s="1"/>
  <c r="AO20" i="24" s="1"/>
  <c r="BE19" i="24"/>
  <c r="BC19" i="24"/>
  <c r="AY19" i="24"/>
  <c r="BE18" i="24"/>
  <c r="BC18" i="24"/>
  <c r="AY18" i="24"/>
  <c r="AZ18" i="24" s="1"/>
  <c r="AO18" i="24" s="1"/>
  <c r="BE17" i="24"/>
  <c r="BC17" i="24"/>
  <c r="AY17" i="24"/>
  <c r="BE16" i="24"/>
  <c r="BC16" i="24"/>
  <c r="AY16" i="24"/>
  <c r="BE15" i="24"/>
  <c r="AY15" i="24" s="1"/>
  <c r="AZ15" i="24" s="1"/>
  <c r="AO15" i="24" s="1"/>
  <c r="BC15" i="24"/>
  <c r="BE14" i="24"/>
  <c r="BC14" i="24"/>
  <c r="AY14" i="24"/>
  <c r="BE13" i="24"/>
  <c r="AY13" i="24" s="1"/>
  <c r="AZ13" i="24" s="1"/>
  <c r="AO13" i="24" s="1"/>
  <c r="BC13" i="24"/>
  <c r="BE12" i="24"/>
  <c r="BC12" i="24"/>
  <c r="AY12" i="24"/>
  <c r="AZ12" i="24" s="1"/>
  <c r="AO12" i="24" s="1"/>
  <c r="BE11" i="24"/>
  <c r="AY11" i="24" s="1"/>
  <c r="BC11" i="24"/>
  <c r="BE10" i="24"/>
  <c r="BC10" i="24"/>
  <c r="AY10" i="24"/>
  <c r="AZ10" i="24" s="1"/>
  <c r="AO10" i="24" s="1"/>
  <c r="BE40" i="23"/>
  <c r="AY40" i="23" s="1"/>
  <c r="BA40" i="23" s="1"/>
  <c r="BC40" i="23"/>
  <c r="BE39" i="23"/>
  <c r="AY39" i="23" s="1"/>
  <c r="BC39" i="23"/>
  <c r="BE38" i="23"/>
  <c r="AY38" i="23" s="1"/>
  <c r="BC38" i="23"/>
  <c r="BE37" i="23"/>
  <c r="AY37" i="23" s="1"/>
  <c r="BC37" i="23"/>
  <c r="BE36" i="23"/>
  <c r="AY36" i="23" s="1"/>
  <c r="BC36" i="23"/>
  <c r="BE35" i="23"/>
  <c r="AY35" i="23" s="1"/>
  <c r="BC35" i="23"/>
  <c r="BE34" i="23"/>
  <c r="AY34" i="23" s="1"/>
  <c r="BA34" i="23" s="1"/>
  <c r="AP34" i="23" s="1"/>
  <c r="BC34" i="23"/>
  <c r="BE33" i="23"/>
  <c r="AY33" i="23" s="1"/>
  <c r="AN33" i="23" s="1"/>
  <c r="BC33" i="23"/>
  <c r="BE32" i="23"/>
  <c r="AY32" i="23" s="1"/>
  <c r="AN32" i="23" s="1"/>
  <c r="BC32" i="23"/>
  <c r="BE31" i="23"/>
  <c r="AY31" i="23" s="1"/>
  <c r="AN31" i="23" s="1"/>
  <c r="BC31" i="23"/>
  <c r="BE30" i="23"/>
  <c r="BC30" i="23"/>
  <c r="AY30" i="23"/>
  <c r="BA30" i="23" s="1"/>
  <c r="AP30" i="23" s="1"/>
  <c r="BE29" i="23"/>
  <c r="AY29" i="23" s="1"/>
  <c r="BA29" i="23" s="1"/>
  <c r="AP29" i="23" s="1"/>
  <c r="BC29" i="23"/>
  <c r="BE28" i="23"/>
  <c r="BC28" i="23"/>
  <c r="AY28" i="23"/>
  <c r="BA28" i="23" s="1"/>
  <c r="AP28" i="23" s="1"/>
  <c r="BE27" i="23"/>
  <c r="AY27" i="23" s="1"/>
  <c r="BC27" i="23"/>
  <c r="BE26" i="23"/>
  <c r="BC26" i="23"/>
  <c r="AY26" i="23"/>
  <c r="BA26" i="23" s="1"/>
  <c r="AP26" i="23" s="1"/>
  <c r="BE25" i="23"/>
  <c r="AY25" i="23" s="1"/>
  <c r="BC25" i="23"/>
  <c r="BE24" i="23"/>
  <c r="BC24" i="23"/>
  <c r="AY24" i="23"/>
  <c r="BA24" i="23" s="1"/>
  <c r="AP24" i="23" s="1"/>
  <c r="BE23" i="23"/>
  <c r="AY23" i="23" s="1"/>
  <c r="BC23" i="23"/>
  <c r="BE22" i="23"/>
  <c r="BC22" i="23"/>
  <c r="AY22" i="23"/>
  <c r="BA22" i="23" s="1"/>
  <c r="AP22" i="23" s="1"/>
  <c r="BE21" i="23"/>
  <c r="AY21" i="23" s="1"/>
  <c r="BA21" i="23" s="1"/>
  <c r="AP21" i="23" s="1"/>
  <c r="BC21" i="23"/>
  <c r="BE20" i="23"/>
  <c r="BC20" i="23"/>
  <c r="AY20" i="23"/>
  <c r="BA20" i="23" s="1"/>
  <c r="AP20" i="23" s="1"/>
  <c r="BE19" i="23"/>
  <c r="AY19" i="23" s="1"/>
  <c r="BA19" i="23" s="1"/>
  <c r="AP19" i="23" s="1"/>
  <c r="BC19" i="23"/>
  <c r="BE18" i="23"/>
  <c r="BC18" i="23"/>
  <c r="AY18" i="23"/>
  <c r="BA18" i="23" s="1"/>
  <c r="AP18" i="23" s="1"/>
  <c r="BE17" i="23"/>
  <c r="AY17" i="23" s="1"/>
  <c r="BA17" i="23" s="1"/>
  <c r="AP17" i="23" s="1"/>
  <c r="BC17" i="23"/>
  <c r="BE16" i="23"/>
  <c r="BC16" i="23"/>
  <c r="AY16" i="23"/>
  <c r="BA16" i="23" s="1"/>
  <c r="AP16" i="23" s="1"/>
  <c r="BE15" i="23"/>
  <c r="AY15" i="23" s="1"/>
  <c r="BA15" i="23" s="1"/>
  <c r="AP15" i="23" s="1"/>
  <c r="BC15" i="23"/>
  <c r="BE14" i="23"/>
  <c r="BC14" i="23"/>
  <c r="AY14" i="23"/>
  <c r="BA14" i="23" s="1"/>
  <c r="AP14" i="23" s="1"/>
  <c r="BE13" i="23"/>
  <c r="AY13" i="23" s="1"/>
  <c r="BA13" i="23" s="1"/>
  <c r="AP13" i="23" s="1"/>
  <c r="BC13" i="23"/>
  <c r="BE12" i="23"/>
  <c r="BC12" i="23"/>
  <c r="AY12" i="23"/>
  <c r="BA12" i="23" s="1"/>
  <c r="AP12" i="23" s="1"/>
  <c r="BE11" i="23"/>
  <c r="AY11" i="23" s="1"/>
  <c r="BA11" i="23" s="1"/>
  <c r="AP11" i="23" s="1"/>
  <c r="BC11" i="23"/>
  <c r="BE10" i="23"/>
  <c r="BC10" i="23"/>
  <c r="AY10" i="23"/>
  <c r="BA10" i="23" s="1"/>
  <c r="AP10" i="23" s="1"/>
  <c r="BE40" i="22"/>
  <c r="AY40" i="22" s="1"/>
  <c r="BC40" i="22"/>
  <c r="BE39" i="22"/>
  <c r="BC39" i="22"/>
  <c r="AY39" i="22"/>
  <c r="BA39" i="22" s="1"/>
  <c r="AP39" i="22" s="1"/>
  <c r="BE38" i="22"/>
  <c r="AY38" i="22" s="1"/>
  <c r="BC38" i="22"/>
  <c r="BE37" i="22"/>
  <c r="BC37" i="22"/>
  <c r="AY37" i="22"/>
  <c r="BA37" i="22" s="1"/>
  <c r="AP37" i="22" s="1"/>
  <c r="BE36" i="22"/>
  <c r="AY36" i="22" s="1"/>
  <c r="BC36" i="22"/>
  <c r="BE35" i="22"/>
  <c r="BC35" i="22"/>
  <c r="AY35" i="22"/>
  <c r="BA35" i="22" s="1"/>
  <c r="AP35" i="22" s="1"/>
  <c r="BE34" i="22"/>
  <c r="AY34" i="22" s="1"/>
  <c r="BC34" i="22"/>
  <c r="BE33" i="22"/>
  <c r="BC33" i="22"/>
  <c r="AY33" i="22"/>
  <c r="BE32" i="22"/>
  <c r="AY32" i="22" s="1"/>
  <c r="AZ32" i="22" s="1"/>
  <c r="AO32" i="22" s="1"/>
  <c r="BC32" i="22"/>
  <c r="BE31" i="22"/>
  <c r="BC31" i="22"/>
  <c r="AY31" i="22"/>
  <c r="BE30" i="22"/>
  <c r="AY30" i="22" s="1"/>
  <c r="AZ30" i="22" s="1"/>
  <c r="AO30" i="22" s="1"/>
  <c r="BC30" i="22"/>
  <c r="BE29" i="22"/>
  <c r="BC29" i="22"/>
  <c r="AY29" i="22"/>
  <c r="AZ29" i="22" s="1"/>
  <c r="AO29" i="22" s="1"/>
  <c r="BE28" i="22"/>
  <c r="AY28" i="22" s="1"/>
  <c r="AZ28" i="22" s="1"/>
  <c r="AO28" i="22" s="1"/>
  <c r="BC28" i="22"/>
  <c r="BE27" i="22"/>
  <c r="BC27" i="22"/>
  <c r="AY27" i="22"/>
  <c r="AZ27" i="22" s="1"/>
  <c r="AO27" i="22" s="1"/>
  <c r="BE26" i="22"/>
  <c r="AY26" i="22" s="1"/>
  <c r="AZ26" i="22" s="1"/>
  <c r="AO26" i="22" s="1"/>
  <c r="BC26" i="22"/>
  <c r="BE25" i="22"/>
  <c r="BC25" i="22"/>
  <c r="AY25" i="22"/>
  <c r="AZ25" i="22" s="1"/>
  <c r="AO25" i="22" s="1"/>
  <c r="BE24" i="22"/>
  <c r="AY24" i="22" s="1"/>
  <c r="BC24" i="22"/>
  <c r="BE23" i="22"/>
  <c r="BC23" i="22"/>
  <c r="AY23" i="22"/>
  <c r="BE22" i="22"/>
  <c r="AY22" i="22" s="1"/>
  <c r="AZ22" i="22" s="1"/>
  <c r="AO22" i="22" s="1"/>
  <c r="BC22" i="22"/>
  <c r="BE21" i="22"/>
  <c r="BC21" i="22"/>
  <c r="AY21" i="22"/>
  <c r="AZ21" i="22" s="1"/>
  <c r="AO21" i="22" s="1"/>
  <c r="BE20" i="22"/>
  <c r="AY20" i="22" s="1"/>
  <c r="AZ20" i="22" s="1"/>
  <c r="AO20" i="22" s="1"/>
  <c r="BC20" i="22"/>
  <c r="BE19" i="22"/>
  <c r="BC19" i="22"/>
  <c r="AY19" i="22"/>
  <c r="BE18" i="22"/>
  <c r="AY18" i="22" s="1"/>
  <c r="BC18" i="22"/>
  <c r="BE17" i="22"/>
  <c r="BC17" i="22"/>
  <c r="AY17" i="22"/>
  <c r="AZ17" i="22" s="1"/>
  <c r="AO17" i="22" s="1"/>
  <c r="BE16" i="22"/>
  <c r="AY16" i="22" s="1"/>
  <c r="AZ16" i="22" s="1"/>
  <c r="AO16" i="22" s="1"/>
  <c r="BC16" i="22"/>
  <c r="BE15" i="22"/>
  <c r="BC15" i="22"/>
  <c r="AY15" i="22"/>
  <c r="BE14" i="22"/>
  <c r="AY14" i="22" s="1"/>
  <c r="AZ14" i="22" s="1"/>
  <c r="AO14" i="22" s="1"/>
  <c r="BC14" i="22"/>
  <c r="BE13" i="22"/>
  <c r="BC13" i="22"/>
  <c r="AY13" i="22"/>
  <c r="BE12" i="22"/>
  <c r="AY12" i="22" s="1"/>
  <c r="AZ12" i="22" s="1"/>
  <c r="AO12" i="22" s="1"/>
  <c r="BC12" i="22"/>
  <c r="BE11" i="22"/>
  <c r="BC11" i="22"/>
  <c r="AY11" i="22"/>
  <c r="AZ11" i="22" s="1"/>
  <c r="AO11" i="22" s="1"/>
  <c r="BE10" i="22"/>
  <c r="AY10" i="22" s="1"/>
  <c r="BC10" i="22"/>
  <c r="BE40" i="21"/>
  <c r="AY40" i="21" s="1"/>
  <c r="BC40" i="21"/>
  <c r="BE39" i="21"/>
  <c r="AY39" i="21" s="1"/>
  <c r="BA39" i="21" s="1"/>
  <c r="AP39" i="21" s="1"/>
  <c r="BC39" i="21"/>
  <c r="BE38" i="21"/>
  <c r="BC38" i="21"/>
  <c r="AY38" i="21"/>
  <c r="BE37" i="21"/>
  <c r="AY37" i="21" s="1"/>
  <c r="BA37" i="21" s="1"/>
  <c r="AP37" i="21" s="1"/>
  <c r="BC37" i="21"/>
  <c r="BE36" i="21"/>
  <c r="BC36" i="21"/>
  <c r="AY36" i="21"/>
  <c r="BE35" i="21"/>
  <c r="AY35" i="21" s="1"/>
  <c r="BA35" i="21" s="1"/>
  <c r="AP35" i="21" s="1"/>
  <c r="BC35" i="21"/>
  <c r="BE34" i="21"/>
  <c r="BC34" i="21"/>
  <c r="AY34" i="21"/>
  <c r="BE33" i="21"/>
  <c r="AY33" i="21" s="1"/>
  <c r="BA33" i="21" s="1"/>
  <c r="AP33" i="21" s="1"/>
  <c r="BC33" i="21"/>
  <c r="BE32" i="21"/>
  <c r="BC32" i="21"/>
  <c r="AY32" i="21"/>
  <c r="BE31" i="21"/>
  <c r="AY31" i="21" s="1"/>
  <c r="BA31" i="21" s="1"/>
  <c r="AP31" i="21" s="1"/>
  <c r="BC31" i="21"/>
  <c r="BE30" i="21"/>
  <c r="BC30" i="21"/>
  <c r="AY30" i="21"/>
  <c r="BE29" i="21"/>
  <c r="AY29" i="21" s="1"/>
  <c r="BC29" i="21"/>
  <c r="BE28" i="21"/>
  <c r="AY28" i="21" s="1"/>
  <c r="BC28" i="21"/>
  <c r="BE27" i="21"/>
  <c r="AY27" i="21" s="1"/>
  <c r="BA27" i="21" s="1"/>
  <c r="AP27" i="21" s="1"/>
  <c r="BC27" i="21"/>
  <c r="BE26" i="21"/>
  <c r="AY26" i="21" s="1"/>
  <c r="BC26" i="21"/>
  <c r="BE25" i="21"/>
  <c r="AY25" i="21" s="1"/>
  <c r="BC25" i="21"/>
  <c r="BE24" i="21"/>
  <c r="AY24" i="21" s="1"/>
  <c r="BA24" i="21" s="1"/>
  <c r="AP24" i="21" s="1"/>
  <c r="BC24" i="21"/>
  <c r="BE23" i="21"/>
  <c r="AY23" i="21" s="1"/>
  <c r="BA23" i="21" s="1"/>
  <c r="AP23" i="21" s="1"/>
  <c r="BC23" i="21"/>
  <c r="BE22" i="21"/>
  <c r="AY22" i="21" s="1"/>
  <c r="BA22" i="21" s="1"/>
  <c r="AP22" i="21" s="1"/>
  <c r="BC22" i="21"/>
  <c r="BE21" i="21"/>
  <c r="AY21" i="21" s="1"/>
  <c r="BA21" i="21" s="1"/>
  <c r="AP21" i="21" s="1"/>
  <c r="BC21" i="21"/>
  <c r="BE20" i="21"/>
  <c r="AY20" i="21" s="1"/>
  <c r="BA20" i="21" s="1"/>
  <c r="AP20" i="21" s="1"/>
  <c r="BC20" i="21"/>
  <c r="BE19" i="21"/>
  <c r="AY19" i="21" s="1"/>
  <c r="BA19" i="21" s="1"/>
  <c r="AP19" i="21" s="1"/>
  <c r="BC19" i="21"/>
  <c r="BE18" i="21"/>
  <c r="AY18" i="21" s="1"/>
  <c r="BA18" i="21" s="1"/>
  <c r="AP18" i="21" s="1"/>
  <c r="BC18" i="21"/>
  <c r="BE17" i="21"/>
  <c r="AY17" i="21" s="1"/>
  <c r="BC17" i="21"/>
  <c r="BE16" i="21"/>
  <c r="AY16" i="21" s="1"/>
  <c r="BC16" i="21"/>
  <c r="BE15" i="21"/>
  <c r="BC15" i="21"/>
  <c r="AY15" i="21"/>
  <c r="BE14" i="21"/>
  <c r="AY14" i="21" s="1"/>
  <c r="BA14" i="21" s="1"/>
  <c r="AP14" i="21" s="1"/>
  <c r="BC14" i="21"/>
  <c r="BE13" i="21"/>
  <c r="BC13" i="21"/>
  <c r="AY13" i="21"/>
  <c r="BE12" i="21"/>
  <c r="AY12" i="21" s="1"/>
  <c r="BA12" i="21" s="1"/>
  <c r="AP12" i="21" s="1"/>
  <c r="BC12" i="21"/>
  <c r="BE11" i="21"/>
  <c r="BC11" i="21"/>
  <c r="AY11" i="21"/>
  <c r="BE10" i="21"/>
  <c r="AY10" i="21" s="1"/>
  <c r="BA10" i="21" s="1"/>
  <c r="AP10" i="21" s="1"/>
  <c r="BC10" i="21"/>
  <c r="BE40" i="20"/>
  <c r="AY40" i="20" s="1"/>
  <c r="BC40" i="20"/>
  <c r="BE39" i="20"/>
  <c r="AY39" i="20" s="1"/>
  <c r="AZ39" i="20" s="1"/>
  <c r="AO39" i="20" s="1"/>
  <c r="BC39" i="20"/>
  <c r="BE38" i="20"/>
  <c r="BC38" i="20"/>
  <c r="AY38" i="20"/>
  <c r="BE37" i="20"/>
  <c r="AY37" i="20" s="1"/>
  <c r="BC37" i="20"/>
  <c r="BE36" i="20"/>
  <c r="BC36" i="20"/>
  <c r="AY36" i="20"/>
  <c r="BE35" i="20"/>
  <c r="AY35" i="20" s="1"/>
  <c r="BC35" i="20"/>
  <c r="BE34" i="20"/>
  <c r="BC34" i="20"/>
  <c r="AY34" i="20"/>
  <c r="BE33" i="20"/>
  <c r="AY33" i="20" s="1"/>
  <c r="AZ33" i="20" s="1"/>
  <c r="AO33" i="20" s="1"/>
  <c r="BC33" i="20"/>
  <c r="BE32" i="20"/>
  <c r="BC32" i="20"/>
  <c r="AY32" i="20"/>
  <c r="BE31" i="20"/>
  <c r="AY31" i="20" s="1"/>
  <c r="BC31" i="20"/>
  <c r="BE30" i="20"/>
  <c r="BC30" i="20"/>
  <c r="AY30" i="20"/>
  <c r="BE29" i="20"/>
  <c r="AY29" i="20" s="1"/>
  <c r="AZ29" i="20" s="1"/>
  <c r="AO29" i="20" s="1"/>
  <c r="BC29" i="20"/>
  <c r="BE28" i="20"/>
  <c r="BC28" i="20"/>
  <c r="AY28" i="20"/>
  <c r="BE27" i="20"/>
  <c r="AY27" i="20" s="1"/>
  <c r="BC27" i="20"/>
  <c r="BE26" i="20"/>
  <c r="BC26" i="20"/>
  <c r="AY26" i="20"/>
  <c r="BE25" i="20"/>
  <c r="AY25" i="20" s="1"/>
  <c r="BC25" i="20"/>
  <c r="BE24" i="20"/>
  <c r="BC24" i="20"/>
  <c r="AY24" i="20"/>
  <c r="BE23" i="20"/>
  <c r="AY23" i="20" s="1"/>
  <c r="AZ23" i="20" s="1"/>
  <c r="AO23" i="20" s="1"/>
  <c r="BC23" i="20"/>
  <c r="BE22" i="20"/>
  <c r="BC22" i="20"/>
  <c r="AY22" i="20"/>
  <c r="BE21" i="20"/>
  <c r="AY21" i="20" s="1"/>
  <c r="AZ21" i="20" s="1"/>
  <c r="AO21" i="20" s="1"/>
  <c r="BC21" i="20"/>
  <c r="BE20" i="20"/>
  <c r="BC20" i="20"/>
  <c r="AY20" i="20"/>
  <c r="BE19" i="20"/>
  <c r="AY19" i="20" s="1"/>
  <c r="BC19" i="20"/>
  <c r="BE18" i="20"/>
  <c r="BC18" i="20"/>
  <c r="AY18" i="20"/>
  <c r="BE17" i="20"/>
  <c r="AY17" i="20" s="1"/>
  <c r="AZ17" i="20" s="1"/>
  <c r="AO17" i="20" s="1"/>
  <c r="BC17" i="20"/>
  <c r="BE16" i="20"/>
  <c r="BC16" i="20"/>
  <c r="AY16" i="20"/>
  <c r="BE15" i="20"/>
  <c r="AY15" i="20" s="1"/>
  <c r="AZ15" i="20" s="1"/>
  <c r="AO15" i="20" s="1"/>
  <c r="BC15" i="20"/>
  <c r="BE14" i="20"/>
  <c r="BC14" i="20"/>
  <c r="AY14" i="20"/>
  <c r="BE13" i="20"/>
  <c r="AY13" i="20" s="1"/>
  <c r="AZ13" i="20" s="1"/>
  <c r="AO13" i="20" s="1"/>
  <c r="BC13" i="20"/>
  <c r="BE12" i="20"/>
  <c r="BC12" i="20"/>
  <c r="AY12" i="20"/>
  <c r="BE11" i="20"/>
  <c r="AY11" i="20" s="1"/>
  <c r="AZ11" i="20" s="1"/>
  <c r="AO11" i="20" s="1"/>
  <c r="BC11" i="20"/>
  <c r="BE10" i="20"/>
  <c r="BC10" i="20"/>
  <c r="AY10" i="20"/>
  <c r="BE40" i="19"/>
  <c r="AY40" i="19" s="1"/>
  <c r="BC40" i="19"/>
  <c r="BE39" i="19"/>
  <c r="AY39" i="19" s="1"/>
  <c r="BC39" i="19"/>
  <c r="BE38" i="19"/>
  <c r="AY38" i="19" s="1"/>
  <c r="BC38" i="19"/>
  <c r="BE37" i="19"/>
  <c r="AY37" i="19" s="1"/>
  <c r="BC37" i="19"/>
  <c r="BE36" i="19"/>
  <c r="BC36" i="19"/>
  <c r="AY36" i="19"/>
  <c r="BA36" i="19" s="1"/>
  <c r="AP36" i="19" s="1"/>
  <c r="BE35" i="19"/>
  <c r="AY35" i="19" s="1"/>
  <c r="BC35" i="19"/>
  <c r="BE34" i="19"/>
  <c r="BC34" i="19"/>
  <c r="AY34" i="19"/>
  <c r="BA34" i="19" s="1"/>
  <c r="AP34" i="19" s="1"/>
  <c r="BE33" i="19"/>
  <c r="AY33" i="19" s="1"/>
  <c r="BC33" i="19"/>
  <c r="BE32" i="19"/>
  <c r="AY32" i="19" s="1"/>
  <c r="BC32" i="19"/>
  <c r="BE31" i="19"/>
  <c r="AY31" i="19" s="1"/>
  <c r="BC31" i="19"/>
  <c r="BE30" i="19"/>
  <c r="AY30" i="19" s="1"/>
  <c r="BA30" i="19" s="1"/>
  <c r="AP30" i="19" s="1"/>
  <c r="BC30" i="19"/>
  <c r="BE29" i="19"/>
  <c r="AY29" i="19" s="1"/>
  <c r="BC29" i="19"/>
  <c r="BE28" i="19"/>
  <c r="AY28" i="19" s="1"/>
  <c r="BA28" i="19" s="1"/>
  <c r="AP28" i="19" s="1"/>
  <c r="BC28" i="19"/>
  <c r="BE27" i="19"/>
  <c r="AY27" i="19" s="1"/>
  <c r="BC27" i="19"/>
  <c r="BE26" i="19"/>
  <c r="AY26" i="19" s="1"/>
  <c r="BA26" i="19" s="1"/>
  <c r="AP26" i="19" s="1"/>
  <c r="BC26" i="19"/>
  <c r="BE25" i="19"/>
  <c r="AY25" i="19" s="1"/>
  <c r="BC25" i="19"/>
  <c r="BE24" i="19"/>
  <c r="AY24" i="19" s="1"/>
  <c r="BA24" i="19" s="1"/>
  <c r="AP24" i="19" s="1"/>
  <c r="BC24" i="19"/>
  <c r="BE23" i="19"/>
  <c r="AY23" i="19" s="1"/>
  <c r="BC23" i="19"/>
  <c r="BE22" i="19"/>
  <c r="AY22" i="19" s="1"/>
  <c r="BA22" i="19" s="1"/>
  <c r="AP22" i="19" s="1"/>
  <c r="BC22" i="19"/>
  <c r="BE21" i="19"/>
  <c r="AY21" i="19" s="1"/>
  <c r="BC21" i="19"/>
  <c r="BE20" i="19"/>
  <c r="AY20" i="19" s="1"/>
  <c r="BA20" i="19" s="1"/>
  <c r="AP20" i="19" s="1"/>
  <c r="BC20" i="19"/>
  <c r="BE19" i="19"/>
  <c r="AY19" i="19" s="1"/>
  <c r="BC19" i="19"/>
  <c r="BE18" i="19"/>
  <c r="AY18" i="19" s="1"/>
  <c r="BA18" i="19" s="1"/>
  <c r="AP18" i="19" s="1"/>
  <c r="BC18" i="19"/>
  <c r="BE17" i="19"/>
  <c r="AY17" i="19" s="1"/>
  <c r="BC17" i="19"/>
  <c r="BE16" i="19"/>
  <c r="AY16" i="19" s="1"/>
  <c r="BA16" i="19" s="1"/>
  <c r="AP16" i="19" s="1"/>
  <c r="BC16" i="19"/>
  <c r="BE15" i="19"/>
  <c r="AY15" i="19" s="1"/>
  <c r="BC15" i="19"/>
  <c r="BE14" i="19"/>
  <c r="AY14" i="19" s="1"/>
  <c r="BA14" i="19" s="1"/>
  <c r="AP14" i="19" s="1"/>
  <c r="BC14" i="19"/>
  <c r="BE13" i="19"/>
  <c r="AY13" i="19" s="1"/>
  <c r="BC13" i="19"/>
  <c r="BE12" i="19"/>
  <c r="AY12" i="19" s="1"/>
  <c r="BA12" i="19" s="1"/>
  <c r="AP12" i="19" s="1"/>
  <c r="BC12" i="19"/>
  <c r="BE11" i="19"/>
  <c r="AY11" i="19" s="1"/>
  <c r="BC11" i="19"/>
  <c r="BE10" i="19"/>
  <c r="AY10" i="19" s="1"/>
  <c r="BA10" i="19" s="1"/>
  <c r="AP10" i="19" s="1"/>
  <c r="BC10" i="19"/>
  <c r="BE40" i="18"/>
  <c r="AY40" i="18" s="1"/>
  <c r="BC40" i="18"/>
  <c r="BE39" i="18"/>
  <c r="AY39" i="18" s="1"/>
  <c r="AZ39" i="18" s="1"/>
  <c r="AO39" i="18" s="1"/>
  <c r="BC39" i="18"/>
  <c r="BE38" i="18"/>
  <c r="AY38" i="18" s="1"/>
  <c r="BC38" i="18"/>
  <c r="BE37" i="18"/>
  <c r="AY37" i="18" s="1"/>
  <c r="BC37" i="18"/>
  <c r="BE36" i="18"/>
  <c r="AY36" i="18" s="1"/>
  <c r="AZ36" i="18" s="1"/>
  <c r="AO36" i="18" s="1"/>
  <c r="BC36" i="18"/>
  <c r="BE35" i="18"/>
  <c r="AY35" i="18" s="1"/>
  <c r="AZ35" i="18" s="1"/>
  <c r="AO35" i="18" s="1"/>
  <c r="BC35" i="18"/>
  <c r="BE34" i="18"/>
  <c r="AY34" i="18" s="1"/>
  <c r="AZ34" i="18" s="1"/>
  <c r="AO34" i="18" s="1"/>
  <c r="BC34" i="18"/>
  <c r="BE33" i="18"/>
  <c r="AY33" i="18" s="1"/>
  <c r="AZ33" i="18" s="1"/>
  <c r="AO33" i="18" s="1"/>
  <c r="BC33" i="18"/>
  <c r="BE32" i="18"/>
  <c r="AY32" i="18" s="1"/>
  <c r="BC32" i="18"/>
  <c r="BE31" i="18"/>
  <c r="AY31" i="18" s="1"/>
  <c r="BC31" i="18"/>
  <c r="BE30" i="18"/>
  <c r="AY30" i="18" s="1"/>
  <c r="AZ30" i="18" s="1"/>
  <c r="AO30" i="18" s="1"/>
  <c r="BC30" i="18"/>
  <c r="BE29" i="18"/>
  <c r="AY29" i="18" s="1"/>
  <c r="BC29" i="18"/>
  <c r="BE28" i="18"/>
  <c r="AY28" i="18" s="1"/>
  <c r="AZ28" i="18" s="1"/>
  <c r="AO28" i="18" s="1"/>
  <c r="BC28" i="18"/>
  <c r="BE27" i="18"/>
  <c r="AY27" i="18" s="1"/>
  <c r="BC27" i="18"/>
  <c r="BE26" i="18"/>
  <c r="AY26" i="18" s="1"/>
  <c r="BC26" i="18"/>
  <c r="BE25" i="18"/>
  <c r="AY25" i="18" s="1"/>
  <c r="AZ25" i="18" s="1"/>
  <c r="AO25" i="18" s="1"/>
  <c r="BC25" i="18"/>
  <c r="BE24" i="18"/>
  <c r="AY24" i="18" s="1"/>
  <c r="BC24" i="18"/>
  <c r="BE23" i="18"/>
  <c r="AY23" i="18" s="1"/>
  <c r="AZ23" i="18" s="1"/>
  <c r="AO23" i="18" s="1"/>
  <c r="BC23" i="18"/>
  <c r="BE22" i="18"/>
  <c r="AY22" i="18" s="1"/>
  <c r="BC22" i="18"/>
  <c r="BE21" i="18"/>
  <c r="AY21" i="18" s="1"/>
  <c r="BC21" i="18"/>
  <c r="BE20" i="18"/>
  <c r="AY20" i="18" s="1"/>
  <c r="BC20" i="18"/>
  <c r="BE19" i="18"/>
  <c r="AY19" i="18" s="1"/>
  <c r="AZ19" i="18" s="1"/>
  <c r="AO19" i="18" s="1"/>
  <c r="BC19" i="18"/>
  <c r="BE18" i="18"/>
  <c r="AY18" i="18" s="1"/>
  <c r="BC18" i="18"/>
  <c r="BE17" i="18"/>
  <c r="AY17" i="18" s="1"/>
  <c r="AZ17" i="18" s="1"/>
  <c r="AO17" i="18" s="1"/>
  <c r="BC17" i="18"/>
  <c r="BE16" i="18"/>
  <c r="BC16" i="18"/>
  <c r="AY16" i="18"/>
  <c r="BE15" i="18"/>
  <c r="AY15" i="18" s="1"/>
  <c r="AZ15" i="18" s="1"/>
  <c r="AO15" i="18" s="1"/>
  <c r="BC15" i="18"/>
  <c r="BE14" i="18"/>
  <c r="BC14" i="18"/>
  <c r="AY14" i="18"/>
  <c r="BE13" i="18"/>
  <c r="AY13" i="18" s="1"/>
  <c r="AZ13" i="18" s="1"/>
  <c r="AO13" i="18" s="1"/>
  <c r="BC13" i="18"/>
  <c r="BE12" i="18"/>
  <c r="BC12" i="18"/>
  <c r="AY12" i="18"/>
  <c r="AZ12" i="18" s="1"/>
  <c r="AO12" i="18" s="1"/>
  <c r="BE11" i="18"/>
  <c r="AY11" i="18" s="1"/>
  <c r="AZ11" i="18" s="1"/>
  <c r="AO11" i="18" s="1"/>
  <c r="BC11" i="18"/>
  <c r="BE10" i="18"/>
  <c r="BC10" i="18"/>
  <c r="AY10" i="18"/>
  <c r="AZ10" i="18" s="1"/>
  <c r="AO10" i="18" s="1"/>
  <c r="BE40" i="17"/>
  <c r="AY40" i="17" s="1"/>
  <c r="BC40" i="17"/>
  <c r="BE39" i="17"/>
  <c r="BC39" i="17"/>
  <c r="AY39" i="17"/>
  <c r="BA39" i="17" s="1"/>
  <c r="AP39" i="17" s="1"/>
  <c r="BE38" i="17"/>
  <c r="AY38" i="17" s="1"/>
  <c r="BA38" i="17" s="1"/>
  <c r="AP38" i="17" s="1"/>
  <c r="BC38" i="17"/>
  <c r="BE37" i="17"/>
  <c r="BC37" i="17"/>
  <c r="AY37" i="17"/>
  <c r="BA37" i="17" s="1"/>
  <c r="AP37" i="17" s="1"/>
  <c r="AN37" i="17"/>
  <c r="BE36" i="17"/>
  <c r="AY36" i="17" s="1"/>
  <c r="BC36" i="17"/>
  <c r="BE35" i="17"/>
  <c r="BC35" i="17"/>
  <c r="AY35" i="17"/>
  <c r="BE34" i="17"/>
  <c r="AY34" i="17" s="1"/>
  <c r="BC34" i="17"/>
  <c r="BE33" i="17"/>
  <c r="BC33" i="17"/>
  <c r="AY33" i="17"/>
  <c r="BE32" i="17"/>
  <c r="AY32" i="17" s="1"/>
  <c r="BC32" i="17"/>
  <c r="BE31" i="17"/>
  <c r="BC31" i="17"/>
  <c r="AY31" i="17"/>
  <c r="BE30" i="17"/>
  <c r="AY30" i="17" s="1"/>
  <c r="BA30" i="17" s="1"/>
  <c r="AP30" i="17" s="1"/>
  <c r="BC30" i="17"/>
  <c r="BE29" i="17"/>
  <c r="BC29" i="17"/>
  <c r="AY29" i="17"/>
  <c r="BE28" i="17"/>
  <c r="AY28" i="17" s="1"/>
  <c r="BA28" i="17" s="1"/>
  <c r="AP28" i="17" s="1"/>
  <c r="BC28" i="17"/>
  <c r="BE27" i="17"/>
  <c r="BC27" i="17"/>
  <c r="AY27" i="17"/>
  <c r="BE26" i="17"/>
  <c r="AY26" i="17" s="1"/>
  <c r="BA26" i="17" s="1"/>
  <c r="AP26" i="17" s="1"/>
  <c r="BC26" i="17"/>
  <c r="BE25" i="17"/>
  <c r="BC25" i="17"/>
  <c r="AY25" i="17"/>
  <c r="BA25" i="17" s="1"/>
  <c r="AP25" i="17" s="1"/>
  <c r="BE24" i="17"/>
  <c r="AY24" i="17" s="1"/>
  <c r="BA24" i="17" s="1"/>
  <c r="AP24" i="17" s="1"/>
  <c r="BC24" i="17"/>
  <c r="BE23" i="17"/>
  <c r="BC23" i="17"/>
  <c r="AY23" i="17"/>
  <c r="BA23" i="17" s="1"/>
  <c r="AP23" i="17" s="1"/>
  <c r="BE22" i="17"/>
  <c r="AY22" i="17" s="1"/>
  <c r="BA22" i="17" s="1"/>
  <c r="AP22" i="17" s="1"/>
  <c r="BC22" i="17"/>
  <c r="BE21" i="17"/>
  <c r="BC21" i="17"/>
  <c r="AY21" i="17"/>
  <c r="BA21" i="17" s="1"/>
  <c r="AP21" i="17" s="1"/>
  <c r="BE20" i="17"/>
  <c r="AY20" i="17" s="1"/>
  <c r="BA20" i="17" s="1"/>
  <c r="AP20" i="17" s="1"/>
  <c r="BC20" i="17"/>
  <c r="BE19" i="17"/>
  <c r="BC19" i="17"/>
  <c r="AY19" i="17"/>
  <c r="BA19" i="17" s="1"/>
  <c r="AP19" i="17" s="1"/>
  <c r="BE18" i="17"/>
  <c r="AY18" i="17" s="1"/>
  <c r="BA18" i="17" s="1"/>
  <c r="AP18" i="17" s="1"/>
  <c r="BC18" i="17"/>
  <c r="BE17" i="17"/>
  <c r="BC17" i="17"/>
  <c r="AY17" i="17"/>
  <c r="BA17" i="17" s="1"/>
  <c r="AP17" i="17" s="1"/>
  <c r="BE16" i="17"/>
  <c r="AY16" i="17" s="1"/>
  <c r="BA16" i="17" s="1"/>
  <c r="AP16" i="17" s="1"/>
  <c r="BC16" i="17"/>
  <c r="BE15" i="17"/>
  <c r="BC15" i="17"/>
  <c r="AY15" i="17"/>
  <c r="BA15" i="17" s="1"/>
  <c r="AP15" i="17" s="1"/>
  <c r="BE14" i="17"/>
  <c r="AY14" i="17" s="1"/>
  <c r="BA14" i="17" s="1"/>
  <c r="AP14" i="17" s="1"/>
  <c r="BC14" i="17"/>
  <c r="BE13" i="17"/>
  <c r="BC13" i="17"/>
  <c r="AY13" i="17"/>
  <c r="BA13" i="17" s="1"/>
  <c r="AP13" i="17" s="1"/>
  <c r="BE12" i="17"/>
  <c r="AY12" i="17" s="1"/>
  <c r="BA12" i="17" s="1"/>
  <c r="AP12" i="17" s="1"/>
  <c r="BC12" i="17"/>
  <c r="BE11" i="17"/>
  <c r="BC11" i="17"/>
  <c r="AY11" i="17"/>
  <c r="BA11" i="17" s="1"/>
  <c r="AP11" i="17" s="1"/>
  <c r="BE10" i="17"/>
  <c r="AY10" i="17" s="1"/>
  <c r="BA10" i="17" s="1"/>
  <c r="AP10" i="17" s="1"/>
  <c r="BC10" i="17"/>
  <c r="BE40" i="16"/>
  <c r="BC40" i="16"/>
  <c r="AY40" i="16"/>
  <c r="AZ40" i="16" s="1"/>
  <c r="BE39" i="16"/>
  <c r="AY39" i="16" s="1"/>
  <c r="BC39" i="16"/>
  <c r="BE38" i="16"/>
  <c r="AY38" i="16" s="1"/>
  <c r="BA38" i="16" s="1"/>
  <c r="AP38" i="16" s="1"/>
  <c r="BC38" i="16"/>
  <c r="BE37" i="16"/>
  <c r="AY37" i="16" s="1"/>
  <c r="BC37" i="16"/>
  <c r="BE36" i="16"/>
  <c r="AY36" i="16" s="1"/>
  <c r="BC36" i="16"/>
  <c r="BE35" i="16"/>
  <c r="AY35" i="16" s="1"/>
  <c r="BC35" i="16"/>
  <c r="BE34" i="16"/>
  <c r="AY34" i="16" s="1"/>
  <c r="BC34" i="16"/>
  <c r="BE33" i="16"/>
  <c r="AY33" i="16" s="1"/>
  <c r="AZ33" i="16" s="1"/>
  <c r="AO33" i="16" s="1"/>
  <c r="BC33" i="16"/>
  <c r="BE32" i="16"/>
  <c r="BC32" i="16"/>
  <c r="AY32" i="16"/>
  <c r="BE31" i="16"/>
  <c r="AY31" i="16" s="1"/>
  <c r="AZ31" i="16" s="1"/>
  <c r="AO31" i="16" s="1"/>
  <c r="BC31" i="16"/>
  <c r="BE30" i="16"/>
  <c r="BC30" i="16"/>
  <c r="AY30" i="16"/>
  <c r="AZ30" i="16" s="1"/>
  <c r="AO30" i="16" s="1"/>
  <c r="BE29" i="16"/>
  <c r="AY29" i="16" s="1"/>
  <c r="BC29" i="16"/>
  <c r="BE28" i="16"/>
  <c r="BC28" i="16"/>
  <c r="AY28" i="16"/>
  <c r="AZ28" i="16" s="1"/>
  <c r="AO28" i="16" s="1"/>
  <c r="BE27" i="16"/>
  <c r="AY27" i="16" s="1"/>
  <c r="AZ27" i="16" s="1"/>
  <c r="AO27" i="16" s="1"/>
  <c r="BC27" i="16"/>
  <c r="BE26" i="16"/>
  <c r="BC26" i="16"/>
  <c r="AY26" i="16"/>
  <c r="AZ26" i="16" s="1"/>
  <c r="AO26" i="16" s="1"/>
  <c r="BE25" i="16"/>
  <c r="AY25" i="16" s="1"/>
  <c r="BC25" i="16"/>
  <c r="BE24" i="16"/>
  <c r="BC24" i="16"/>
  <c r="AY24" i="16"/>
  <c r="AZ24" i="16" s="1"/>
  <c r="AO24" i="16" s="1"/>
  <c r="BE23" i="16"/>
  <c r="AY23" i="16" s="1"/>
  <c r="BC23" i="16"/>
  <c r="BE22" i="16"/>
  <c r="BC22" i="16"/>
  <c r="AY22" i="16"/>
  <c r="AZ22" i="16" s="1"/>
  <c r="AO22" i="16" s="1"/>
  <c r="BE21" i="16"/>
  <c r="AY21" i="16" s="1"/>
  <c r="AZ21" i="16" s="1"/>
  <c r="AO21" i="16" s="1"/>
  <c r="BC21" i="16"/>
  <c r="BE20" i="16"/>
  <c r="BC20" i="16"/>
  <c r="AY20" i="16"/>
  <c r="AZ20" i="16" s="1"/>
  <c r="AO20" i="16" s="1"/>
  <c r="BE19" i="16"/>
  <c r="AY19" i="16" s="1"/>
  <c r="AZ19" i="16" s="1"/>
  <c r="AO19" i="16" s="1"/>
  <c r="BC19" i="16"/>
  <c r="BE18" i="16"/>
  <c r="BC18" i="16"/>
  <c r="AY18" i="16"/>
  <c r="AZ18" i="16" s="1"/>
  <c r="AO18" i="16" s="1"/>
  <c r="BE17" i="16"/>
  <c r="AY17" i="16" s="1"/>
  <c r="AZ17" i="16" s="1"/>
  <c r="AO17" i="16" s="1"/>
  <c r="BC17" i="16"/>
  <c r="BE16" i="16"/>
  <c r="BC16" i="16"/>
  <c r="AY16" i="16"/>
  <c r="BE15" i="16"/>
  <c r="AY15" i="16" s="1"/>
  <c r="AZ15" i="16" s="1"/>
  <c r="AO15" i="16" s="1"/>
  <c r="BC15" i="16"/>
  <c r="BE14" i="16"/>
  <c r="BC14" i="16"/>
  <c r="AY14" i="16"/>
  <c r="BE13" i="16"/>
  <c r="AY13" i="16" s="1"/>
  <c r="AZ13" i="16" s="1"/>
  <c r="AO13" i="16" s="1"/>
  <c r="BC13" i="16"/>
  <c r="BE12" i="16"/>
  <c r="BC12" i="16"/>
  <c r="AY12" i="16"/>
  <c r="BE11" i="16"/>
  <c r="AY11" i="16" s="1"/>
  <c r="AZ11" i="16" s="1"/>
  <c r="AO11" i="16" s="1"/>
  <c r="BC11" i="16"/>
  <c r="BE10" i="16"/>
  <c r="BC10" i="16"/>
  <c r="AY10" i="16"/>
  <c r="AZ10" i="16" s="1"/>
  <c r="AO10" i="16" s="1"/>
  <c r="BE40" i="15"/>
  <c r="AY40" i="15" s="1"/>
  <c r="BC40" i="15"/>
  <c r="BE39" i="15"/>
  <c r="AY39" i="15" s="1"/>
  <c r="BC39" i="15"/>
  <c r="BE38" i="15"/>
  <c r="AY38" i="15" s="1"/>
  <c r="BC38" i="15"/>
  <c r="BE37" i="15"/>
  <c r="BC37" i="15"/>
  <c r="AY37" i="15"/>
  <c r="BE36" i="15"/>
  <c r="AY36" i="15" s="1"/>
  <c r="BC36" i="15"/>
  <c r="BE35" i="15"/>
  <c r="BC35" i="15"/>
  <c r="AY35" i="15"/>
  <c r="BE34" i="15"/>
  <c r="AY34" i="15" s="1"/>
  <c r="BA34" i="15" s="1"/>
  <c r="AP34" i="15" s="1"/>
  <c r="BC34" i="15"/>
  <c r="BE33" i="15"/>
  <c r="AY33" i="15" s="1"/>
  <c r="BC33" i="15"/>
  <c r="BE32" i="15"/>
  <c r="AY32" i="15" s="1"/>
  <c r="BA32" i="15" s="1"/>
  <c r="AP32" i="15" s="1"/>
  <c r="BC32" i="15"/>
  <c r="BE31" i="15"/>
  <c r="AY31" i="15" s="1"/>
  <c r="BC31" i="15"/>
  <c r="BE30" i="15"/>
  <c r="AY30" i="15" s="1"/>
  <c r="BA30" i="15" s="1"/>
  <c r="AP30" i="15" s="1"/>
  <c r="BC30" i="15"/>
  <c r="BE29" i="15"/>
  <c r="AY29" i="15" s="1"/>
  <c r="BC29" i="15"/>
  <c r="BE28" i="15"/>
  <c r="AY28" i="15" s="1"/>
  <c r="BA28" i="15" s="1"/>
  <c r="AP28" i="15" s="1"/>
  <c r="BC28" i="15"/>
  <c r="BE27" i="15"/>
  <c r="AY27" i="15" s="1"/>
  <c r="BC27" i="15"/>
  <c r="BE26" i="15"/>
  <c r="AY26" i="15" s="1"/>
  <c r="BA26" i="15" s="1"/>
  <c r="AP26" i="15" s="1"/>
  <c r="BC26" i="15"/>
  <c r="BE25" i="15"/>
  <c r="AY25" i="15" s="1"/>
  <c r="BC25" i="15"/>
  <c r="BE24" i="15"/>
  <c r="AY24" i="15" s="1"/>
  <c r="BC24" i="15"/>
  <c r="BE23" i="15"/>
  <c r="AY23" i="15" s="1"/>
  <c r="BA23" i="15" s="1"/>
  <c r="AP23" i="15" s="1"/>
  <c r="BC23" i="15"/>
  <c r="BE22" i="15"/>
  <c r="BC22" i="15"/>
  <c r="AY22" i="15"/>
  <c r="BA22" i="15" s="1"/>
  <c r="AP22" i="15" s="1"/>
  <c r="BE21" i="15"/>
  <c r="AY21" i="15" s="1"/>
  <c r="BA21" i="15" s="1"/>
  <c r="AP21" i="15" s="1"/>
  <c r="BC21" i="15"/>
  <c r="BE20" i="15"/>
  <c r="BC20" i="15"/>
  <c r="AY20" i="15"/>
  <c r="BA20" i="15" s="1"/>
  <c r="AP20" i="15" s="1"/>
  <c r="BE19" i="15"/>
  <c r="AY19" i="15" s="1"/>
  <c r="BA19" i="15" s="1"/>
  <c r="AP19" i="15" s="1"/>
  <c r="BC19" i="15"/>
  <c r="BE18" i="15"/>
  <c r="BC18" i="15"/>
  <c r="AY18" i="15"/>
  <c r="BA18" i="15" s="1"/>
  <c r="AP18" i="15" s="1"/>
  <c r="BE17" i="15"/>
  <c r="AY17" i="15" s="1"/>
  <c r="BA17" i="15" s="1"/>
  <c r="AP17" i="15" s="1"/>
  <c r="BC17" i="15"/>
  <c r="BE16" i="15"/>
  <c r="BC16" i="15"/>
  <c r="AY16" i="15"/>
  <c r="BA16" i="15" s="1"/>
  <c r="AP16" i="15" s="1"/>
  <c r="BE15" i="15"/>
  <c r="AY15" i="15" s="1"/>
  <c r="BA15" i="15" s="1"/>
  <c r="AP15" i="15" s="1"/>
  <c r="BC15" i="15"/>
  <c r="BE14" i="15"/>
  <c r="BC14" i="15"/>
  <c r="AY14" i="15"/>
  <c r="BA14" i="15" s="1"/>
  <c r="AP14" i="15" s="1"/>
  <c r="BE13" i="15"/>
  <c r="AY13" i="15" s="1"/>
  <c r="BA13" i="15" s="1"/>
  <c r="AP13" i="15" s="1"/>
  <c r="BC13" i="15"/>
  <c r="BE12" i="15"/>
  <c r="BC12" i="15"/>
  <c r="AY12" i="15"/>
  <c r="BA12" i="15" s="1"/>
  <c r="AP12" i="15" s="1"/>
  <c r="BE11" i="15"/>
  <c r="AY11" i="15" s="1"/>
  <c r="BA11" i="15" s="1"/>
  <c r="AP11" i="15" s="1"/>
  <c r="BC11" i="15"/>
  <c r="BE10" i="15"/>
  <c r="BC10" i="15"/>
  <c r="AY10" i="15"/>
  <c r="BA10" i="15" s="1"/>
  <c r="AP10" i="15" s="1"/>
  <c r="BE40" i="14"/>
  <c r="AY40" i="14" s="1"/>
  <c r="BC40" i="14"/>
  <c r="BE39" i="14"/>
  <c r="BC39" i="14"/>
  <c r="AY39" i="14"/>
  <c r="BA39" i="14" s="1"/>
  <c r="AP39" i="14" s="1"/>
  <c r="BE38" i="14"/>
  <c r="AY38" i="14" s="1"/>
  <c r="BC38" i="14"/>
  <c r="BE37" i="14"/>
  <c r="BC37" i="14"/>
  <c r="AY37" i="14"/>
  <c r="BA37" i="14" s="1"/>
  <c r="AP37" i="14" s="1"/>
  <c r="BE36" i="14"/>
  <c r="AY36" i="14" s="1"/>
  <c r="BC36" i="14"/>
  <c r="BE35" i="14"/>
  <c r="BC35" i="14"/>
  <c r="AY35" i="14"/>
  <c r="BA35" i="14" s="1"/>
  <c r="AP35" i="14" s="1"/>
  <c r="BE34" i="14"/>
  <c r="AY34" i="14" s="1"/>
  <c r="BC34" i="14"/>
  <c r="BE33" i="14"/>
  <c r="BC33" i="14"/>
  <c r="AY33" i="14"/>
  <c r="AZ33" i="14" s="1"/>
  <c r="AO33" i="14" s="1"/>
  <c r="BE32" i="14"/>
  <c r="AY32" i="14" s="1"/>
  <c r="BC32" i="14"/>
  <c r="BE31" i="14"/>
  <c r="BC31" i="14"/>
  <c r="AY31" i="14"/>
  <c r="BE30" i="14"/>
  <c r="AY30" i="14" s="1"/>
  <c r="BC30" i="14"/>
  <c r="BE29" i="14"/>
  <c r="BC29" i="14"/>
  <c r="AY29" i="14"/>
  <c r="BE28" i="14"/>
  <c r="AY28" i="14" s="1"/>
  <c r="BC28" i="14"/>
  <c r="BE27" i="14"/>
  <c r="BC27" i="14"/>
  <c r="AY27" i="14"/>
  <c r="BE26" i="14"/>
  <c r="AY26" i="14" s="1"/>
  <c r="AZ26" i="14" s="1"/>
  <c r="AO26" i="14" s="1"/>
  <c r="BC26" i="14"/>
  <c r="BE25" i="14"/>
  <c r="BC25" i="14"/>
  <c r="AY25" i="14"/>
  <c r="BE24" i="14"/>
  <c r="AY24" i="14" s="1"/>
  <c r="BC24" i="14"/>
  <c r="BE23" i="14"/>
  <c r="BC23" i="14"/>
  <c r="AY23" i="14"/>
  <c r="AZ23" i="14" s="1"/>
  <c r="AO23" i="14" s="1"/>
  <c r="BE22" i="14"/>
  <c r="AY22" i="14" s="1"/>
  <c r="AZ22" i="14" s="1"/>
  <c r="AO22" i="14" s="1"/>
  <c r="BC22" i="14"/>
  <c r="BE21" i="14"/>
  <c r="BC21" i="14"/>
  <c r="AY21" i="14"/>
  <c r="AZ21" i="14" s="1"/>
  <c r="AO21" i="14" s="1"/>
  <c r="BE20" i="14"/>
  <c r="AY20" i="14" s="1"/>
  <c r="AZ20" i="14" s="1"/>
  <c r="AO20" i="14" s="1"/>
  <c r="BC20" i="14"/>
  <c r="BE19" i="14"/>
  <c r="BC19" i="14"/>
  <c r="AY19" i="14"/>
  <c r="BE18" i="14"/>
  <c r="AY18" i="14" s="1"/>
  <c r="AZ18" i="14" s="1"/>
  <c r="AO18" i="14" s="1"/>
  <c r="BC18" i="14"/>
  <c r="BE17" i="14"/>
  <c r="BC17" i="14"/>
  <c r="AY17" i="14"/>
  <c r="BE16" i="14"/>
  <c r="AY16" i="14" s="1"/>
  <c r="BC16" i="14"/>
  <c r="BE15" i="14"/>
  <c r="BC15" i="14"/>
  <c r="AY15" i="14"/>
  <c r="BE14" i="14"/>
  <c r="AY14" i="14" s="1"/>
  <c r="BC14" i="14"/>
  <c r="BE13" i="14"/>
  <c r="BC13" i="14"/>
  <c r="AY13" i="14"/>
  <c r="AZ13" i="14" s="1"/>
  <c r="AO13" i="14" s="1"/>
  <c r="BE12" i="14"/>
  <c r="AY12" i="14" s="1"/>
  <c r="AZ12" i="14" s="1"/>
  <c r="AO12" i="14" s="1"/>
  <c r="BC12" i="14"/>
  <c r="BE11" i="14"/>
  <c r="BC11" i="14"/>
  <c r="AY11" i="14"/>
  <c r="AZ11" i="14" s="1"/>
  <c r="AO11" i="14" s="1"/>
  <c r="BE10" i="14"/>
  <c r="AY10" i="14" s="1"/>
  <c r="AZ10" i="14" s="1"/>
  <c r="AO10" i="14" s="1"/>
  <c r="BC10" i="14"/>
  <c r="BE40" i="13"/>
  <c r="AY40" i="13" s="1"/>
  <c r="BC40" i="13"/>
  <c r="BE39" i="13"/>
  <c r="BC39" i="13"/>
  <c r="AY39" i="13"/>
  <c r="BE38" i="13"/>
  <c r="AY38" i="13" s="1"/>
  <c r="BC38" i="13"/>
  <c r="BE37" i="13"/>
  <c r="AY37" i="13" s="1"/>
  <c r="BC37" i="13"/>
  <c r="BE36" i="13"/>
  <c r="AY36" i="13" s="1"/>
  <c r="BC36" i="13"/>
  <c r="BE35" i="13"/>
  <c r="AY35" i="13" s="1"/>
  <c r="BC35" i="13"/>
  <c r="BE34" i="13"/>
  <c r="BC34" i="13"/>
  <c r="AY34" i="13"/>
  <c r="BA34" i="13" s="1"/>
  <c r="AP34" i="13" s="1"/>
  <c r="BE33" i="13"/>
  <c r="AY33" i="13" s="1"/>
  <c r="BC33" i="13"/>
  <c r="BE32" i="13"/>
  <c r="BC32" i="13"/>
  <c r="AY32" i="13"/>
  <c r="BA32" i="13" s="1"/>
  <c r="AP32" i="13" s="1"/>
  <c r="BE31" i="13"/>
  <c r="AY31" i="13" s="1"/>
  <c r="BC31" i="13"/>
  <c r="BE30" i="13"/>
  <c r="AY30" i="13" s="1"/>
  <c r="BC30" i="13"/>
  <c r="BE29" i="13"/>
  <c r="AY29" i="13" s="1"/>
  <c r="BC29" i="13"/>
  <c r="BE28" i="13"/>
  <c r="AY28" i="13" s="1"/>
  <c r="BC28" i="13"/>
  <c r="BE27" i="13"/>
  <c r="BC27" i="13"/>
  <c r="AY27" i="13"/>
  <c r="BE26" i="13"/>
  <c r="AY26" i="13" s="1"/>
  <c r="BC26" i="13"/>
  <c r="BE25" i="13"/>
  <c r="BC25" i="13"/>
  <c r="AY25" i="13"/>
  <c r="BA25" i="13" s="1"/>
  <c r="AP25" i="13" s="1"/>
  <c r="BE24" i="13"/>
  <c r="AY24" i="13" s="1"/>
  <c r="BA24" i="13" s="1"/>
  <c r="AP24" i="13" s="1"/>
  <c r="BC24" i="13"/>
  <c r="BE23" i="13"/>
  <c r="AY23" i="13" s="1"/>
  <c r="BA23" i="13" s="1"/>
  <c r="AP23" i="13" s="1"/>
  <c r="BC23" i="13"/>
  <c r="BE22" i="13"/>
  <c r="AY22" i="13" s="1"/>
  <c r="BA22" i="13" s="1"/>
  <c r="AP22" i="13" s="1"/>
  <c r="BC22" i="13"/>
  <c r="BE21" i="13"/>
  <c r="AY21" i="13" s="1"/>
  <c r="BA21" i="13" s="1"/>
  <c r="AP21" i="13" s="1"/>
  <c r="BC21" i="13"/>
  <c r="BE20" i="13"/>
  <c r="AY20" i="13" s="1"/>
  <c r="BA20" i="13" s="1"/>
  <c r="AP20" i="13" s="1"/>
  <c r="BC20" i="13"/>
  <c r="BE19" i="13"/>
  <c r="AY19" i="13" s="1"/>
  <c r="BA19" i="13" s="1"/>
  <c r="AP19" i="13" s="1"/>
  <c r="BC19" i="13"/>
  <c r="BE18" i="13"/>
  <c r="AY18" i="13" s="1"/>
  <c r="BA18" i="13" s="1"/>
  <c r="AP18" i="13" s="1"/>
  <c r="BC18" i="13"/>
  <c r="BE17" i="13"/>
  <c r="AY17" i="13" s="1"/>
  <c r="BA17" i="13" s="1"/>
  <c r="AP17" i="13" s="1"/>
  <c r="BC17" i="13"/>
  <c r="BE16" i="13"/>
  <c r="AY16" i="13" s="1"/>
  <c r="BA16" i="13" s="1"/>
  <c r="AP16" i="13" s="1"/>
  <c r="BC16" i="13"/>
  <c r="BE15" i="13"/>
  <c r="BC15" i="13"/>
  <c r="AY15" i="13"/>
  <c r="BA15" i="13" s="1"/>
  <c r="AP15" i="13" s="1"/>
  <c r="BE14" i="13"/>
  <c r="AY14" i="13" s="1"/>
  <c r="BA14" i="13" s="1"/>
  <c r="AP14" i="13" s="1"/>
  <c r="BC14" i="13"/>
  <c r="BE13" i="13"/>
  <c r="BC13" i="13"/>
  <c r="AY13" i="13"/>
  <c r="BA13" i="13" s="1"/>
  <c r="AP13" i="13" s="1"/>
  <c r="BE12" i="13"/>
  <c r="AY12" i="13" s="1"/>
  <c r="BA12" i="13" s="1"/>
  <c r="AP12" i="13" s="1"/>
  <c r="BC12" i="13"/>
  <c r="BE11" i="13"/>
  <c r="AY11" i="13" s="1"/>
  <c r="BA11" i="13" s="1"/>
  <c r="AP11" i="13" s="1"/>
  <c r="BC11" i="13"/>
  <c r="BE10" i="13"/>
  <c r="AY10" i="13" s="1"/>
  <c r="BC10" i="13"/>
  <c r="BE40" i="28"/>
  <c r="AY40" i="28" s="1"/>
  <c r="BA40" i="28" s="1"/>
  <c r="BC40" i="28"/>
  <c r="BE39" i="28"/>
  <c r="AY39" i="28" s="1"/>
  <c r="BA39" i="28" s="1"/>
  <c r="AP39" i="28" s="1"/>
  <c r="BC39" i="28"/>
  <c r="BE38" i="28"/>
  <c r="AY38" i="28" s="1"/>
  <c r="BC38" i="28"/>
  <c r="BE37" i="28"/>
  <c r="AY37" i="28" s="1"/>
  <c r="BA37" i="28" s="1"/>
  <c r="AP37" i="28" s="1"/>
  <c r="BC37" i="28"/>
  <c r="BE36" i="28"/>
  <c r="BC36" i="28"/>
  <c r="AY36" i="28"/>
  <c r="BE35" i="28"/>
  <c r="AY35" i="28" s="1"/>
  <c r="BA35" i="28" s="1"/>
  <c r="AP35" i="28" s="1"/>
  <c r="BC35" i="28"/>
  <c r="BE34" i="28"/>
  <c r="BC34" i="28"/>
  <c r="AY34" i="28"/>
  <c r="BE33" i="28"/>
  <c r="AY33" i="28" s="1"/>
  <c r="BA33" i="28" s="1"/>
  <c r="AP33" i="28" s="1"/>
  <c r="BC33" i="28"/>
  <c r="BE32" i="28"/>
  <c r="BC32" i="28"/>
  <c r="AY32" i="28"/>
  <c r="BE31" i="28"/>
  <c r="AY31" i="28" s="1"/>
  <c r="BA31" i="28" s="1"/>
  <c r="AP31" i="28" s="1"/>
  <c r="BC31" i="28"/>
  <c r="BE30" i="28"/>
  <c r="BC30" i="28"/>
  <c r="AY30" i="28"/>
  <c r="BE29" i="28"/>
  <c r="AY29" i="28" s="1"/>
  <c r="BA29" i="28" s="1"/>
  <c r="AP29" i="28" s="1"/>
  <c r="BC29" i="28"/>
  <c r="BE28" i="28"/>
  <c r="BC28" i="28"/>
  <c r="AY28" i="28"/>
  <c r="BE27" i="28"/>
  <c r="AY27" i="28" s="1"/>
  <c r="BC27" i="28"/>
  <c r="BE26" i="28"/>
  <c r="BC26" i="28"/>
  <c r="AY26" i="28"/>
  <c r="AN26" i="28" s="1"/>
  <c r="BE25" i="28"/>
  <c r="BC25" i="28"/>
  <c r="AY25" i="28"/>
  <c r="BE24" i="28"/>
  <c r="AY24" i="28" s="1"/>
  <c r="BC24" i="28"/>
  <c r="BE23" i="28"/>
  <c r="BC23" i="28"/>
  <c r="AY23" i="28"/>
  <c r="BE22" i="28"/>
  <c r="AY22" i="28" s="1"/>
  <c r="BA22" i="28" s="1"/>
  <c r="AP22" i="28" s="1"/>
  <c r="BC22" i="28"/>
  <c r="BE21" i="28"/>
  <c r="AY21" i="28" s="1"/>
  <c r="BC21" i="28"/>
  <c r="BE20" i="28"/>
  <c r="AY20" i="28" s="1"/>
  <c r="BA20" i="28" s="1"/>
  <c r="AP20" i="28" s="1"/>
  <c r="BC20" i="28"/>
  <c r="BE19" i="28"/>
  <c r="AY19" i="28" s="1"/>
  <c r="BC19" i="28"/>
  <c r="BE18" i="28"/>
  <c r="AY18" i="28" s="1"/>
  <c r="BA18" i="28" s="1"/>
  <c r="AP18" i="28" s="1"/>
  <c r="BC18" i="28"/>
  <c r="BE17" i="28"/>
  <c r="AY17" i="28" s="1"/>
  <c r="BA17" i="28" s="1"/>
  <c r="AP17" i="28" s="1"/>
  <c r="BC17" i="28"/>
  <c r="BE16" i="28"/>
  <c r="AY16" i="28" s="1"/>
  <c r="BA16" i="28" s="1"/>
  <c r="AP16" i="28" s="1"/>
  <c r="BC16" i="28"/>
  <c r="BE15" i="28"/>
  <c r="AY15" i="28" s="1"/>
  <c r="BA15" i="28" s="1"/>
  <c r="AP15" i="28" s="1"/>
  <c r="BC15" i="28"/>
  <c r="BE14" i="28"/>
  <c r="AY14" i="28" s="1"/>
  <c r="BA14" i="28" s="1"/>
  <c r="AP14" i="28" s="1"/>
  <c r="BC14" i="28"/>
  <c r="BE13" i="28"/>
  <c r="BC13" i="28"/>
  <c r="AY13" i="28"/>
  <c r="BA13" i="28" s="1"/>
  <c r="AP13" i="28" s="1"/>
  <c r="BE12" i="28"/>
  <c r="AY12" i="28" s="1"/>
  <c r="BA12" i="28" s="1"/>
  <c r="AP12" i="28" s="1"/>
  <c r="BC12" i="28"/>
  <c r="BE11" i="28"/>
  <c r="BC11" i="28"/>
  <c r="AY11" i="28"/>
  <c r="BA11" i="28" s="1"/>
  <c r="AP11" i="28" s="1"/>
  <c r="BE10" i="28"/>
  <c r="AY10" i="28" s="1"/>
  <c r="BA10" i="28" s="1"/>
  <c r="AP10" i="28" s="1"/>
  <c r="BC10" i="28"/>
  <c r="BE40" i="11"/>
  <c r="AY40" i="11" s="1"/>
  <c r="BC40" i="11"/>
  <c r="BE39" i="11"/>
  <c r="AY39" i="11" s="1"/>
  <c r="BC39" i="11"/>
  <c r="BE38" i="11"/>
  <c r="BC38" i="11"/>
  <c r="AY38" i="11"/>
  <c r="AN38" i="11"/>
  <c r="BE37" i="11"/>
  <c r="AY37" i="11" s="1"/>
  <c r="BC37" i="11"/>
  <c r="BE36" i="11"/>
  <c r="BC36" i="11"/>
  <c r="AY36" i="11"/>
  <c r="BE35" i="11"/>
  <c r="AY35" i="11" s="1"/>
  <c r="BC35" i="11"/>
  <c r="BE34" i="11"/>
  <c r="BC34" i="11"/>
  <c r="AY34" i="11"/>
  <c r="BE33" i="11"/>
  <c r="AY33" i="11" s="1"/>
  <c r="BC33" i="11"/>
  <c r="BE32" i="11"/>
  <c r="BC32" i="11"/>
  <c r="AY32" i="11"/>
  <c r="BE31" i="11"/>
  <c r="AY31" i="11" s="1"/>
  <c r="AZ31" i="11" s="1"/>
  <c r="AO31" i="11" s="1"/>
  <c r="BC31" i="11"/>
  <c r="BE30" i="11"/>
  <c r="BC30" i="11"/>
  <c r="AY30" i="11"/>
  <c r="BE29" i="11"/>
  <c r="AY29" i="11" s="1"/>
  <c r="BC29" i="11"/>
  <c r="BE28" i="11"/>
  <c r="BC28" i="11"/>
  <c r="AY28" i="11"/>
  <c r="AZ28" i="11" s="1"/>
  <c r="AO28" i="11" s="1"/>
  <c r="BE27" i="11"/>
  <c r="AY27" i="11" s="1"/>
  <c r="AZ27" i="11" s="1"/>
  <c r="AO27" i="11" s="1"/>
  <c r="BC27" i="11"/>
  <c r="BE26" i="11"/>
  <c r="BC26" i="11"/>
  <c r="AY26" i="11"/>
  <c r="AZ26" i="11" s="1"/>
  <c r="AO26" i="11" s="1"/>
  <c r="BE25" i="11"/>
  <c r="AY25" i="11" s="1"/>
  <c r="BC25" i="11"/>
  <c r="BE24" i="11"/>
  <c r="AY24" i="11" s="1"/>
  <c r="AZ24" i="11" s="1"/>
  <c r="AO24" i="11" s="1"/>
  <c r="BC24" i="11"/>
  <c r="BE23" i="11"/>
  <c r="AY23" i="11" s="1"/>
  <c r="BC23" i="11"/>
  <c r="BE22" i="11"/>
  <c r="AY22" i="11" s="1"/>
  <c r="BC22" i="11"/>
  <c r="BE21" i="11"/>
  <c r="AY21" i="11" s="1"/>
  <c r="AZ21" i="11" s="1"/>
  <c r="AO21" i="11" s="1"/>
  <c r="BC21" i="11"/>
  <c r="BE20" i="11"/>
  <c r="AY20" i="11" s="1"/>
  <c r="AZ20" i="11" s="1"/>
  <c r="AO20" i="11" s="1"/>
  <c r="BC20" i="11"/>
  <c r="BE19" i="11"/>
  <c r="AY19" i="11" s="1"/>
  <c r="AZ19" i="11" s="1"/>
  <c r="AO19" i="11" s="1"/>
  <c r="BC19" i="11"/>
  <c r="BE18" i="11"/>
  <c r="AY18" i="11" s="1"/>
  <c r="BC18" i="11"/>
  <c r="BE17" i="11"/>
  <c r="AY17" i="11" s="1"/>
  <c r="BC17" i="11"/>
  <c r="BE16" i="11"/>
  <c r="AY16" i="11" s="1"/>
  <c r="AZ16" i="11" s="1"/>
  <c r="AO16" i="11" s="1"/>
  <c r="BC16" i="11"/>
  <c r="BE15" i="11"/>
  <c r="AY15" i="11" s="1"/>
  <c r="BC15" i="11"/>
  <c r="BE14" i="11"/>
  <c r="AY14" i="11" s="1"/>
  <c r="AZ14" i="11" s="1"/>
  <c r="AO14" i="11" s="1"/>
  <c r="BC14" i="11"/>
  <c r="BE13" i="11"/>
  <c r="AY13" i="11" s="1"/>
  <c r="BC13" i="11"/>
  <c r="BE12" i="11"/>
  <c r="AY12" i="11" s="1"/>
  <c r="AZ12" i="11" s="1"/>
  <c r="AO12" i="11" s="1"/>
  <c r="BC12" i="11"/>
  <c r="BE11" i="11"/>
  <c r="AY11" i="11" s="1"/>
  <c r="AZ11" i="11" s="1"/>
  <c r="AO11" i="11" s="1"/>
  <c r="BC11" i="11"/>
  <c r="BE10" i="11"/>
  <c r="AY10" i="11" s="1"/>
  <c r="AZ10" i="11" s="1"/>
  <c r="AO10" i="11" s="1"/>
  <c r="BC10" i="11"/>
  <c r="BE40" i="10"/>
  <c r="AY40" i="10" s="1"/>
  <c r="BC40" i="10"/>
  <c r="BE39" i="10"/>
  <c r="AY39" i="10" s="1"/>
  <c r="BA39" i="10" s="1"/>
  <c r="AP39" i="10" s="1"/>
  <c r="BC39" i="10"/>
  <c r="BE38" i="10"/>
  <c r="AY38" i="10" s="1"/>
  <c r="BC38" i="10"/>
  <c r="BE37" i="10"/>
  <c r="AY37" i="10" s="1"/>
  <c r="BA37" i="10" s="1"/>
  <c r="AP37" i="10" s="1"/>
  <c r="BC37" i="10"/>
  <c r="BE36" i="10"/>
  <c r="AY36" i="10" s="1"/>
  <c r="BC36" i="10"/>
  <c r="BE35" i="10"/>
  <c r="AY35" i="10" s="1"/>
  <c r="BC35" i="10"/>
  <c r="BE34" i="10"/>
  <c r="BC34" i="10"/>
  <c r="AY34" i="10"/>
  <c r="BE33" i="10"/>
  <c r="AY33" i="10" s="1"/>
  <c r="BA33" i="10" s="1"/>
  <c r="AP33" i="10" s="1"/>
  <c r="BC33" i="10"/>
  <c r="BE32" i="10"/>
  <c r="BC32" i="10"/>
  <c r="AY32" i="10"/>
  <c r="BE31" i="10"/>
  <c r="AY31" i="10" s="1"/>
  <c r="BA31" i="10" s="1"/>
  <c r="AP31" i="10" s="1"/>
  <c r="BC31" i="10"/>
  <c r="BE30" i="10"/>
  <c r="BC30" i="10"/>
  <c r="AY30" i="10"/>
  <c r="BA30" i="10" s="1"/>
  <c r="AP30" i="10" s="1"/>
  <c r="BE29" i="10"/>
  <c r="AY29" i="10" s="1"/>
  <c r="BA29" i="10" s="1"/>
  <c r="AP29" i="10" s="1"/>
  <c r="BC29" i="10"/>
  <c r="BE28" i="10"/>
  <c r="BC28" i="10"/>
  <c r="AY28" i="10"/>
  <c r="BA28" i="10" s="1"/>
  <c r="AP28" i="10" s="1"/>
  <c r="BE27" i="10"/>
  <c r="AY27" i="10" s="1"/>
  <c r="BA27" i="10" s="1"/>
  <c r="AP27" i="10" s="1"/>
  <c r="BC27" i="10"/>
  <c r="BE26" i="10"/>
  <c r="BC26" i="10"/>
  <c r="AY26" i="10"/>
  <c r="BA26" i="10" s="1"/>
  <c r="AP26" i="10" s="1"/>
  <c r="BE25" i="10"/>
  <c r="AY25" i="10" s="1"/>
  <c r="BA25" i="10" s="1"/>
  <c r="AP25" i="10" s="1"/>
  <c r="BC25" i="10"/>
  <c r="BE24" i="10"/>
  <c r="BC24" i="10"/>
  <c r="AY24" i="10"/>
  <c r="BA24" i="10" s="1"/>
  <c r="AP24" i="10" s="1"/>
  <c r="BE23" i="10"/>
  <c r="AY23" i="10" s="1"/>
  <c r="BA23" i="10" s="1"/>
  <c r="AP23" i="10" s="1"/>
  <c r="BC23" i="10"/>
  <c r="BE22" i="10"/>
  <c r="BC22" i="10"/>
  <c r="AY22" i="10"/>
  <c r="BA22" i="10" s="1"/>
  <c r="AP22" i="10" s="1"/>
  <c r="BE21" i="10"/>
  <c r="AY21" i="10" s="1"/>
  <c r="BA21" i="10" s="1"/>
  <c r="AP21" i="10" s="1"/>
  <c r="BC21" i="10"/>
  <c r="BE20" i="10"/>
  <c r="BC20" i="10"/>
  <c r="AY20" i="10"/>
  <c r="BA20" i="10" s="1"/>
  <c r="AP20" i="10" s="1"/>
  <c r="BE19" i="10"/>
  <c r="AY19" i="10" s="1"/>
  <c r="BA19" i="10" s="1"/>
  <c r="AP19" i="10" s="1"/>
  <c r="BC19" i="10"/>
  <c r="BE18" i="10"/>
  <c r="BC18" i="10"/>
  <c r="AY18" i="10"/>
  <c r="BA18" i="10" s="1"/>
  <c r="AP18" i="10" s="1"/>
  <c r="BE17" i="10"/>
  <c r="AY17" i="10" s="1"/>
  <c r="BA17" i="10" s="1"/>
  <c r="AP17" i="10" s="1"/>
  <c r="BC17" i="10"/>
  <c r="BE16" i="10"/>
  <c r="BC16" i="10"/>
  <c r="AY16" i="10"/>
  <c r="BA16" i="10" s="1"/>
  <c r="AP16" i="10" s="1"/>
  <c r="BE15" i="10"/>
  <c r="AY15" i="10" s="1"/>
  <c r="BA15" i="10" s="1"/>
  <c r="AP15" i="10" s="1"/>
  <c r="BC15" i="10"/>
  <c r="BE14" i="10"/>
  <c r="BC14" i="10"/>
  <c r="AY14" i="10"/>
  <c r="BA14" i="10" s="1"/>
  <c r="AP14" i="10" s="1"/>
  <c r="BE13" i="10"/>
  <c r="AY13" i="10" s="1"/>
  <c r="BA13" i="10" s="1"/>
  <c r="AP13" i="10" s="1"/>
  <c r="BC13" i="10"/>
  <c r="BE12" i="10"/>
  <c r="BC12" i="10"/>
  <c r="AY12" i="10"/>
  <c r="BA12" i="10" s="1"/>
  <c r="AP12" i="10" s="1"/>
  <c r="BE11" i="10"/>
  <c r="AY11" i="10" s="1"/>
  <c r="BA11" i="10" s="1"/>
  <c r="AP11" i="10" s="1"/>
  <c r="BC11" i="10"/>
  <c r="BE10" i="10"/>
  <c r="BC10" i="10"/>
  <c r="AY10" i="10"/>
  <c r="BA10" i="10" s="1"/>
  <c r="AP10" i="10" s="1"/>
  <c r="BE40" i="9"/>
  <c r="AY40" i="9" s="1"/>
  <c r="BC40" i="9"/>
  <c r="BE39" i="9"/>
  <c r="BC39" i="9"/>
  <c r="AY39" i="9"/>
  <c r="BA39" i="9" s="1"/>
  <c r="AP39" i="9" s="1"/>
  <c r="BE38" i="9"/>
  <c r="AY38" i="9" s="1"/>
  <c r="BC38" i="9"/>
  <c r="BE37" i="9"/>
  <c r="BC37" i="9"/>
  <c r="AY37" i="9"/>
  <c r="BA37" i="9" s="1"/>
  <c r="AP37" i="9" s="1"/>
  <c r="BE36" i="9"/>
  <c r="AY36" i="9" s="1"/>
  <c r="BC36" i="9"/>
  <c r="BE35" i="9"/>
  <c r="BC35" i="9"/>
  <c r="AY35" i="9"/>
  <c r="BA35" i="9" s="1"/>
  <c r="AP35" i="9" s="1"/>
  <c r="BE34" i="9"/>
  <c r="AY34" i="9" s="1"/>
  <c r="BC34" i="9"/>
  <c r="BE33" i="9"/>
  <c r="BC33" i="9"/>
  <c r="AY33" i="9"/>
  <c r="BA33" i="9" s="1"/>
  <c r="AP33" i="9" s="1"/>
  <c r="BE32" i="9"/>
  <c r="AY32" i="9" s="1"/>
  <c r="BC32" i="9"/>
  <c r="BE31" i="9"/>
  <c r="AY31" i="9" s="1"/>
  <c r="BC31" i="9"/>
  <c r="BE30" i="9"/>
  <c r="AY30" i="9" s="1"/>
  <c r="BC30" i="9"/>
  <c r="BE29" i="9"/>
  <c r="BC29" i="9"/>
  <c r="AY29" i="9"/>
  <c r="BA29" i="9" s="1"/>
  <c r="AP29" i="9" s="1"/>
  <c r="BE28" i="9"/>
  <c r="AY28" i="9" s="1"/>
  <c r="AN28" i="9" s="1"/>
  <c r="BC28" i="9"/>
  <c r="BE27" i="9"/>
  <c r="BC27" i="9"/>
  <c r="AY27" i="9"/>
  <c r="AZ27" i="9" s="1"/>
  <c r="AO27" i="9" s="1"/>
  <c r="BE26" i="9"/>
  <c r="AY26" i="9" s="1"/>
  <c r="AZ26" i="9" s="1"/>
  <c r="AO26" i="9" s="1"/>
  <c r="BC26" i="9"/>
  <c r="BE25" i="9"/>
  <c r="BC25" i="9"/>
  <c r="AY25" i="9"/>
  <c r="BE24" i="9"/>
  <c r="AY24" i="9" s="1"/>
  <c r="AZ24" i="9" s="1"/>
  <c r="AO24" i="9" s="1"/>
  <c r="BC24" i="9"/>
  <c r="BE23" i="9"/>
  <c r="BC23" i="9"/>
  <c r="AY23" i="9"/>
  <c r="AZ23" i="9" s="1"/>
  <c r="AO23" i="9" s="1"/>
  <c r="BE22" i="9"/>
  <c r="AY22" i="9" s="1"/>
  <c r="AZ22" i="9" s="1"/>
  <c r="AO22" i="9" s="1"/>
  <c r="BC22" i="9"/>
  <c r="BE21" i="9"/>
  <c r="BC21" i="9"/>
  <c r="AY21" i="9"/>
  <c r="AZ21" i="9" s="1"/>
  <c r="AO21" i="9" s="1"/>
  <c r="BE20" i="9"/>
  <c r="AY20" i="9" s="1"/>
  <c r="BC20" i="9"/>
  <c r="BE19" i="9"/>
  <c r="BC19" i="9"/>
  <c r="AY19" i="9"/>
  <c r="AZ19" i="9" s="1"/>
  <c r="AO19" i="9" s="1"/>
  <c r="BE18" i="9"/>
  <c r="AY18" i="9" s="1"/>
  <c r="AZ18" i="9" s="1"/>
  <c r="AO18" i="9" s="1"/>
  <c r="BC18" i="9"/>
  <c r="BE17" i="9"/>
  <c r="BC17" i="9"/>
  <c r="AY17" i="9"/>
  <c r="AZ17" i="9" s="1"/>
  <c r="AO17" i="9" s="1"/>
  <c r="BE16" i="9"/>
  <c r="AY16" i="9" s="1"/>
  <c r="BC16" i="9"/>
  <c r="BE15" i="9"/>
  <c r="BC15" i="9"/>
  <c r="AY15" i="9"/>
  <c r="BE14" i="9"/>
  <c r="AY14" i="9" s="1"/>
  <c r="BC14" i="9"/>
  <c r="BE13" i="9"/>
  <c r="BC13" i="9"/>
  <c r="AY13" i="9"/>
  <c r="AZ13" i="9" s="1"/>
  <c r="AO13" i="9" s="1"/>
  <c r="BE12" i="9"/>
  <c r="AY12" i="9" s="1"/>
  <c r="AZ12" i="9" s="1"/>
  <c r="AO12" i="9" s="1"/>
  <c r="BC12" i="9"/>
  <c r="BE11" i="9"/>
  <c r="BC11" i="9"/>
  <c r="AY11" i="9"/>
  <c r="AZ11" i="9" s="1"/>
  <c r="AO11" i="9" s="1"/>
  <c r="BE10" i="9"/>
  <c r="AY10" i="9" s="1"/>
  <c r="AZ10" i="9" s="1"/>
  <c r="AO10" i="9" s="1"/>
  <c r="BC10" i="9"/>
  <c r="BE40" i="8"/>
  <c r="AY40" i="8" s="1"/>
  <c r="BC40" i="8"/>
  <c r="BE39" i="8"/>
  <c r="AY39" i="8" s="1"/>
  <c r="BA39" i="8" s="1"/>
  <c r="AP39" i="8" s="1"/>
  <c r="BC39" i="8"/>
  <c r="BE38" i="8"/>
  <c r="BC38" i="8"/>
  <c r="AY38" i="8"/>
  <c r="BE37" i="8"/>
  <c r="AY37" i="8" s="1"/>
  <c r="BA37" i="8" s="1"/>
  <c r="AP37" i="8" s="1"/>
  <c r="BC37" i="8"/>
  <c r="BE36" i="8"/>
  <c r="BC36" i="8"/>
  <c r="AY36" i="8"/>
  <c r="BE35" i="8"/>
  <c r="AY35" i="8" s="1"/>
  <c r="BA35" i="8" s="1"/>
  <c r="AP35" i="8" s="1"/>
  <c r="BC35" i="8"/>
  <c r="BE34" i="8"/>
  <c r="BC34" i="8"/>
  <c r="AY34" i="8"/>
  <c r="BE33" i="8"/>
  <c r="AY33" i="8" s="1"/>
  <c r="BA33" i="8" s="1"/>
  <c r="AP33" i="8" s="1"/>
  <c r="BC33" i="8"/>
  <c r="BE32" i="8"/>
  <c r="BC32" i="8"/>
  <c r="AY32" i="8"/>
  <c r="BE31" i="8"/>
  <c r="AY31" i="8" s="1"/>
  <c r="BA31" i="8" s="1"/>
  <c r="AP31" i="8" s="1"/>
  <c r="BC31" i="8"/>
  <c r="BE30" i="8"/>
  <c r="BC30" i="8"/>
  <c r="AY30" i="8"/>
  <c r="BE29" i="8"/>
  <c r="AY29" i="8" s="1"/>
  <c r="BA29" i="8" s="1"/>
  <c r="AP29" i="8" s="1"/>
  <c r="BC29" i="8"/>
  <c r="BE28" i="8"/>
  <c r="BC28" i="8"/>
  <c r="AY28" i="8"/>
  <c r="BA28" i="8" s="1"/>
  <c r="AP28" i="8" s="1"/>
  <c r="BE27" i="8"/>
  <c r="AY27" i="8" s="1"/>
  <c r="BA27" i="8" s="1"/>
  <c r="AP27" i="8" s="1"/>
  <c r="BC27" i="8"/>
  <c r="BE26" i="8"/>
  <c r="BC26" i="8"/>
  <c r="AY26" i="8"/>
  <c r="BA26" i="8" s="1"/>
  <c r="AP26" i="8" s="1"/>
  <c r="BE25" i="8"/>
  <c r="AY25" i="8" s="1"/>
  <c r="BA25" i="8" s="1"/>
  <c r="AP25" i="8" s="1"/>
  <c r="BC25" i="8"/>
  <c r="BE24" i="8"/>
  <c r="BC24" i="8"/>
  <c r="AY24" i="8"/>
  <c r="BA24" i="8" s="1"/>
  <c r="AP24" i="8" s="1"/>
  <c r="BE23" i="8"/>
  <c r="AY23" i="8" s="1"/>
  <c r="BA23" i="8" s="1"/>
  <c r="AP23" i="8" s="1"/>
  <c r="BC23" i="8"/>
  <c r="BE22" i="8"/>
  <c r="BC22" i="8"/>
  <c r="AY22" i="8"/>
  <c r="BA22" i="8" s="1"/>
  <c r="AP22" i="8" s="1"/>
  <c r="BE21" i="8"/>
  <c r="AY21" i="8" s="1"/>
  <c r="BA21" i="8" s="1"/>
  <c r="AP21" i="8" s="1"/>
  <c r="BC21" i="8"/>
  <c r="BE20" i="8"/>
  <c r="BC20" i="8"/>
  <c r="AY20" i="8"/>
  <c r="BA20" i="8" s="1"/>
  <c r="AP20" i="8" s="1"/>
  <c r="BE19" i="8"/>
  <c r="AY19" i="8" s="1"/>
  <c r="BA19" i="8" s="1"/>
  <c r="AP19" i="8" s="1"/>
  <c r="BC19" i="8"/>
  <c r="BE18" i="8"/>
  <c r="BC18" i="8"/>
  <c r="AY18" i="8"/>
  <c r="BA18" i="8" s="1"/>
  <c r="AP18" i="8" s="1"/>
  <c r="BE17" i="8"/>
  <c r="AY17" i="8" s="1"/>
  <c r="BA17" i="8" s="1"/>
  <c r="AP17" i="8" s="1"/>
  <c r="BC17" i="8"/>
  <c r="BE16" i="8"/>
  <c r="BC16" i="8"/>
  <c r="AY16" i="8"/>
  <c r="BA16" i="8" s="1"/>
  <c r="AP16" i="8" s="1"/>
  <c r="BE15" i="8"/>
  <c r="AY15" i="8" s="1"/>
  <c r="BA15" i="8" s="1"/>
  <c r="AP15" i="8" s="1"/>
  <c r="BC15" i="8"/>
  <c r="BE14" i="8"/>
  <c r="BC14" i="8"/>
  <c r="AY14" i="8"/>
  <c r="BA14" i="8" s="1"/>
  <c r="AP14" i="8" s="1"/>
  <c r="BE13" i="8"/>
  <c r="AY13" i="8" s="1"/>
  <c r="BA13" i="8" s="1"/>
  <c r="AP13" i="8" s="1"/>
  <c r="BC13" i="8"/>
  <c r="BE12" i="8"/>
  <c r="BC12" i="8"/>
  <c r="AY12" i="8"/>
  <c r="BA12" i="8" s="1"/>
  <c r="AP12" i="8" s="1"/>
  <c r="BE11" i="8"/>
  <c r="AY11" i="8" s="1"/>
  <c r="BA11" i="8" s="1"/>
  <c r="AP11" i="8" s="1"/>
  <c r="BC11" i="8"/>
  <c r="BE10" i="8"/>
  <c r="AY10" i="8" s="1"/>
  <c r="BA10" i="8" s="1"/>
  <c r="AP10" i="8" s="1"/>
  <c r="BC10" i="8"/>
  <c r="BE40" i="7"/>
  <c r="AY40" i="7" s="1"/>
  <c r="BC40" i="7"/>
  <c r="BE39" i="7"/>
  <c r="AY39" i="7" s="1"/>
  <c r="BC39" i="7"/>
  <c r="BE38" i="7"/>
  <c r="AY38" i="7" s="1"/>
  <c r="BA38" i="7" s="1"/>
  <c r="AP38" i="7" s="1"/>
  <c r="BC38" i="7"/>
  <c r="BE37" i="7"/>
  <c r="AY37" i="7" s="1"/>
  <c r="BC37" i="7"/>
  <c r="BE36" i="7"/>
  <c r="AY36" i="7" s="1"/>
  <c r="BA36" i="7" s="1"/>
  <c r="AP36" i="7" s="1"/>
  <c r="BC36" i="7"/>
  <c r="BE35" i="7"/>
  <c r="AY35" i="7" s="1"/>
  <c r="BC35" i="7"/>
  <c r="BE34" i="7"/>
  <c r="AY34" i="7" s="1"/>
  <c r="BA34" i="7" s="1"/>
  <c r="AP34" i="7" s="1"/>
  <c r="BC34" i="7"/>
  <c r="BE33" i="7"/>
  <c r="AY33" i="7" s="1"/>
  <c r="BA33" i="7" s="1"/>
  <c r="AP33" i="7" s="1"/>
  <c r="BC33" i="7"/>
  <c r="BE32" i="7"/>
  <c r="AY32" i="7" s="1"/>
  <c r="BA32" i="7" s="1"/>
  <c r="AP32" i="7" s="1"/>
  <c r="BC32" i="7"/>
  <c r="BE31" i="7"/>
  <c r="AY31" i="7" s="1"/>
  <c r="BA31" i="7" s="1"/>
  <c r="AP31" i="7" s="1"/>
  <c r="BC31" i="7"/>
  <c r="BE30" i="7"/>
  <c r="AY30" i="7" s="1"/>
  <c r="AZ30" i="7" s="1"/>
  <c r="AO30" i="7" s="1"/>
  <c r="BC30" i="7"/>
  <c r="BE29" i="7"/>
  <c r="AY29" i="7" s="1"/>
  <c r="BC29" i="7"/>
  <c r="BE28" i="7"/>
  <c r="AY28" i="7" s="1"/>
  <c r="AZ28" i="7" s="1"/>
  <c r="AO28" i="7" s="1"/>
  <c r="BC28" i="7"/>
  <c r="BE27" i="7"/>
  <c r="AY27" i="7" s="1"/>
  <c r="AZ27" i="7" s="1"/>
  <c r="AO27" i="7" s="1"/>
  <c r="BC27" i="7"/>
  <c r="BE26" i="7"/>
  <c r="AY26" i="7" s="1"/>
  <c r="AZ26" i="7" s="1"/>
  <c r="AO26" i="7" s="1"/>
  <c r="BC26" i="7"/>
  <c r="BE25" i="7"/>
  <c r="AY25" i="7" s="1"/>
  <c r="BC25" i="7"/>
  <c r="BE24" i="7"/>
  <c r="AY24" i="7" s="1"/>
  <c r="BC24" i="7"/>
  <c r="BE23" i="7"/>
  <c r="AY23" i="7" s="1"/>
  <c r="AZ23" i="7" s="1"/>
  <c r="AO23" i="7" s="1"/>
  <c r="BC23" i="7"/>
  <c r="BE22" i="7"/>
  <c r="AY22" i="7" s="1"/>
  <c r="BC22" i="7"/>
  <c r="BE21" i="7"/>
  <c r="AY21" i="7" s="1"/>
  <c r="AZ21" i="7" s="1"/>
  <c r="AO21" i="7" s="1"/>
  <c r="BC21" i="7"/>
  <c r="BE20" i="7"/>
  <c r="AY20" i="7" s="1"/>
  <c r="BC20" i="7"/>
  <c r="BE19" i="7"/>
  <c r="AY19" i="7" s="1"/>
  <c r="BC19" i="7"/>
  <c r="BE18" i="7"/>
  <c r="AY18" i="7" s="1"/>
  <c r="BC18" i="7"/>
  <c r="BE17" i="7"/>
  <c r="AY17" i="7" s="1"/>
  <c r="BC17" i="7"/>
  <c r="BE16" i="7"/>
  <c r="AY16" i="7" s="1"/>
  <c r="AZ16" i="7" s="1"/>
  <c r="AO16" i="7" s="1"/>
  <c r="BC16" i="7"/>
  <c r="BE15" i="7"/>
  <c r="AY15" i="7" s="1"/>
  <c r="AZ15" i="7" s="1"/>
  <c r="AO15" i="7" s="1"/>
  <c r="BC15" i="7"/>
  <c r="BE14" i="7"/>
  <c r="AY14" i="7" s="1"/>
  <c r="AZ14" i="7" s="1"/>
  <c r="AO14" i="7" s="1"/>
  <c r="BC14" i="7"/>
  <c r="BE13" i="7"/>
  <c r="AY13" i="7" s="1"/>
  <c r="BC13" i="7"/>
  <c r="BE12" i="7"/>
  <c r="AY12" i="7" s="1"/>
  <c r="AZ12" i="7" s="1"/>
  <c r="AO12" i="7" s="1"/>
  <c r="BC12" i="7"/>
  <c r="BE11" i="7"/>
  <c r="AY11" i="7" s="1"/>
  <c r="AZ11" i="7" s="1"/>
  <c r="AO11" i="7" s="1"/>
  <c r="BC11" i="7"/>
  <c r="BE10" i="7"/>
  <c r="AY10" i="7" s="1"/>
  <c r="BC10" i="7"/>
  <c r="BE40" i="6"/>
  <c r="AY40" i="6" s="1"/>
  <c r="BC40" i="6"/>
  <c r="BE39" i="6"/>
  <c r="AY39" i="6" s="1"/>
  <c r="BA39" i="6" s="1"/>
  <c r="AP39" i="6" s="1"/>
  <c r="BC39" i="6"/>
  <c r="BE38" i="6"/>
  <c r="AY38" i="6" s="1"/>
  <c r="BC38" i="6"/>
  <c r="BE37" i="6"/>
  <c r="AY37" i="6" s="1"/>
  <c r="BA37" i="6" s="1"/>
  <c r="AP37" i="6" s="1"/>
  <c r="BC37" i="6"/>
  <c r="BE36" i="6"/>
  <c r="AY36" i="6" s="1"/>
  <c r="BC36" i="6"/>
  <c r="BE35" i="6"/>
  <c r="AY35" i="6" s="1"/>
  <c r="BA35" i="6" s="1"/>
  <c r="AP35" i="6" s="1"/>
  <c r="BC35" i="6"/>
  <c r="BE34" i="6"/>
  <c r="AY34" i="6" s="1"/>
  <c r="BC34" i="6"/>
  <c r="BE33" i="6"/>
  <c r="AY33" i="6" s="1"/>
  <c r="BA33" i="6" s="1"/>
  <c r="AP33" i="6" s="1"/>
  <c r="BC33" i="6"/>
  <c r="BE32" i="6"/>
  <c r="AY32" i="6" s="1"/>
  <c r="BC32" i="6"/>
  <c r="BE31" i="6"/>
  <c r="AY31" i="6" s="1"/>
  <c r="BA31" i="6" s="1"/>
  <c r="AP31" i="6" s="1"/>
  <c r="BC31" i="6"/>
  <c r="BE30" i="6"/>
  <c r="AY30" i="6" s="1"/>
  <c r="BC30" i="6"/>
  <c r="BE29" i="6"/>
  <c r="AY29" i="6" s="1"/>
  <c r="BA29" i="6" s="1"/>
  <c r="AP29" i="6" s="1"/>
  <c r="BC29" i="6"/>
  <c r="BE28" i="6"/>
  <c r="AY28" i="6" s="1"/>
  <c r="BC28" i="6"/>
  <c r="BE27" i="6"/>
  <c r="AY27" i="6" s="1"/>
  <c r="BA27" i="6" s="1"/>
  <c r="AP27" i="6" s="1"/>
  <c r="BC27" i="6"/>
  <c r="BE26" i="6"/>
  <c r="AY26" i="6" s="1"/>
  <c r="BC26" i="6"/>
  <c r="BE25" i="6"/>
  <c r="AY25" i="6" s="1"/>
  <c r="BA25" i="6" s="1"/>
  <c r="AP25" i="6" s="1"/>
  <c r="BC25" i="6"/>
  <c r="BE24" i="6"/>
  <c r="AY24" i="6" s="1"/>
  <c r="BC24" i="6"/>
  <c r="BE23" i="6"/>
  <c r="AY23" i="6" s="1"/>
  <c r="BA23" i="6" s="1"/>
  <c r="AP23" i="6" s="1"/>
  <c r="BC23" i="6"/>
  <c r="BE22" i="6"/>
  <c r="AY22" i="6" s="1"/>
  <c r="BC22" i="6"/>
  <c r="BE21" i="6"/>
  <c r="AY21" i="6" s="1"/>
  <c r="BA21" i="6" s="1"/>
  <c r="AP21" i="6" s="1"/>
  <c r="BC21" i="6"/>
  <c r="BE20" i="6"/>
  <c r="AY20" i="6" s="1"/>
  <c r="BA20" i="6" s="1"/>
  <c r="AP20" i="6" s="1"/>
  <c r="BC20" i="6"/>
  <c r="BE19" i="6"/>
  <c r="AY19" i="6" s="1"/>
  <c r="BA19" i="6" s="1"/>
  <c r="AP19" i="6" s="1"/>
  <c r="BC19" i="6"/>
  <c r="BE18" i="6"/>
  <c r="AY18" i="6" s="1"/>
  <c r="BA18" i="6" s="1"/>
  <c r="AP18" i="6" s="1"/>
  <c r="BC18" i="6"/>
  <c r="BE17" i="6"/>
  <c r="AY17" i="6" s="1"/>
  <c r="BA17" i="6" s="1"/>
  <c r="AP17" i="6" s="1"/>
  <c r="BC17" i="6"/>
  <c r="BE16" i="6"/>
  <c r="AY16" i="6" s="1"/>
  <c r="BA16" i="6" s="1"/>
  <c r="AP16" i="6" s="1"/>
  <c r="BC16" i="6"/>
  <c r="BE15" i="6"/>
  <c r="AY15" i="6" s="1"/>
  <c r="BA15" i="6" s="1"/>
  <c r="AP15" i="6" s="1"/>
  <c r="BC15" i="6"/>
  <c r="BE14" i="6"/>
  <c r="AY14" i="6" s="1"/>
  <c r="BA14" i="6" s="1"/>
  <c r="AP14" i="6" s="1"/>
  <c r="BC14" i="6"/>
  <c r="BE13" i="6"/>
  <c r="AY13" i="6" s="1"/>
  <c r="BA13" i="6" s="1"/>
  <c r="AP13" i="6" s="1"/>
  <c r="BC13" i="6"/>
  <c r="BE12" i="6"/>
  <c r="AY12" i="6" s="1"/>
  <c r="BA12" i="6" s="1"/>
  <c r="AP12" i="6" s="1"/>
  <c r="BC12" i="6"/>
  <c r="BE11" i="6"/>
  <c r="AY11" i="6" s="1"/>
  <c r="BA11" i="6" s="1"/>
  <c r="AP11" i="6" s="1"/>
  <c r="BC11" i="6"/>
  <c r="BE10" i="6"/>
  <c r="AY10" i="6" s="1"/>
  <c r="BA10" i="6" s="1"/>
  <c r="AP10" i="6" s="1"/>
  <c r="BC10" i="6"/>
  <c r="BE40" i="5"/>
  <c r="AY40" i="5" s="1"/>
  <c r="BA40" i="5" s="1"/>
  <c r="BC40" i="5"/>
  <c r="BE39" i="5"/>
  <c r="AY39" i="5" s="1"/>
  <c r="BC39" i="5"/>
  <c r="BE38" i="5"/>
  <c r="BC38" i="5"/>
  <c r="AY38" i="5"/>
  <c r="BA38" i="5" s="1"/>
  <c r="AP38" i="5" s="1"/>
  <c r="BE37" i="5"/>
  <c r="AY37" i="5" s="1"/>
  <c r="BC37" i="5"/>
  <c r="BE36" i="5"/>
  <c r="BC36" i="5"/>
  <c r="AY36" i="5"/>
  <c r="BA36" i="5" s="1"/>
  <c r="AP36" i="5" s="1"/>
  <c r="BE35" i="5"/>
  <c r="AY35" i="5" s="1"/>
  <c r="BC35" i="5"/>
  <c r="BE34" i="5"/>
  <c r="BC34" i="5"/>
  <c r="AY34" i="5"/>
  <c r="BA34" i="5" s="1"/>
  <c r="AP34" i="5" s="1"/>
  <c r="BE33" i="5"/>
  <c r="AY33" i="5" s="1"/>
  <c r="BC33" i="5"/>
  <c r="BE32" i="5"/>
  <c r="BC32" i="5"/>
  <c r="AY32" i="5"/>
  <c r="BA32" i="5" s="1"/>
  <c r="AP32" i="5" s="1"/>
  <c r="BE31" i="5"/>
  <c r="AY31" i="5" s="1"/>
  <c r="BC31" i="5"/>
  <c r="BE30" i="5"/>
  <c r="BC30" i="5"/>
  <c r="AY30" i="5"/>
  <c r="BA30" i="5" s="1"/>
  <c r="AP30" i="5" s="1"/>
  <c r="BE29" i="5"/>
  <c r="AY29" i="5" s="1"/>
  <c r="BC29" i="5"/>
  <c r="BE28" i="5"/>
  <c r="BC28" i="5"/>
  <c r="AY28" i="5"/>
  <c r="BA28" i="5" s="1"/>
  <c r="AP28" i="5" s="1"/>
  <c r="BE27" i="5"/>
  <c r="AY27" i="5" s="1"/>
  <c r="BC27" i="5"/>
  <c r="BE26" i="5"/>
  <c r="BC26" i="5"/>
  <c r="AY26" i="5"/>
  <c r="BA26" i="5" s="1"/>
  <c r="AP26" i="5" s="1"/>
  <c r="BE25" i="5"/>
  <c r="AY25" i="5" s="1"/>
  <c r="BC25" i="5"/>
  <c r="BE24" i="5"/>
  <c r="BC24" i="5"/>
  <c r="AY24" i="5"/>
  <c r="BA24" i="5" s="1"/>
  <c r="AP24" i="5" s="1"/>
  <c r="BE23" i="5"/>
  <c r="AY23" i="5" s="1"/>
  <c r="BC23" i="5"/>
  <c r="BE22" i="5"/>
  <c r="BC22" i="5"/>
  <c r="AY22" i="5"/>
  <c r="BA22" i="5" s="1"/>
  <c r="AP22" i="5" s="1"/>
  <c r="BE21" i="5"/>
  <c r="AY21" i="5" s="1"/>
  <c r="BC21" i="5"/>
  <c r="BE20" i="5"/>
  <c r="BC20" i="5"/>
  <c r="AY20" i="5"/>
  <c r="BA20" i="5" s="1"/>
  <c r="AP20" i="5" s="1"/>
  <c r="BE19" i="5"/>
  <c r="AY19" i="5" s="1"/>
  <c r="BC19" i="5"/>
  <c r="BE18" i="5"/>
  <c r="AY18" i="5" s="1"/>
  <c r="BC18" i="5"/>
  <c r="BE17" i="5"/>
  <c r="AY17" i="5" s="1"/>
  <c r="BC17" i="5"/>
  <c r="BE16" i="5"/>
  <c r="AY16" i="5" s="1"/>
  <c r="BA16" i="5" s="1"/>
  <c r="AP16" i="5" s="1"/>
  <c r="BC16" i="5"/>
  <c r="BE15" i="5"/>
  <c r="AY15" i="5" s="1"/>
  <c r="BC15" i="5"/>
  <c r="BE14" i="5"/>
  <c r="AY14" i="5" s="1"/>
  <c r="BC14" i="5"/>
  <c r="BE13" i="5"/>
  <c r="BC13" i="5"/>
  <c r="AY13" i="5"/>
  <c r="BE12" i="5"/>
  <c r="AY12" i="5" s="1"/>
  <c r="BC12" i="5"/>
  <c r="BE11" i="5"/>
  <c r="AY11" i="5" s="1"/>
  <c r="BC11" i="5"/>
  <c r="BE10" i="5"/>
  <c r="AY10" i="5" s="1"/>
  <c r="BA10" i="5" s="1"/>
  <c r="AP10" i="5" s="1"/>
  <c r="BC10" i="5"/>
  <c r="BE40" i="4"/>
  <c r="AY40" i="4" s="1"/>
  <c r="BA40" i="4" s="1"/>
  <c r="BC40" i="4"/>
  <c r="BE39" i="4"/>
  <c r="AY39" i="4" s="1"/>
  <c r="BA39" i="4" s="1"/>
  <c r="AP39" i="4" s="1"/>
  <c r="BC39" i="4"/>
  <c r="BE38" i="4"/>
  <c r="AY38" i="4" s="1"/>
  <c r="BA38" i="4" s="1"/>
  <c r="AP38" i="4" s="1"/>
  <c r="BC38" i="4"/>
  <c r="BE37" i="4"/>
  <c r="AY37" i="4" s="1"/>
  <c r="BA37" i="4" s="1"/>
  <c r="AP37" i="4" s="1"/>
  <c r="BC37" i="4"/>
  <c r="BE36" i="4"/>
  <c r="AY36" i="4" s="1"/>
  <c r="BA36" i="4" s="1"/>
  <c r="AP36" i="4" s="1"/>
  <c r="BC36" i="4"/>
  <c r="BE35" i="4"/>
  <c r="AY35" i="4" s="1"/>
  <c r="BA35" i="4" s="1"/>
  <c r="AP35" i="4" s="1"/>
  <c r="BC35" i="4"/>
  <c r="BE34" i="4"/>
  <c r="AY34" i="4" s="1"/>
  <c r="BA34" i="4" s="1"/>
  <c r="AP34" i="4" s="1"/>
  <c r="BC34" i="4"/>
  <c r="BE33" i="4"/>
  <c r="AY33" i="4" s="1"/>
  <c r="BA33" i="4" s="1"/>
  <c r="AP33" i="4" s="1"/>
  <c r="BC33" i="4"/>
  <c r="BE32" i="4"/>
  <c r="AY32" i="4" s="1"/>
  <c r="BA32" i="4" s="1"/>
  <c r="AP32" i="4" s="1"/>
  <c r="BC32" i="4"/>
  <c r="BE31" i="4"/>
  <c r="AY31" i="4" s="1"/>
  <c r="BA31" i="4" s="1"/>
  <c r="AP31" i="4" s="1"/>
  <c r="BC31" i="4"/>
  <c r="BE30" i="4"/>
  <c r="AY30" i="4" s="1"/>
  <c r="BA30" i="4" s="1"/>
  <c r="AP30" i="4" s="1"/>
  <c r="BC30" i="4"/>
  <c r="BE29" i="4"/>
  <c r="AY29" i="4" s="1"/>
  <c r="BA29" i="4" s="1"/>
  <c r="AP29" i="4" s="1"/>
  <c r="BC29" i="4"/>
  <c r="BE28" i="4"/>
  <c r="AY28" i="4" s="1"/>
  <c r="BA28" i="4" s="1"/>
  <c r="AP28" i="4" s="1"/>
  <c r="BC28" i="4"/>
  <c r="BE27" i="4"/>
  <c r="AY27" i="4" s="1"/>
  <c r="BA27" i="4" s="1"/>
  <c r="AP27" i="4" s="1"/>
  <c r="BC27" i="4"/>
  <c r="BE26" i="4"/>
  <c r="AY26" i="4" s="1"/>
  <c r="BC26" i="4"/>
  <c r="BE25" i="4"/>
  <c r="AY25" i="4" s="1"/>
  <c r="BA25" i="4" s="1"/>
  <c r="AP25" i="4" s="1"/>
  <c r="BC25" i="4"/>
  <c r="BE24" i="4"/>
  <c r="AY24" i="4" s="1"/>
  <c r="AZ24" i="4" s="1"/>
  <c r="AO24" i="4" s="1"/>
  <c r="BC24" i="4"/>
  <c r="BE23" i="4"/>
  <c r="AY23" i="4" s="1"/>
  <c r="BA23" i="4" s="1"/>
  <c r="AP23" i="4" s="1"/>
  <c r="BC23" i="4"/>
  <c r="BE22" i="4"/>
  <c r="AY22" i="4" s="1"/>
  <c r="BA22" i="4" s="1"/>
  <c r="AP22" i="4" s="1"/>
  <c r="BC22" i="4"/>
  <c r="BE21" i="4"/>
  <c r="AY21" i="4" s="1"/>
  <c r="BA21" i="4" s="1"/>
  <c r="AP21" i="4" s="1"/>
  <c r="BC21" i="4"/>
  <c r="BE20" i="4"/>
  <c r="AY20" i="4" s="1"/>
  <c r="BA20" i="4" s="1"/>
  <c r="AP20" i="4" s="1"/>
  <c r="BC20" i="4"/>
  <c r="BE19" i="4"/>
  <c r="AY19" i="4" s="1"/>
  <c r="BA19" i="4" s="1"/>
  <c r="AP19" i="4" s="1"/>
  <c r="BC19" i="4"/>
  <c r="BE18" i="4"/>
  <c r="AY18" i="4" s="1"/>
  <c r="BA18" i="4" s="1"/>
  <c r="AP18" i="4" s="1"/>
  <c r="BC18" i="4"/>
  <c r="BE17" i="4"/>
  <c r="AY17" i="4" s="1"/>
  <c r="AZ17" i="4" s="1"/>
  <c r="AO17" i="4" s="1"/>
  <c r="BC17" i="4"/>
  <c r="BE16" i="4"/>
  <c r="AY16" i="4" s="1"/>
  <c r="BA16" i="4" s="1"/>
  <c r="AP16" i="4" s="1"/>
  <c r="BC16" i="4"/>
  <c r="BE15" i="4"/>
  <c r="AY15" i="4" s="1"/>
  <c r="AZ15" i="4" s="1"/>
  <c r="AO15" i="4" s="1"/>
  <c r="BC15" i="4"/>
  <c r="BE14" i="4"/>
  <c r="AY14" i="4" s="1"/>
  <c r="BA14" i="4" s="1"/>
  <c r="AP14" i="4" s="1"/>
  <c r="BC14" i="4"/>
  <c r="BE13" i="4"/>
  <c r="AY13" i="4" s="1"/>
  <c r="AZ13" i="4" s="1"/>
  <c r="AO13" i="4" s="1"/>
  <c r="BC13" i="4"/>
  <c r="BE12" i="4"/>
  <c r="AY12" i="4" s="1"/>
  <c r="BA12" i="4" s="1"/>
  <c r="AP12" i="4" s="1"/>
  <c r="BC12" i="4"/>
  <c r="BE11" i="4"/>
  <c r="AY11" i="4" s="1"/>
  <c r="AZ11" i="4" s="1"/>
  <c r="AO11" i="4" s="1"/>
  <c r="BC11" i="4"/>
  <c r="BE10" i="4"/>
  <c r="AY10" i="4" s="1"/>
  <c r="AZ10" i="4" s="1"/>
  <c r="AO10" i="4" s="1"/>
  <c r="BC10" i="4"/>
  <c r="BE40" i="1"/>
  <c r="AY40" i="1" s="1"/>
  <c r="BC40" i="1"/>
  <c r="BE39" i="1"/>
  <c r="AY39" i="1" s="1"/>
  <c r="BC39" i="1"/>
  <c r="BE38" i="1"/>
  <c r="AY38" i="1" s="1"/>
  <c r="BC38" i="1"/>
  <c r="BE37" i="1"/>
  <c r="AY37" i="1" s="1"/>
  <c r="BC37" i="1"/>
  <c r="BE36" i="1"/>
  <c r="AY36" i="1" s="1"/>
  <c r="BC36" i="1"/>
  <c r="BE35" i="1"/>
  <c r="AY35" i="1" s="1"/>
  <c r="BC35" i="1"/>
  <c r="BE34" i="1"/>
  <c r="AY34" i="1" s="1"/>
  <c r="BC34" i="1"/>
  <c r="BE33" i="1"/>
  <c r="AY33" i="1" s="1"/>
  <c r="BC33" i="1"/>
  <c r="BE32" i="1"/>
  <c r="AY32" i="1" s="1"/>
  <c r="BC32" i="1"/>
  <c r="BE31" i="1"/>
  <c r="AY31" i="1" s="1"/>
  <c r="BC31" i="1"/>
  <c r="BE30" i="1"/>
  <c r="AY30" i="1" s="1"/>
  <c r="BC30" i="1"/>
  <c r="BE29" i="1"/>
  <c r="AY29" i="1" s="1"/>
  <c r="BC29" i="1"/>
  <c r="BE28" i="1"/>
  <c r="AY28" i="1" s="1"/>
  <c r="BC28" i="1"/>
  <c r="BE27" i="1"/>
  <c r="AY27" i="1" s="1"/>
  <c r="BC27" i="1"/>
  <c r="BE26" i="1"/>
  <c r="AY26" i="1" s="1"/>
  <c r="BC26" i="1"/>
  <c r="BE25" i="1"/>
  <c r="AY25" i="1" s="1"/>
  <c r="BC25" i="1"/>
  <c r="BE24" i="1"/>
  <c r="AY24" i="1" s="1"/>
  <c r="BC24" i="1"/>
  <c r="BE23" i="1"/>
  <c r="AY23" i="1" s="1"/>
  <c r="BC23" i="1"/>
  <c r="BE22" i="1"/>
  <c r="BC22" i="1"/>
  <c r="AY22" i="1"/>
  <c r="BE21" i="1"/>
  <c r="AY21" i="1" s="1"/>
  <c r="BC21" i="1"/>
  <c r="BE20" i="1"/>
  <c r="BC20" i="1"/>
  <c r="AY20" i="1"/>
  <c r="BE19" i="1"/>
  <c r="AY19" i="1" s="1"/>
  <c r="BC19" i="1"/>
  <c r="BE18" i="1"/>
  <c r="BC18" i="1"/>
  <c r="AY18" i="1"/>
  <c r="BE17" i="1"/>
  <c r="AY17" i="1" s="1"/>
  <c r="BC17" i="1"/>
  <c r="BE16" i="1"/>
  <c r="AY16" i="1" s="1"/>
  <c r="BC16" i="1"/>
  <c r="BE15" i="1"/>
  <c r="AY15" i="1" s="1"/>
  <c r="BC15" i="1"/>
  <c r="BE14" i="1"/>
  <c r="AY14" i="1" s="1"/>
  <c r="BC14" i="1"/>
  <c r="BE13" i="1"/>
  <c r="AY13" i="1" s="1"/>
  <c r="BC13" i="1"/>
  <c r="BE12" i="1"/>
  <c r="AY12" i="1" s="1"/>
  <c r="BA12" i="1" s="1"/>
  <c r="AP12" i="1" s="1"/>
  <c r="BC12" i="1"/>
  <c r="BE11" i="1"/>
  <c r="AY11" i="1" s="1"/>
  <c r="BA11" i="1" s="1"/>
  <c r="AP11" i="1" s="1"/>
  <c r="BC11" i="1"/>
  <c r="BE10" i="1"/>
  <c r="AY10" i="1" s="1"/>
  <c r="BA10" i="1" s="1"/>
  <c r="AP10" i="1" s="1"/>
  <c r="BC10" i="1"/>
  <c r="BE40" i="26"/>
  <c r="AY40" i="26" s="1"/>
  <c r="BA40" i="26" s="1"/>
  <c r="BC40" i="26"/>
  <c r="BE39" i="26"/>
  <c r="BC39" i="26"/>
  <c r="AY39" i="26"/>
  <c r="AZ39" i="26" s="1"/>
  <c r="AO39" i="26" s="1"/>
  <c r="BE38" i="26"/>
  <c r="AY38" i="26" s="1"/>
  <c r="BC38" i="26"/>
  <c r="BE37" i="26"/>
  <c r="BC37" i="26"/>
  <c r="AY37" i="26"/>
  <c r="AZ37" i="26" s="1"/>
  <c r="AO37" i="26" s="1"/>
  <c r="BE36" i="26"/>
  <c r="AY36" i="26" s="1"/>
  <c r="BA36" i="26" s="1"/>
  <c r="AP36" i="26" s="1"/>
  <c r="BC36" i="26"/>
  <c r="BE35" i="26"/>
  <c r="BC35" i="26"/>
  <c r="AY35" i="26"/>
  <c r="BE34" i="26"/>
  <c r="AY34" i="26" s="1"/>
  <c r="BA34" i="26" s="1"/>
  <c r="AP34" i="26" s="1"/>
  <c r="BC34" i="26"/>
  <c r="BE33" i="26"/>
  <c r="AY33" i="26" s="1"/>
  <c r="BC33" i="26"/>
  <c r="BE32" i="26"/>
  <c r="AY32" i="26" s="1"/>
  <c r="AZ32" i="26" s="1"/>
  <c r="AO32" i="26" s="1"/>
  <c r="BC32" i="26"/>
  <c r="BE31" i="26"/>
  <c r="BC31" i="26"/>
  <c r="AY31" i="26"/>
  <c r="AZ31" i="26" s="1"/>
  <c r="AO31" i="26" s="1"/>
  <c r="BE30" i="26"/>
  <c r="AY30" i="26" s="1"/>
  <c r="AZ30" i="26" s="1"/>
  <c r="AO30" i="26" s="1"/>
  <c r="BC30" i="26"/>
  <c r="BE29" i="26"/>
  <c r="AY29" i="26" s="1"/>
  <c r="BA29" i="26" s="1"/>
  <c r="AP29" i="26" s="1"/>
  <c r="BC29" i="26"/>
  <c r="BE28" i="26"/>
  <c r="AY28" i="26" s="1"/>
  <c r="BC28" i="26"/>
  <c r="BE27" i="26"/>
  <c r="AY27" i="26" s="1"/>
  <c r="BA27" i="26" s="1"/>
  <c r="AP27" i="26" s="1"/>
  <c r="BC27" i="26"/>
  <c r="BE26" i="26"/>
  <c r="AY26" i="26" s="1"/>
  <c r="AZ26" i="26" s="1"/>
  <c r="AO26" i="26" s="1"/>
  <c r="BC26" i="26"/>
  <c r="BE25" i="26"/>
  <c r="AY25" i="26" s="1"/>
  <c r="BA25" i="26" s="1"/>
  <c r="AP25" i="26" s="1"/>
  <c r="BC25" i="26"/>
  <c r="BE24" i="26"/>
  <c r="AY24" i="26" s="1"/>
  <c r="AZ24" i="26" s="1"/>
  <c r="AO24" i="26" s="1"/>
  <c r="BC24" i="26"/>
  <c r="BE23" i="26"/>
  <c r="AY23" i="26" s="1"/>
  <c r="BA23" i="26" s="1"/>
  <c r="AP23" i="26" s="1"/>
  <c r="BC23" i="26"/>
  <c r="BE22" i="26"/>
  <c r="AY22" i="26" s="1"/>
  <c r="BA22" i="26" s="1"/>
  <c r="AP22" i="26" s="1"/>
  <c r="BC22" i="26"/>
  <c r="BE21" i="26"/>
  <c r="AY21" i="26" s="1"/>
  <c r="BA21" i="26" s="1"/>
  <c r="AP21" i="26" s="1"/>
  <c r="BC21" i="26"/>
  <c r="BE20" i="26"/>
  <c r="AY20" i="26" s="1"/>
  <c r="BA20" i="26" s="1"/>
  <c r="AP20" i="26" s="1"/>
  <c r="BC20" i="26"/>
  <c r="BE19" i="26"/>
  <c r="AY19" i="26" s="1"/>
  <c r="BC19" i="26"/>
  <c r="BE18" i="26"/>
  <c r="AY18" i="26" s="1"/>
  <c r="BA18" i="26" s="1"/>
  <c r="AP18" i="26" s="1"/>
  <c r="BC18" i="26"/>
  <c r="BE17" i="26"/>
  <c r="AY17" i="26" s="1"/>
  <c r="BA17" i="26" s="1"/>
  <c r="AP17" i="26" s="1"/>
  <c r="BC17" i="26"/>
  <c r="BE16" i="26"/>
  <c r="AY16" i="26" s="1"/>
  <c r="BA16" i="26" s="1"/>
  <c r="AP16" i="26" s="1"/>
  <c r="BC16" i="26"/>
  <c r="BE15" i="26"/>
  <c r="AY15" i="26" s="1"/>
  <c r="BA15" i="26" s="1"/>
  <c r="AP15" i="26" s="1"/>
  <c r="BC15" i="26"/>
  <c r="BE14" i="26"/>
  <c r="AY14" i="26" s="1"/>
  <c r="BA14" i="26" s="1"/>
  <c r="AP14" i="26" s="1"/>
  <c r="BC14" i="26"/>
  <c r="BE13" i="26"/>
  <c r="AY13" i="26" s="1"/>
  <c r="BA13" i="26" s="1"/>
  <c r="AP13" i="26" s="1"/>
  <c r="BC13" i="26"/>
  <c r="BE12" i="26"/>
  <c r="AY12" i="26" s="1"/>
  <c r="AZ12" i="26" s="1"/>
  <c r="AO12" i="26" s="1"/>
  <c r="BC12" i="26"/>
  <c r="BE11" i="26"/>
  <c r="AY11" i="26" s="1"/>
  <c r="BA11" i="26" s="1"/>
  <c r="AP11" i="26" s="1"/>
  <c r="BC11" i="26"/>
  <c r="BE10" i="26"/>
  <c r="AY10" i="26" s="1"/>
  <c r="BA10" i="26" s="1"/>
  <c r="AP10" i="26" s="1"/>
  <c r="BC10" i="26"/>
  <c r="AZ40" i="28" l="1"/>
  <c r="BA40" i="13"/>
  <c r="AZ40" i="13"/>
  <c r="AZ40" i="18"/>
  <c r="AZ10" i="22"/>
  <c r="AO10" i="22" s="1"/>
  <c r="BA14" i="5"/>
  <c r="AP14" i="5" s="1"/>
  <c r="AZ14" i="5"/>
  <c r="AO14" i="5" s="1"/>
  <c r="AN14" i="5"/>
  <c r="BA40" i="7"/>
  <c r="AZ40" i="7"/>
  <c r="BA12" i="5"/>
  <c r="AP12" i="5" s="1"/>
  <c r="AZ12" i="5"/>
  <c r="AO12" i="5" s="1"/>
  <c r="AN12" i="5"/>
  <c r="AZ33" i="26"/>
  <c r="AO33" i="26" s="1"/>
  <c r="AZ40" i="5"/>
  <c r="AZ35" i="11"/>
  <c r="AO35" i="11" s="1"/>
  <c r="BA40" i="15"/>
  <c r="AZ40" i="15"/>
  <c r="AZ38" i="18"/>
  <c r="AO38" i="18" s="1"/>
  <c r="AZ36" i="11"/>
  <c r="AO36" i="11" s="1"/>
  <c r="BA40" i="16"/>
  <c r="AZ10" i="5"/>
  <c r="AO10" i="5" s="1"/>
  <c r="AZ17" i="14"/>
  <c r="AO17" i="14" s="1"/>
  <c r="AZ29" i="14"/>
  <c r="AO29" i="14" s="1"/>
  <c r="AZ16" i="5"/>
  <c r="AO16" i="5" s="1"/>
  <c r="AN10" i="5"/>
  <c r="AN16" i="5"/>
  <c r="AZ32" i="11"/>
  <c r="AO32" i="11" s="1"/>
  <c r="AZ15" i="14"/>
  <c r="AO15" i="14" s="1"/>
  <c r="BA40" i="19"/>
  <c r="AZ40" i="19"/>
  <c r="AZ40" i="23"/>
  <c r="AZ23" i="24"/>
  <c r="AO23" i="24" s="1"/>
  <c r="AZ25" i="24"/>
  <c r="AO25" i="24" s="1"/>
  <c r="AZ27" i="24"/>
  <c r="AO27" i="24" s="1"/>
  <c r="AZ29" i="24"/>
  <c r="AO29" i="24" s="1"/>
  <c r="AZ18" i="18"/>
  <c r="AO18" i="18" s="1"/>
  <c r="AZ10" i="20"/>
  <c r="AO10" i="20" s="1"/>
  <c r="AZ14" i="20"/>
  <c r="AO14" i="20" s="1"/>
  <c r="AZ20" i="20"/>
  <c r="AO20" i="20" s="1"/>
  <c r="AZ26" i="20"/>
  <c r="AO26" i="20" s="1"/>
  <c r="AZ28" i="20"/>
  <c r="AO28" i="20" s="1"/>
  <c r="AZ30" i="20"/>
  <c r="AO30" i="20" s="1"/>
  <c r="AZ34" i="20"/>
  <c r="AO34" i="20" s="1"/>
  <c r="AZ36" i="20"/>
  <c r="AO36" i="20" s="1"/>
  <c r="AZ40" i="20"/>
  <c r="AZ18" i="22"/>
  <c r="AO18" i="22" s="1"/>
  <c r="AZ18" i="20"/>
  <c r="AO18" i="20" s="1"/>
  <c r="AN18" i="19"/>
  <c r="AZ18" i="19"/>
  <c r="AO18" i="19" s="1"/>
  <c r="AN18" i="28"/>
  <c r="AZ18" i="28"/>
  <c r="AO18" i="28" s="1"/>
  <c r="AZ18" i="11"/>
  <c r="AO18" i="11" s="1"/>
  <c r="AZ18" i="7"/>
  <c r="AO18" i="7" s="1"/>
  <c r="AZ17" i="24"/>
  <c r="AO17" i="24" s="1"/>
  <c r="AZ17" i="11"/>
  <c r="AO17" i="11" s="1"/>
  <c r="AZ17" i="7"/>
  <c r="AO17" i="7" s="1"/>
  <c r="AZ16" i="24"/>
  <c r="AO16" i="24" s="1"/>
  <c r="AZ16" i="20"/>
  <c r="AO16" i="20" s="1"/>
  <c r="AN16" i="19"/>
  <c r="AZ16" i="19"/>
  <c r="AO16" i="19" s="1"/>
  <c r="AZ16" i="18"/>
  <c r="AO16" i="18" s="1"/>
  <c r="AZ16" i="16"/>
  <c r="AO16" i="16" s="1"/>
  <c r="AZ16" i="14"/>
  <c r="AO16" i="14" s="1"/>
  <c r="AZ16" i="9"/>
  <c r="AO16" i="9" s="1"/>
  <c r="AZ15" i="22"/>
  <c r="AO15" i="22" s="1"/>
  <c r="AZ15" i="11"/>
  <c r="AO15" i="11" s="1"/>
  <c r="AZ15" i="9"/>
  <c r="AO15" i="9" s="1"/>
  <c r="AZ14" i="24"/>
  <c r="AO14" i="24" s="1"/>
  <c r="AN14" i="21"/>
  <c r="AZ14" i="21"/>
  <c r="AO14" i="21" s="1"/>
  <c r="AN14" i="19"/>
  <c r="AZ14" i="19"/>
  <c r="AO14" i="19" s="1"/>
  <c r="AZ14" i="18"/>
  <c r="AO14" i="18" s="1"/>
  <c r="AZ14" i="16"/>
  <c r="AO14" i="16" s="1"/>
  <c r="AZ14" i="14"/>
  <c r="AO14" i="14" s="1"/>
  <c r="AZ14" i="9"/>
  <c r="AO14" i="9" s="1"/>
  <c r="AZ13" i="22"/>
  <c r="AO13" i="22" s="1"/>
  <c r="AZ13" i="11"/>
  <c r="AO13" i="11" s="1"/>
  <c r="AZ13" i="7"/>
  <c r="AO13" i="7" s="1"/>
  <c r="AN12" i="25"/>
  <c r="AZ12" i="25"/>
  <c r="AO12" i="25" s="1"/>
  <c r="AN12" i="21"/>
  <c r="AZ12" i="21"/>
  <c r="AO12" i="21" s="1"/>
  <c r="AZ12" i="20"/>
  <c r="AO12" i="20" s="1"/>
  <c r="AN12" i="19"/>
  <c r="AZ12" i="19"/>
  <c r="AO12" i="19" s="1"/>
  <c r="AZ12" i="16"/>
  <c r="AO12" i="16" s="1"/>
  <c r="AZ11" i="24"/>
  <c r="AO11" i="24" s="1"/>
  <c r="AN10" i="25"/>
  <c r="AZ10" i="25"/>
  <c r="AO10" i="25" s="1"/>
  <c r="AN10" i="21"/>
  <c r="AZ10" i="21"/>
  <c r="AO10" i="21" s="1"/>
  <c r="AN10" i="19"/>
  <c r="AZ10" i="19"/>
  <c r="AO10" i="19" s="1"/>
  <c r="AZ10" i="7"/>
  <c r="AO10" i="7" s="1"/>
  <c r="AN38" i="5"/>
  <c r="AZ38" i="5"/>
  <c r="AO38" i="5" s="1"/>
  <c r="AN37" i="6"/>
  <c r="AZ37" i="6"/>
  <c r="AO37" i="6" s="1"/>
  <c r="AN36" i="5"/>
  <c r="AZ36" i="5"/>
  <c r="AO36" i="5" s="1"/>
  <c r="AN35" i="6"/>
  <c r="AZ35" i="6"/>
  <c r="AO35" i="6" s="1"/>
  <c r="AN34" i="5"/>
  <c r="AZ34" i="5"/>
  <c r="AO34" i="5" s="1"/>
  <c r="AN33" i="6"/>
  <c r="AZ33" i="6"/>
  <c r="AO33" i="6" s="1"/>
  <c r="AN32" i="5"/>
  <c r="AZ32" i="5"/>
  <c r="AO32" i="5" s="1"/>
  <c r="AN31" i="6"/>
  <c r="AZ31" i="6"/>
  <c r="AO31" i="6" s="1"/>
  <c r="AN30" i="5"/>
  <c r="AZ30" i="5"/>
  <c r="AO30" i="5" s="1"/>
  <c r="AN29" i="6"/>
  <c r="AZ29" i="6"/>
  <c r="AO29" i="6" s="1"/>
  <c r="AN28" i="5"/>
  <c r="AZ28" i="5"/>
  <c r="AO28" i="5" s="1"/>
  <c r="AN27" i="6"/>
  <c r="AZ27" i="6"/>
  <c r="AO27" i="6" s="1"/>
  <c r="AN26" i="5"/>
  <c r="AZ26" i="5"/>
  <c r="AO26" i="5" s="1"/>
  <c r="AZ26" i="4"/>
  <c r="AO26" i="4" s="1"/>
  <c r="AN25" i="6"/>
  <c r="AZ25" i="6"/>
  <c r="AO25" i="6" s="1"/>
  <c r="AN24" i="5"/>
  <c r="AZ24" i="5"/>
  <c r="AO24" i="5" s="1"/>
  <c r="AN23" i="6"/>
  <c r="AZ23" i="6"/>
  <c r="AO23" i="6" s="1"/>
  <c r="AN22" i="5"/>
  <c r="AZ22" i="5"/>
  <c r="AO22" i="5" s="1"/>
  <c r="AN20" i="5"/>
  <c r="AZ20" i="5"/>
  <c r="AO20" i="5" s="1"/>
  <c r="BA18" i="5"/>
  <c r="AP18" i="5" s="1"/>
  <c r="AZ18" i="5"/>
  <c r="AO18" i="5" s="1"/>
  <c r="AN18" i="5"/>
  <c r="AN39" i="6"/>
  <c r="AZ39" i="6"/>
  <c r="AO39" i="6" s="1"/>
  <c r="AZ39" i="24"/>
  <c r="AO39" i="24" s="1"/>
  <c r="AN39" i="22"/>
  <c r="AZ39" i="22"/>
  <c r="AO39" i="22" s="1"/>
  <c r="AN39" i="21"/>
  <c r="AZ39" i="21"/>
  <c r="AO39" i="21" s="1"/>
  <c r="AN39" i="17"/>
  <c r="AZ39" i="17"/>
  <c r="AO39" i="17" s="1"/>
  <c r="AN39" i="14"/>
  <c r="AZ39" i="14"/>
  <c r="AO39" i="14" s="1"/>
  <c r="AN39" i="28"/>
  <c r="AZ39" i="28"/>
  <c r="AO39" i="28" s="1"/>
  <c r="BA39" i="11"/>
  <c r="AP39" i="11" s="1"/>
  <c r="AZ39" i="11"/>
  <c r="AO39" i="11" s="1"/>
  <c r="AN39" i="11"/>
  <c r="AN39" i="10"/>
  <c r="AZ39" i="10"/>
  <c r="AO39" i="10" s="1"/>
  <c r="AN39" i="9"/>
  <c r="AZ39" i="9"/>
  <c r="AO39" i="9" s="1"/>
  <c r="AN39" i="8"/>
  <c r="AZ39" i="8"/>
  <c r="AO39" i="8" s="1"/>
  <c r="AZ38" i="26"/>
  <c r="AO38" i="26" s="1"/>
  <c r="AZ38" i="24"/>
  <c r="AO38" i="24" s="1"/>
  <c r="BA38" i="23"/>
  <c r="AP38" i="23" s="1"/>
  <c r="AZ38" i="23"/>
  <c r="AO38" i="23" s="1"/>
  <c r="AN38" i="23"/>
  <c r="AZ38" i="20"/>
  <c r="AO38" i="20" s="1"/>
  <c r="BA38" i="19"/>
  <c r="AP38" i="19" s="1"/>
  <c r="AZ38" i="19"/>
  <c r="AO38" i="19" s="1"/>
  <c r="AN38" i="19"/>
  <c r="AN38" i="17"/>
  <c r="AZ38" i="17"/>
  <c r="AO38" i="17" s="1"/>
  <c r="AN38" i="16"/>
  <c r="AZ38" i="16"/>
  <c r="AO38" i="16" s="1"/>
  <c r="BA38" i="15"/>
  <c r="AP38" i="15" s="1"/>
  <c r="AZ38" i="15"/>
  <c r="AO38" i="15" s="1"/>
  <c r="AN38" i="15"/>
  <c r="BA38" i="13"/>
  <c r="AP38" i="13" s="1"/>
  <c r="AZ38" i="13"/>
  <c r="AO38" i="13" s="1"/>
  <c r="AN38" i="13"/>
  <c r="AZ38" i="11"/>
  <c r="AO38" i="11" s="1"/>
  <c r="AN38" i="7"/>
  <c r="AZ38" i="7"/>
  <c r="AO38" i="7" s="1"/>
  <c r="AN37" i="22"/>
  <c r="AZ37" i="22"/>
  <c r="AO37" i="22" s="1"/>
  <c r="AN37" i="21"/>
  <c r="AZ37" i="21"/>
  <c r="AO37" i="21" s="1"/>
  <c r="AZ37" i="20"/>
  <c r="AO37" i="20" s="1"/>
  <c r="AZ37" i="18"/>
  <c r="AO37" i="18" s="1"/>
  <c r="AZ37" i="17"/>
  <c r="AO37" i="17" s="1"/>
  <c r="AN37" i="14"/>
  <c r="AZ37" i="14"/>
  <c r="AO37" i="14" s="1"/>
  <c r="AZ37" i="11"/>
  <c r="AO37" i="11" s="1"/>
  <c r="AN37" i="10"/>
  <c r="AZ37" i="10"/>
  <c r="AO37" i="10" s="1"/>
  <c r="AN37" i="9"/>
  <c r="AZ37" i="9"/>
  <c r="AO37" i="9" s="1"/>
  <c r="AN37" i="8"/>
  <c r="AZ37" i="8"/>
  <c r="AO37" i="8" s="1"/>
  <c r="AZ36" i="24"/>
  <c r="AO36" i="24" s="1"/>
  <c r="BA36" i="23"/>
  <c r="AP36" i="23" s="1"/>
  <c r="AZ36" i="23"/>
  <c r="AO36" i="23" s="1"/>
  <c r="AN36" i="23"/>
  <c r="AN36" i="19"/>
  <c r="AZ36" i="19"/>
  <c r="AO36" i="19" s="1"/>
  <c r="BA36" i="16"/>
  <c r="AP36" i="16" s="1"/>
  <c r="AZ36" i="16"/>
  <c r="AO36" i="16" s="1"/>
  <c r="AN36" i="16"/>
  <c r="BA36" i="15"/>
  <c r="AP36" i="15" s="1"/>
  <c r="AZ36" i="15"/>
  <c r="AO36" i="15" s="1"/>
  <c r="AN36" i="15"/>
  <c r="BA36" i="13"/>
  <c r="AP36" i="13" s="1"/>
  <c r="AZ36" i="13"/>
  <c r="AO36" i="13" s="1"/>
  <c r="AN36" i="13"/>
  <c r="AN37" i="28"/>
  <c r="AZ37" i="28"/>
  <c r="AO37" i="28" s="1"/>
  <c r="AN36" i="7"/>
  <c r="AZ36" i="7"/>
  <c r="AO36" i="7" s="1"/>
  <c r="AZ35" i="26"/>
  <c r="AO35" i="26" s="1"/>
  <c r="AZ35" i="25"/>
  <c r="AO35" i="25" s="1"/>
  <c r="AZ35" i="24"/>
  <c r="AO35" i="24" s="1"/>
  <c r="AN35" i="22"/>
  <c r="AZ35" i="22"/>
  <c r="AO35" i="22" s="1"/>
  <c r="AN35" i="21"/>
  <c r="AZ35" i="21"/>
  <c r="AO35" i="21" s="1"/>
  <c r="AZ35" i="20"/>
  <c r="AO35" i="20" s="1"/>
  <c r="AN35" i="14"/>
  <c r="AZ35" i="14"/>
  <c r="AO35" i="14" s="1"/>
  <c r="AN35" i="28"/>
  <c r="AZ35" i="28"/>
  <c r="AO35" i="28" s="1"/>
  <c r="BA35" i="10"/>
  <c r="AP35" i="10" s="1"/>
  <c r="AZ35" i="10"/>
  <c r="AO35" i="10" s="1"/>
  <c r="AN35" i="10"/>
  <c r="AN35" i="9"/>
  <c r="AZ35" i="9"/>
  <c r="AO35" i="9" s="1"/>
  <c r="AN35" i="8"/>
  <c r="AZ35" i="8"/>
  <c r="AO35" i="8" s="1"/>
  <c r="AN34" i="23"/>
  <c r="AZ34" i="23"/>
  <c r="AO34" i="23" s="1"/>
  <c r="AN34" i="19"/>
  <c r="AZ34" i="19"/>
  <c r="AO34" i="19" s="1"/>
  <c r="BA34" i="16"/>
  <c r="AP34" i="16" s="1"/>
  <c r="AZ34" i="16"/>
  <c r="AO34" i="16" s="1"/>
  <c r="AN34" i="16"/>
  <c r="AN34" i="15"/>
  <c r="AZ34" i="15"/>
  <c r="AO34" i="15" s="1"/>
  <c r="AN34" i="13"/>
  <c r="AZ34" i="13"/>
  <c r="AO34" i="13" s="1"/>
  <c r="AZ34" i="11"/>
  <c r="AO34" i="11" s="1"/>
  <c r="AN34" i="7"/>
  <c r="AZ34" i="7"/>
  <c r="AO34" i="7" s="1"/>
  <c r="AN33" i="21"/>
  <c r="AZ33" i="21"/>
  <c r="AO33" i="21" s="1"/>
  <c r="AN33" i="16"/>
  <c r="AN33" i="28"/>
  <c r="AZ33" i="28"/>
  <c r="AO33" i="28" s="1"/>
  <c r="AZ33" i="11"/>
  <c r="AO33" i="11" s="1"/>
  <c r="AN33" i="10"/>
  <c r="AZ33" i="10"/>
  <c r="AO33" i="10" s="1"/>
  <c r="AN33" i="9"/>
  <c r="AZ33" i="9"/>
  <c r="AO33" i="9" s="1"/>
  <c r="AN33" i="8"/>
  <c r="AZ33" i="8"/>
  <c r="AO33" i="8" s="1"/>
  <c r="AN33" i="7"/>
  <c r="AZ33" i="7"/>
  <c r="AO33" i="7" s="1"/>
  <c r="AZ32" i="24"/>
  <c r="AO32" i="24" s="1"/>
  <c r="AZ32" i="20"/>
  <c r="AO32" i="20" s="1"/>
  <c r="BA32" i="19"/>
  <c r="AP32" i="19" s="1"/>
  <c r="AZ32" i="19"/>
  <c r="AO32" i="19" s="1"/>
  <c r="AN32" i="19"/>
  <c r="AZ32" i="18"/>
  <c r="AO32" i="18" s="1"/>
  <c r="BA32" i="17"/>
  <c r="AP32" i="17" s="1"/>
  <c r="AZ32" i="17"/>
  <c r="AO32" i="17" s="1"/>
  <c r="AN32" i="17"/>
  <c r="AZ32" i="16"/>
  <c r="AO32" i="16" s="1"/>
  <c r="AN32" i="15"/>
  <c r="AZ32" i="15"/>
  <c r="AO32" i="15" s="1"/>
  <c r="AZ32" i="14"/>
  <c r="AO32" i="14" s="1"/>
  <c r="AN32" i="13"/>
  <c r="AZ32" i="13"/>
  <c r="AO32" i="13" s="1"/>
  <c r="AN32" i="7"/>
  <c r="AZ32" i="7"/>
  <c r="AO32" i="7" s="1"/>
  <c r="AZ31" i="25"/>
  <c r="AO31" i="25" s="1"/>
  <c r="AZ31" i="22"/>
  <c r="AO31" i="22" s="1"/>
  <c r="AN31" i="21"/>
  <c r="AZ31" i="21"/>
  <c r="AO31" i="21" s="1"/>
  <c r="AZ31" i="20"/>
  <c r="AO31" i="20" s="1"/>
  <c r="AZ31" i="18"/>
  <c r="AO31" i="18" s="1"/>
  <c r="AZ31" i="14"/>
  <c r="AO31" i="14" s="1"/>
  <c r="AN31" i="28"/>
  <c r="AZ31" i="28"/>
  <c r="AO31" i="28" s="1"/>
  <c r="AN31" i="10"/>
  <c r="AZ31" i="10"/>
  <c r="AO31" i="10" s="1"/>
  <c r="BA31" i="9"/>
  <c r="AP31" i="9" s="1"/>
  <c r="AZ31" i="9"/>
  <c r="AO31" i="9" s="1"/>
  <c r="AN31" i="9"/>
  <c r="AN31" i="8"/>
  <c r="AZ31" i="8"/>
  <c r="AO31" i="8" s="1"/>
  <c r="AN30" i="23"/>
  <c r="AZ30" i="23"/>
  <c r="AO30" i="23" s="1"/>
  <c r="AN30" i="19"/>
  <c r="AZ30" i="19"/>
  <c r="AO30" i="19" s="1"/>
  <c r="AN30" i="17"/>
  <c r="AZ30" i="17"/>
  <c r="AO30" i="17" s="1"/>
  <c r="AN30" i="15"/>
  <c r="AZ30" i="15"/>
  <c r="AO30" i="15" s="1"/>
  <c r="AZ30" i="14"/>
  <c r="AO30" i="14" s="1"/>
  <c r="BA30" i="13"/>
  <c r="AP30" i="13" s="1"/>
  <c r="AZ30" i="13"/>
  <c r="AO30" i="13" s="1"/>
  <c r="AN30" i="13"/>
  <c r="AZ30" i="11"/>
  <c r="AO30" i="11" s="1"/>
  <c r="AN30" i="10"/>
  <c r="AN29" i="23"/>
  <c r="AZ29" i="23"/>
  <c r="AO29" i="23" s="1"/>
  <c r="BA29" i="21"/>
  <c r="AP29" i="21" s="1"/>
  <c r="AZ29" i="21"/>
  <c r="AO29" i="21" s="1"/>
  <c r="AN29" i="21"/>
  <c r="AZ29" i="18"/>
  <c r="AO29" i="18" s="1"/>
  <c r="AZ29" i="16"/>
  <c r="AO29" i="16" s="1"/>
  <c r="AN29" i="28"/>
  <c r="AZ29" i="28"/>
  <c r="AO29" i="28" s="1"/>
  <c r="AZ29" i="11"/>
  <c r="AO29" i="11" s="1"/>
  <c r="AN29" i="9"/>
  <c r="AZ29" i="9"/>
  <c r="AO29" i="9" s="1"/>
  <c r="AZ29" i="7"/>
  <c r="AO29" i="7" s="1"/>
  <c r="AZ28" i="26"/>
  <c r="AO28" i="26" s="1"/>
  <c r="AN28" i="23"/>
  <c r="AZ28" i="23"/>
  <c r="AO28" i="23" s="1"/>
  <c r="AN27" i="21"/>
  <c r="AZ27" i="21"/>
  <c r="AO27" i="21" s="1"/>
  <c r="AZ27" i="20"/>
  <c r="AO27" i="20" s="1"/>
  <c r="AN28" i="19"/>
  <c r="AZ28" i="19"/>
  <c r="AO28" i="19" s="1"/>
  <c r="AZ27" i="18"/>
  <c r="AO27" i="18" s="1"/>
  <c r="AN28" i="17"/>
  <c r="AZ28" i="17"/>
  <c r="AO28" i="17" s="1"/>
  <c r="AN28" i="15"/>
  <c r="AZ28" i="15"/>
  <c r="AO28" i="15" s="1"/>
  <c r="AZ28" i="14"/>
  <c r="AO28" i="14" s="1"/>
  <c r="BA28" i="13"/>
  <c r="AP28" i="13" s="1"/>
  <c r="AZ28" i="13"/>
  <c r="AO28" i="13" s="1"/>
  <c r="AN28" i="13"/>
  <c r="AZ28" i="9"/>
  <c r="AO28" i="9" s="1"/>
  <c r="AZ27" i="14"/>
  <c r="AO27" i="14" s="1"/>
  <c r="BA27" i="28"/>
  <c r="AP27" i="28" s="1"/>
  <c r="AZ27" i="28"/>
  <c r="AO27" i="28" s="1"/>
  <c r="AN27" i="28"/>
  <c r="AN26" i="23"/>
  <c r="AZ26" i="23"/>
  <c r="AO26" i="23" s="1"/>
  <c r="AN26" i="19"/>
  <c r="AZ26" i="19"/>
  <c r="AO26" i="19" s="1"/>
  <c r="AZ26" i="18"/>
  <c r="AO26" i="18" s="1"/>
  <c r="AN26" i="17"/>
  <c r="AZ26" i="17"/>
  <c r="AO26" i="17" s="1"/>
  <c r="AN26" i="15"/>
  <c r="AZ26" i="15"/>
  <c r="AO26" i="15" s="1"/>
  <c r="AZ25" i="20"/>
  <c r="AO25" i="20" s="1"/>
  <c r="AN25" i="17"/>
  <c r="AZ25" i="16"/>
  <c r="AO25" i="16" s="1"/>
  <c r="AZ25" i="14"/>
  <c r="AO25" i="14" s="1"/>
  <c r="AZ25" i="11"/>
  <c r="AO25" i="11" s="1"/>
  <c r="AZ25" i="9"/>
  <c r="AO25" i="9" s="1"/>
  <c r="AZ25" i="7"/>
  <c r="AO25" i="7" s="1"/>
  <c r="AN24" i="23"/>
  <c r="AZ24" i="23"/>
  <c r="AO24" i="23" s="1"/>
  <c r="AZ24" i="22"/>
  <c r="AO24" i="22" s="1"/>
  <c r="AZ24" i="20"/>
  <c r="AO24" i="20" s="1"/>
  <c r="AN24" i="19"/>
  <c r="AZ24" i="19"/>
  <c r="AO24" i="19" s="1"/>
  <c r="AZ24" i="18"/>
  <c r="AO24" i="18" s="1"/>
  <c r="BA24" i="15"/>
  <c r="AP24" i="15" s="1"/>
  <c r="AZ24" i="15"/>
  <c r="AO24" i="15" s="1"/>
  <c r="AN24" i="15"/>
  <c r="AZ24" i="14"/>
  <c r="AO24" i="14" s="1"/>
  <c r="BA24" i="28"/>
  <c r="AP24" i="28" s="1"/>
  <c r="AZ24" i="28"/>
  <c r="AO24" i="28" s="1"/>
  <c r="AN24" i="28"/>
  <c r="AZ24" i="7"/>
  <c r="AO24" i="7" s="1"/>
  <c r="AZ23" i="25"/>
  <c r="AO23" i="25" s="1"/>
  <c r="AZ23" i="22"/>
  <c r="AO23" i="22" s="1"/>
  <c r="AZ23" i="16"/>
  <c r="AO23" i="16" s="1"/>
  <c r="AZ23" i="11"/>
  <c r="AO23" i="11" s="1"/>
  <c r="AZ22" i="20"/>
  <c r="AO22" i="20" s="1"/>
  <c r="AN22" i="19"/>
  <c r="AZ22" i="19"/>
  <c r="AO22" i="19" s="1"/>
  <c r="AZ22" i="18"/>
  <c r="AO22" i="18" s="1"/>
  <c r="AN22" i="28"/>
  <c r="AZ22" i="28"/>
  <c r="AO22" i="28" s="1"/>
  <c r="AZ22" i="11"/>
  <c r="AO22" i="11" s="1"/>
  <c r="AZ22" i="7"/>
  <c r="AO22" i="7" s="1"/>
  <c r="AZ21" i="24"/>
  <c r="AO21" i="24" s="1"/>
  <c r="AZ21" i="18"/>
  <c r="AO21" i="18" s="1"/>
  <c r="AN20" i="19"/>
  <c r="AZ20" i="19"/>
  <c r="AO20" i="19" s="1"/>
  <c r="AZ20" i="18"/>
  <c r="AO20" i="18" s="1"/>
  <c r="AN20" i="28"/>
  <c r="AZ20" i="28"/>
  <c r="AO20" i="28" s="1"/>
  <c r="AZ20" i="9"/>
  <c r="AO20" i="9" s="1"/>
  <c r="AZ20" i="7"/>
  <c r="AO20" i="7" s="1"/>
  <c r="AZ19" i="26"/>
  <c r="AO19" i="26" s="1"/>
  <c r="AZ19" i="24"/>
  <c r="AO19" i="24" s="1"/>
  <c r="AZ19" i="22"/>
  <c r="AO19" i="22" s="1"/>
  <c r="AZ19" i="20"/>
  <c r="AO19" i="20" s="1"/>
  <c r="AZ19" i="14"/>
  <c r="AO19" i="14" s="1"/>
  <c r="AZ19" i="7"/>
  <c r="AO19" i="7" s="1"/>
  <c r="BA16" i="1"/>
  <c r="AP16" i="1" s="1"/>
  <c r="AN16" i="1"/>
  <c r="BA20" i="1"/>
  <c r="AP20" i="1" s="1"/>
  <c r="AN20" i="1"/>
  <c r="BA24" i="1"/>
  <c r="AP24" i="1" s="1"/>
  <c r="AN24" i="1"/>
  <c r="BA28" i="1"/>
  <c r="AP28" i="1" s="1"/>
  <c r="AN28" i="1"/>
  <c r="BA32" i="1"/>
  <c r="AP32" i="1" s="1"/>
  <c r="AN32" i="1"/>
  <c r="BA38" i="1"/>
  <c r="AP38" i="1" s="1"/>
  <c r="AN38" i="1"/>
  <c r="BA27" i="13"/>
  <c r="AP27" i="13" s="1"/>
  <c r="AZ27" i="13"/>
  <c r="AO27" i="13" s="1"/>
  <c r="AN27" i="13"/>
  <c r="BA29" i="13"/>
  <c r="AP29" i="13" s="1"/>
  <c r="AZ29" i="13"/>
  <c r="AO29" i="13" s="1"/>
  <c r="AN29" i="13"/>
  <c r="BA31" i="13"/>
  <c r="AP31" i="13" s="1"/>
  <c r="AZ31" i="13"/>
  <c r="AO31" i="13" s="1"/>
  <c r="AN31" i="13"/>
  <c r="BA33" i="13"/>
  <c r="AP33" i="13" s="1"/>
  <c r="AZ33" i="13"/>
  <c r="AO33" i="13" s="1"/>
  <c r="AN33" i="13"/>
  <c r="BA35" i="13"/>
  <c r="AP35" i="13" s="1"/>
  <c r="AZ35" i="13"/>
  <c r="AO35" i="13" s="1"/>
  <c r="AN35" i="13"/>
  <c r="BA37" i="13"/>
  <c r="AP37" i="13" s="1"/>
  <c r="AZ37" i="13"/>
  <c r="AO37" i="13" s="1"/>
  <c r="AN37" i="13"/>
  <c r="BA39" i="13"/>
  <c r="AP39" i="13" s="1"/>
  <c r="AZ39" i="13"/>
  <c r="AO39" i="13" s="1"/>
  <c r="AN39" i="13"/>
  <c r="BA34" i="14"/>
  <c r="AP34" i="14" s="1"/>
  <c r="AZ34" i="14"/>
  <c r="AO34" i="14" s="1"/>
  <c r="AN34" i="14"/>
  <c r="BA36" i="14"/>
  <c r="AP36" i="14" s="1"/>
  <c r="AZ36" i="14"/>
  <c r="AO36" i="14" s="1"/>
  <c r="AN36" i="14"/>
  <c r="BA38" i="14"/>
  <c r="AP38" i="14" s="1"/>
  <c r="AZ38" i="14"/>
  <c r="AO38" i="14" s="1"/>
  <c r="AN38" i="14"/>
  <c r="BA40" i="14"/>
  <c r="AZ40" i="14"/>
  <c r="BA25" i="15"/>
  <c r="AP25" i="15" s="1"/>
  <c r="AZ25" i="15"/>
  <c r="AO25" i="15" s="1"/>
  <c r="AN25" i="15"/>
  <c r="BA27" i="15"/>
  <c r="AP27" i="15" s="1"/>
  <c r="AZ27" i="15"/>
  <c r="AO27" i="15" s="1"/>
  <c r="AN27" i="15"/>
  <c r="BA29" i="15"/>
  <c r="AP29" i="15" s="1"/>
  <c r="AZ29" i="15"/>
  <c r="AO29" i="15" s="1"/>
  <c r="AN29" i="15"/>
  <c r="BA31" i="15"/>
  <c r="AP31" i="15" s="1"/>
  <c r="AZ31" i="15"/>
  <c r="AO31" i="15" s="1"/>
  <c r="AN31" i="15"/>
  <c r="BA33" i="15"/>
  <c r="AP33" i="15" s="1"/>
  <c r="AZ33" i="15"/>
  <c r="AO33" i="15" s="1"/>
  <c r="AN33" i="15"/>
  <c r="BA35" i="15"/>
  <c r="AP35" i="15" s="1"/>
  <c r="AZ35" i="15"/>
  <c r="AO35" i="15" s="1"/>
  <c r="AN35" i="15"/>
  <c r="BA37" i="15"/>
  <c r="AP37" i="15" s="1"/>
  <c r="AZ37" i="15"/>
  <c r="AO37" i="15" s="1"/>
  <c r="AN37" i="15"/>
  <c r="BA39" i="15"/>
  <c r="AP39" i="15" s="1"/>
  <c r="AZ39" i="15"/>
  <c r="AO39" i="15" s="1"/>
  <c r="AN39" i="15"/>
  <c r="BA35" i="16"/>
  <c r="AP35" i="16" s="1"/>
  <c r="AZ35" i="16"/>
  <c r="AO35" i="16" s="1"/>
  <c r="AN35" i="16"/>
  <c r="BA37" i="16"/>
  <c r="AP37" i="16" s="1"/>
  <c r="AZ37" i="16"/>
  <c r="AO37" i="16" s="1"/>
  <c r="AN37" i="16"/>
  <c r="BA39" i="16"/>
  <c r="AP39" i="16" s="1"/>
  <c r="AZ39" i="16"/>
  <c r="AO39" i="16" s="1"/>
  <c r="AN39" i="16"/>
  <c r="BA27" i="17"/>
  <c r="AP27" i="17" s="1"/>
  <c r="AZ27" i="17"/>
  <c r="AO27" i="17" s="1"/>
  <c r="AN27" i="17"/>
  <c r="BA29" i="17"/>
  <c r="AP29" i="17" s="1"/>
  <c r="AZ29" i="17"/>
  <c r="AO29" i="17" s="1"/>
  <c r="AN29" i="17"/>
  <c r="BA31" i="17"/>
  <c r="AP31" i="17" s="1"/>
  <c r="AZ31" i="17"/>
  <c r="AO31" i="17" s="1"/>
  <c r="AN31" i="17"/>
  <c r="BA33" i="17"/>
  <c r="AP33" i="17" s="1"/>
  <c r="AN33" i="17"/>
  <c r="BA35" i="17"/>
  <c r="AP35" i="17" s="1"/>
  <c r="AN35" i="17"/>
  <c r="BA40" i="17"/>
  <c r="AZ40" i="17"/>
  <c r="BA14" i="1"/>
  <c r="AP14" i="1" s="1"/>
  <c r="AN14" i="1"/>
  <c r="BA18" i="1"/>
  <c r="AP18" i="1" s="1"/>
  <c r="AN18" i="1"/>
  <c r="BA22" i="1"/>
  <c r="AP22" i="1" s="1"/>
  <c r="AN22" i="1"/>
  <c r="BA26" i="1"/>
  <c r="AP26" i="1" s="1"/>
  <c r="AN26" i="1"/>
  <c r="BA30" i="1"/>
  <c r="AP30" i="1" s="1"/>
  <c r="AN30" i="1"/>
  <c r="BA34" i="1"/>
  <c r="AP34" i="1" s="1"/>
  <c r="AN34" i="1"/>
  <c r="BA36" i="1"/>
  <c r="AP36" i="1" s="1"/>
  <c r="AN36" i="1"/>
  <c r="BA40" i="1"/>
  <c r="AN10" i="1"/>
  <c r="AZ10" i="1"/>
  <c r="AO10" i="1" s="1"/>
  <c r="AN11" i="1"/>
  <c r="AZ11" i="1"/>
  <c r="AO11" i="1" s="1"/>
  <c r="AN12" i="1"/>
  <c r="BA13" i="1"/>
  <c r="AP13" i="1" s="1"/>
  <c r="AN13" i="1"/>
  <c r="BA15" i="1"/>
  <c r="AP15" i="1" s="1"/>
  <c r="AN15" i="1"/>
  <c r="BA17" i="1"/>
  <c r="AP17" i="1" s="1"/>
  <c r="AN17" i="1"/>
  <c r="BA19" i="1"/>
  <c r="AP19" i="1" s="1"/>
  <c r="AN19" i="1"/>
  <c r="BA21" i="1"/>
  <c r="AP21" i="1" s="1"/>
  <c r="AN21" i="1"/>
  <c r="BA23" i="1"/>
  <c r="AP23" i="1" s="1"/>
  <c r="AN23" i="1"/>
  <c r="BA25" i="1"/>
  <c r="AP25" i="1" s="1"/>
  <c r="AN25" i="1"/>
  <c r="BA27" i="1"/>
  <c r="AP27" i="1" s="1"/>
  <c r="AN27" i="1"/>
  <c r="BA29" i="1"/>
  <c r="AP29" i="1" s="1"/>
  <c r="AN29" i="1"/>
  <c r="BA31" i="1"/>
  <c r="AP31" i="1" s="1"/>
  <c r="AN31" i="1"/>
  <c r="BA33" i="1"/>
  <c r="AP33" i="1" s="1"/>
  <c r="AN33" i="1"/>
  <c r="BA35" i="1"/>
  <c r="AP35" i="1" s="1"/>
  <c r="AN35" i="1"/>
  <c r="BA37" i="1"/>
  <c r="AP37" i="1" s="1"/>
  <c r="AN37" i="1"/>
  <c r="BA39" i="1"/>
  <c r="AP39" i="1" s="1"/>
  <c r="AN39" i="1"/>
  <c r="BA11" i="5"/>
  <c r="AP11" i="5" s="1"/>
  <c r="AZ11" i="5"/>
  <c r="AO11" i="5" s="1"/>
  <c r="AN11" i="5"/>
  <c r="BA13" i="5"/>
  <c r="AP13" i="5" s="1"/>
  <c r="AZ13" i="5"/>
  <c r="AO13" i="5" s="1"/>
  <c r="AN13" i="5"/>
  <c r="BA15" i="5"/>
  <c r="AP15" i="5" s="1"/>
  <c r="AZ15" i="5"/>
  <c r="AO15" i="5" s="1"/>
  <c r="AN15" i="5"/>
  <c r="BA17" i="5"/>
  <c r="AP17" i="5" s="1"/>
  <c r="AZ17" i="5"/>
  <c r="AO17" i="5" s="1"/>
  <c r="AN17" i="5"/>
  <c r="BA19" i="5"/>
  <c r="AP19" i="5" s="1"/>
  <c r="AZ19" i="5"/>
  <c r="AO19" i="5" s="1"/>
  <c r="AN19" i="5"/>
  <c r="BA21" i="5"/>
  <c r="AP21" i="5" s="1"/>
  <c r="AZ21" i="5"/>
  <c r="AO21" i="5" s="1"/>
  <c r="AN21" i="5"/>
  <c r="BA23" i="5"/>
  <c r="AP23" i="5" s="1"/>
  <c r="AZ23" i="5"/>
  <c r="AO23" i="5" s="1"/>
  <c r="AN23" i="5"/>
  <c r="BA25" i="5"/>
  <c r="AP25" i="5" s="1"/>
  <c r="AZ25" i="5"/>
  <c r="AO25" i="5" s="1"/>
  <c r="AN25" i="5"/>
  <c r="BA27" i="5"/>
  <c r="AP27" i="5" s="1"/>
  <c r="AZ27" i="5"/>
  <c r="AO27" i="5" s="1"/>
  <c r="AN27" i="5"/>
  <c r="BA29" i="5"/>
  <c r="AP29" i="5" s="1"/>
  <c r="AZ29" i="5"/>
  <c r="AO29" i="5" s="1"/>
  <c r="AN29" i="5"/>
  <c r="BA31" i="5"/>
  <c r="AP31" i="5" s="1"/>
  <c r="AZ31" i="5"/>
  <c r="AO31" i="5" s="1"/>
  <c r="AN31" i="5"/>
  <c r="BA33" i="5"/>
  <c r="AP33" i="5" s="1"/>
  <c r="AZ33" i="5"/>
  <c r="AO33" i="5" s="1"/>
  <c r="AN33" i="5"/>
  <c r="BA35" i="5"/>
  <c r="AP35" i="5" s="1"/>
  <c r="AZ35" i="5"/>
  <c r="AO35" i="5" s="1"/>
  <c r="AN35" i="5"/>
  <c r="BA37" i="5"/>
  <c r="AP37" i="5" s="1"/>
  <c r="AZ37" i="5"/>
  <c r="AO37" i="5" s="1"/>
  <c r="AN37" i="5"/>
  <c r="BA39" i="5"/>
  <c r="AP39" i="5" s="1"/>
  <c r="AZ39" i="5"/>
  <c r="AO39" i="5" s="1"/>
  <c r="AN39" i="5"/>
  <c r="BA22" i="6"/>
  <c r="AP22" i="6" s="1"/>
  <c r="AZ22" i="6"/>
  <c r="AO22" i="6" s="1"/>
  <c r="AN22" i="6"/>
  <c r="BA24" i="6"/>
  <c r="AP24" i="6" s="1"/>
  <c r="AZ24" i="6"/>
  <c r="AO24" i="6" s="1"/>
  <c r="AN24" i="6"/>
  <c r="BA26" i="6"/>
  <c r="AP26" i="6" s="1"/>
  <c r="AZ26" i="6"/>
  <c r="AO26" i="6" s="1"/>
  <c r="AN26" i="6"/>
  <c r="BA28" i="6"/>
  <c r="AP28" i="6" s="1"/>
  <c r="AZ28" i="6"/>
  <c r="AO28" i="6" s="1"/>
  <c r="AN28" i="6"/>
  <c r="BA30" i="6"/>
  <c r="AP30" i="6" s="1"/>
  <c r="AZ30" i="6"/>
  <c r="AO30" i="6" s="1"/>
  <c r="AN30" i="6"/>
  <c r="BA32" i="6"/>
  <c r="AP32" i="6" s="1"/>
  <c r="AZ32" i="6"/>
  <c r="AO32" i="6" s="1"/>
  <c r="AN32" i="6"/>
  <c r="BA34" i="6"/>
  <c r="AP34" i="6" s="1"/>
  <c r="AZ34" i="6"/>
  <c r="AO34" i="6" s="1"/>
  <c r="AN34" i="6"/>
  <c r="BA36" i="6"/>
  <c r="AP36" i="6" s="1"/>
  <c r="AZ36" i="6"/>
  <c r="AO36" i="6" s="1"/>
  <c r="AN36" i="6"/>
  <c r="BA38" i="6"/>
  <c r="AP38" i="6" s="1"/>
  <c r="AZ38" i="6"/>
  <c r="AO38" i="6" s="1"/>
  <c r="AN38" i="6"/>
  <c r="BA40" i="6"/>
  <c r="AZ40" i="6"/>
  <c r="BA35" i="7"/>
  <c r="AP35" i="7" s="1"/>
  <c r="AZ35" i="7"/>
  <c r="AO35" i="7" s="1"/>
  <c r="AN35" i="7"/>
  <c r="BA37" i="7"/>
  <c r="AP37" i="7" s="1"/>
  <c r="AZ37" i="7"/>
  <c r="AO37" i="7" s="1"/>
  <c r="AN37" i="7"/>
  <c r="BA39" i="7"/>
  <c r="AP39" i="7" s="1"/>
  <c r="AZ39" i="7"/>
  <c r="AO39" i="7" s="1"/>
  <c r="AN39" i="7"/>
  <c r="BA30" i="8"/>
  <c r="AP30" i="8" s="1"/>
  <c r="AZ30" i="8"/>
  <c r="AO30" i="8" s="1"/>
  <c r="AN30" i="8"/>
  <c r="BA32" i="8"/>
  <c r="AP32" i="8" s="1"/>
  <c r="AZ32" i="8"/>
  <c r="AO32" i="8" s="1"/>
  <c r="AN32" i="8"/>
  <c r="BA34" i="8"/>
  <c r="AP34" i="8" s="1"/>
  <c r="AZ34" i="8"/>
  <c r="AO34" i="8" s="1"/>
  <c r="AN34" i="8"/>
  <c r="BA36" i="8"/>
  <c r="AP36" i="8" s="1"/>
  <c r="AZ36" i="8"/>
  <c r="AO36" i="8" s="1"/>
  <c r="AN36" i="8"/>
  <c r="BA38" i="8"/>
  <c r="AP38" i="8" s="1"/>
  <c r="AZ38" i="8"/>
  <c r="AO38" i="8" s="1"/>
  <c r="AN38" i="8"/>
  <c r="BA40" i="8"/>
  <c r="AZ40" i="8"/>
  <c r="BA30" i="9"/>
  <c r="AP30" i="9" s="1"/>
  <c r="AZ30" i="9"/>
  <c r="AO30" i="9" s="1"/>
  <c r="AN30" i="9"/>
  <c r="BA32" i="9"/>
  <c r="AP32" i="9" s="1"/>
  <c r="AZ32" i="9"/>
  <c r="AO32" i="9" s="1"/>
  <c r="AN32" i="9"/>
  <c r="BA34" i="9"/>
  <c r="AP34" i="9" s="1"/>
  <c r="AZ34" i="9"/>
  <c r="AO34" i="9" s="1"/>
  <c r="AN34" i="9"/>
  <c r="BA36" i="9"/>
  <c r="AP36" i="9" s="1"/>
  <c r="AZ36" i="9"/>
  <c r="AO36" i="9" s="1"/>
  <c r="AN36" i="9"/>
  <c r="BA38" i="9"/>
  <c r="AP38" i="9" s="1"/>
  <c r="AZ38" i="9"/>
  <c r="AO38" i="9" s="1"/>
  <c r="AN38" i="9"/>
  <c r="BA40" i="9"/>
  <c r="AZ40" i="9"/>
  <c r="BA32" i="10"/>
  <c r="AP32" i="10" s="1"/>
  <c r="AZ32" i="10"/>
  <c r="AO32" i="10" s="1"/>
  <c r="AN32" i="10"/>
  <c r="BA34" i="10"/>
  <c r="AP34" i="10" s="1"/>
  <c r="AZ34" i="10"/>
  <c r="AO34" i="10" s="1"/>
  <c r="AN34" i="10"/>
  <c r="BA36" i="10"/>
  <c r="AP36" i="10" s="1"/>
  <c r="AZ36" i="10"/>
  <c r="AO36" i="10" s="1"/>
  <c r="AN36" i="10"/>
  <c r="BA38" i="10"/>
  <c r="AP38" i="10" s="1"/>
  <c r="AZ38" i="10"/>
  <c r="AO38" i="10" s="1"/>
  <c r="AN38" i="10"/>
  <c r="BA40" i="10"/>
  <c r="AZ40" i="10"/>
  <c r="BA40" i="11"/>
  <c r="AZ40" i="11"/>
  <c r="BA19" i="28"/>
  <c r="AP19" i="28" s="1"/>
  <c r="AZ19" i="28"/>
  <c r="AO19" i="28" s="1"/>
  <c r="AN19" i="28"/>
  <c r="BA21" i="28"/>
  <c r="AP21" i="28" s="1"/>
  <c r="AZ21" i="28"/>
  <c r="AO21" i="28" s="1"/>
  <c r="AN21" i="28"/>
  <c r="BA23" i="28"/>
  <c r="AP23" i="28" s="1"/>
  <c r="AZ23" i="28"/>
  <c r="AO23" i="28" s="1"/>
  <c r="AN23" i="28"/>
  <c r="BA25" i="28"/>
  <c r="AP25" i="28" s="1"/>
  <c r="AZ25" i="28"/>
  <c r="AO25" i="28" s="1"/>
  <c r="AN25" i="28"/>
  <c r="AZ12" i="1"/>
  <c r="AO12" i="1" s="1"/>
  <c r="AZ13" i="1"/>
  <c r="AO13" i="1" s="1"/>
  <c r="AZ14" i="1"/>
  <c r="AO14" i="1" s="1"/>
  <c r="AZ15" i="1"/>
  <c r="AO15" i="1" s="1"/>
  <c r="AZ16" i="1"/>
  <c r="AO16" i="1" s="1"/>
  <c r="AZ17" i="1"/>
  <c r="AO17" i="1" s="1"/>
  <c r="AZ18" i="1"/>
  <c r="AO18" i="1" s="1"/>
  <c r="AZ19" i="1"/>
  <c r="AO19" i="1" s="1"/>
  <c r="AZ20" i="1"/>
  <c r="AO20" i="1" s="1"/>
  <c r="AZ21" i="1"/>
  <c r="AO21" i="1" s="1"/>
  <c r="AZ22" i="1"/>
  <c r="AO22" i="1" s="1"/>
  <c r="AZ23" i="1"/>
  <c r="AO23" i="1" s="1"/>
  <c r="AZ24" i="1"/>
  <c r="AO24" i="1" s="1"/>
  <c r="AZ25" i="1"/>
  <c r="AO25" i="1" s="1"/>
  <c r="AZ26" i="1"/>
  <c r="AO26" i="1" s="1"/>
  <c r="AZ27" i="1"/>
  <c r="AO27" i="1" s="1"/>
  <c r="AZ28" i="1"/>
  <c r="AO28" i="1" s="1"/>
  <c r="AZ29" i="1"/>
  <c r="AO29" i="1" s="1"/>
  <c r="AZ30" i="1"/>
  <c r="AO30" i="1" s="1"/>
  <c r="AZ31" i="1"/>
  <c r="AO31" i="1" s="1"/>
  <c r="AZ32" i="1"/>
  <c r="AO32" i="1" s="1"/>
  <c r="AZ33" i="1"/>
  <c r="AO33" i="1" s="1"/>
  <c r="AZ34" i="1"/>
  <c r="AO34" i="1" s="1"/>
  <c r="AZ35" i="1"/>
  <c r="AO35" i="1" s="1"/>
  <c r="AZ36" i="1"/>
  <c r="AO36" i="1" s="1"/>
  <c r="AZ37" i="1"/>
  <c r="AO37" i="1" s="1"/>
  <c r="AZ38" i="1"/>
  <c r="AO38" i="1" s="1"/>
  <c r="AZ39" i="1"/>
  <c r="AO39" i="1" s="1"/>
  <c r="AZ40" i="1"/>
  <c r="BA26" i="28"/>
  <c r="AP26" i="28" s="1"/>
  <c r="AZ26" i="28"/>
  <c r="AO26" i="28" s="1"/>
  <c r="BA28" i="28"/>
  <c r="AP28" i="28" s="1"/>
  <c r="AZ28" i="28"/>
  <c r="AO28" i="28" s="1"/>
  <c r="AN28" i="28"/>
  <c r="BA30" i="28"/>
  <c r="AP30" i="28" s="1"/>
  <c r="AZ30" i="28"/>
  <c r="AO30" i="28" s="1"/>
  <c r="AN30" i="28"/>
  <c r="BA32" i="28"/>
  <c r="AP32" i="28" s="1"/>
  <c r="AZ32" i="28"/>
  <c r="AO32" i="28" s="1"/>
  <c r="AN32" i="28"/>
  <c r="BA34" i="28"/>
  <c r="AP34" i="28" s="1"/>
  <c r="AZ34" i="28"/>
  <c r="AO34" i="28" s="1"/>
  <c r="AN34" i="28"/>
  <c r="BA36" i="28"/>
  <c r="AP36" i="28" s="1"/>
  <c r="AZ36" i="28"/>
  <c r="AO36" i="28" s="1"/>
  <c r="AN36" i="28"/>
  <c r="BA38" i="28"/>
  <c r="AP38" i="28" s="1"/>
  <c r="AZ38" i="28"/>
  <c r="AO38" i="28" s="1"/>
  <c r="AN38" i="28"/>
  <c r="BA26" i="13"/>
  <c r="AP26" i="13" s="1"/>
  <c r="AN26" i="13"/>
  <c r="BA34" i="17"/>
  <c r="AP34" i="17" s="1"/>
  <c r="AN34" i="17"/>
  <c r="BA36" i="17"/>
  <c r="AP36" i="17" s="1"/>
  <c r="AP43" i="17" s="1"/>
  <c r="AN36" i="17"/>
  <c r="BA11" i="19"/>
  <c r="AP11" i="19" s="1"/>
  <c r="AZ11" i="19"/>
  <c r="AO11" i="19" s="1"/>
  <c r="AN11" i="19"/>
  <c r="BA13" i="19"/>
  <c r="AP13" i="19" s="1"/>
  <c r="AZ13" i="19"/>
  <c r="AO13" i="19" s="1"/>
  <c r="AN13" i="19"/>
  <c r="BA15" i="19"/>
  <c r="AP15" i="19" s="1"/>
  <c r="AZ15" i="19"/>
  <c r="AO15" i="19" s="1"/>
  <c r="AN15" i="19"/>
  <c r="BA17" i="19"/>
  <c r="AP17" i="19" s="1"/>
  <c r="AZ17" i="19"/>
  <c r="AO17" i="19" s="1"/>
  <c r="AN17" i="19"/>
  <c r="BA19" i="19"/>
  <c r="AP19" i="19" s="1"/>
  <c r="AZ19" i="19"/>
  <c r="AO19" i="19" s="1"/>
  <c r="AN19" i="19"/>
  <c r="BA21" i="19"/>
  <c r="AP21" i="19" s="1"/>
  <c r="AZ21" i="19"/>
  <c r="AO21" i="19" s="1"/>
  <c r="AN21" i="19"/>
  <c r="BA23" i="19"/>
  <c r="AP23" i="19" s="1"/>
  <c r="AZ23" i="19"/>
  <c r="AO23" i="19" s="1"/>
  <c r="AN23" i="19"/>
  <c r="BA25" i="19"/>
  <c r="AP25" i="19" s="1"/>
  <c r="AZ25" i="19"/>
  <c r="AO25" i="19" s="1"/>
  <c r="AN25" i="19"/>
  <c r="BA27" i="19"/>
  <c r="AP27" i="19" s="1"/>
  <c r="AZ27" i="19"/>
  <c r="AO27" i="19" s="1"/>
  <c r="AN27" i="19"/>
  <c r="BA29" i="19"/>
  <c r="AP29" i="19" s="1"/>
  <c r="AZ29" i="19"/>
  <c r="AO29" i="19" s="1"/>
  <c r="AN29" i="19"/>
  <c r="BA31" i="19"/>
  <c r="AP31" i="19" s="1"/>
  <c r="AZ31" i="19"/>
  <c r="AO31" i="19" s="1"/>
  <c r="AN31" i="19"/>
  <c r="BA33" i="19"/>
  <c r="AP33" i="19" s="1"/>
  <c r="AZ33" i="19"/>
  <c r="AO33" i="19" s="1"/>
  <c r="AN33" i="19"/>
  <c r="BA35" i="19"/>
  <c r="AP35" i="19" s="1"/>
  <c r="AZ35" i="19"/>
  <c r="AO35" i="19" s="1"/>
  <c r="AN35" i="19"/>
  <c r="BA37" i="19"/>
  <c r="AP37" i="19" s="1"/>
  <c r="AZ37" i="19"/>
  <c r="AO37" i="19" s="1"/>
  <c r="AN37" i="19"/>
  <c r="BA39" i="19"/>
  <c r="AP39" i="19" s="1"/>
  <c r="AZ39" i="19"/>
  <c r="AO39" i="19" s="1"/>
  <c r="AN39" i="19"/>
  <c r="BA11" i="21"/>
  <c r="AP11" i="21" s="1"/>
  <c r="AZ11" i="21"/>
  <c r="AO11" i="21" s="1"/>
  <c r="AN11" i="21"/>
  <c r="BA13" i="21"/>
  <c r="AP13" i="21" s="1"/>
  <c r="AZ13" i="21"/>
  <c r="AO13" i="21" s="1"/>
  <c r="AN13" i="21"/>
  <c r="AZ15" i="21"/>
  <c r="AO15" i="21" s="1"/>
  <c r="AN15" i="21"/>
  <c r="BA26" i="21"/>
  <c r="AP26" i="21" s="1"/>
  <c r="AZ26" i="21"/>
  <c r="AO26" i="21" s="1"/>
  <c r="AN26" i="21"/>
  <c r="BA28" i="21"/>
  <c r="AP28" i="21" s="1"/>
  <c r="AZ28" i="21"/>
  <c r="AO28" i="21" s="1"/>
  <c r="AN28" i="21"/>
  <c r="BA30" i="21"/>
  <c r="AP30" i="21" s="1"/>
  <c r="AZ30" i="21"/>
  <c r="AO30" i="21" s="1"/>
  <c r="AN30" i="21"/>
  <c r="BA32" i="21"/>
  <c r="AP32" i="21" s="1"/>
  <c r="AZ32" i="21"/>
  <c r="AO32" i="21" s="1"/>
  <c r="AN32" i="21"/>
  <c r="BA34" i="21"/>
  <c r="AP34" i="21" s="1"/>
  <c r="AZ34" i="21"/>
  <c r="AO34" i="21" s="1"/>
  <c r="AN34" i="21"/>
  <c r="BA36" i="21"/>
  <c r="AP36" i="21" s="1"/>
  <c r="AZ36" i="21"/>
  <c r="AO36" i="21" s="1"/>
  <c r="AN36" i="21"/>
  <c r="BA38" i="21"/>
  <c r="AP38" i="21" s="1"/>
  <c r="AZ38" i="21"/>
  <c r="AO38" i="21" s="1"/>
  <c r="AN38" i="21"/>
  <c r="BA40" i="21"/>
  <c r="AZ40" i="21"/>
  <c r="AZ33" i="22"/>
  <c r="AO33" i="22" s="1"/>
  <c r="AN33" i="22"/>
  <c r="AZ33" i="17"/>
  <c r="AO33" i="17" s="1"/>
  <c r="AZ34" i="17"/>
  <c r="AO34" i="17" s="1"/>
  <c r="AZ35" i="17"/>
  <c r="AO35" i="17" s="1"/>
  <c r="AZ36" i="17"/>
  <c r="AO36" i="17" s="1"/>
  <c r="BA25" i="21"/>
  <c r="AP25" i="21" s="1"/>
  <c r="AN25" i="21"/>
  <c r="BA34" i="22"/>
  <c r="AP34" i="22" s="1"/>
  <c r="AZ34" i="22"/>
  <c r="AO34" i="22" s="1"/>
  <c r="AN34" i="22"/>
  <c r="BA36" i="22"/>
  <c r="AP36" i="22" s="1"/>
  <c r="AZ36" i="22"/>
  <c r="AO36" i="22" s="1"/>
  <c r="AN36" i="22"/>
  <c r="BA38" i="22"/>
  <c r="AP38" i="22" s="1"/>
  <c r="AZ38" i="22"/>
  <c r="AO38" i="22" s="1"/>
  <c r="AN38" i="22"/>
  <c r="BA40" i="22"/>
  <c r="AZ40" i="22"/>
  <c r="BA23" i="23"/>
  <c r="AP23" i="23" s="1"/>
  <c r="AZ23" i="23"/>
  <c r="AO23" i="23" s="1"/>
  <c r="AN23" i="23"/>
  <c r="BA25" i="23"/>
  <c r="AP25" i="23" s="1"/>
  <c r="AZ25" i="23"/>
  <c r="AO25" i="23" s="1"/>
  <c r="AN25" i="23"/>
  <c r="BA27" i="23"/>
  <c r="AP27" i="23" s="1"/>
  <c r="AZ27" i="23"/>
  <c r="AO27" i="23" s="1"/>
  <c r="AN27" i="23"/>
  <c r="BA31" i="23"/>
  <c r="AP31" i="23" s="1"/>
  <c r="AZ31" i="23"/>
  <c r="AO31" i="23" s="1"/>
  <c r="BA32" i="23"/>
  <c r="AP32" i="23" s="1"/>
  <c r="AZ32" i="23"/>
  <c r="AO32" i="23" s="1"/>
  <c r="BA33" i="23"/>
  <c r="AP33" i="23" s="1"/>
  <c r="AZ33" i="23"/>
  <c r="AO33" i="23" s="1"/>
  <c r="BA35" i="23"/>
  <c r="AP35" i="23" s="1"/>
  <c r="AZ35" i="23"/>
  <c r="AO35" i="23" s="1"/>
  <c r="AN35" i="23"/>
  <c r="BA37" i="23"/>
  <c r="AP37" i="23" s="1"/>
  <c r="AZ37" i="23"/>
  <c r="AO37" i="23" s="1"/>
  <c r="AN37" i="23"/>
  <c r="BA39" i="23"/>
  <c r="AP39" i="23" s="1"/>
  <c r="AZ39" i="23"/>
  <c r="AO39" i="23" s="1"/>
  <c r="AN39" i="23"/>
  <c r="BA11" i="25"/>
  <c r="AP11" i="25" s="1"/>
  <c r="AZ11" i="25"/>
  <c r="AO11" i="25" s="1"/>
  <c r="AN11" i="25"/>
  <c r="AZ13" i="25"/>
  <c r="AO13" i="25" s="1"/>
  <c r="AN13" i="25"/>
  <c r="AP43" i="6"/>
  <c r="BA12" i="26"/>
  <c r="AP12" i="26" s="1"/>
  <c r="BA19" i="26"/>
  <c r="AP19" i="26" s="1"/>
  <c r="BA24" i="26"/>
  <c r="AP24" i="26" s="1"/>
  <c r="BA26" i="26"/>
  <c r="AP26" i="26" s="1"/>
  <c r="BA28" i="26"/>
  <c r="AP28" i="26" s="1"/>
  <c r="BA30" i="26"/>
  <c r="AP30" i="26" s="1"/>
  <c r="BA31" i="26"/>
  <c r="AP31" i="26" s="1"/>
  <c r="BA32" i="26"/>
  <c r="AP32" i="26" s="1"/>
  <c r="BA33" i="26"/>
  <c r="AP33" i="26" s="1"/>
  <c r="BA35" i="26"/>
  <c r="AP35" i="26" s="1"/>
  <c r="BA37" i="26"/>
  <c r="AP37" i="26" s="1"/>
  <c r="BA38" i="26"/>
  <c r="AP38" i="26" s="1"/>
  <c r="BA39" i="26"/>
  <c r="AP39" i="26" s="1"/>
  <c r="BA10" i="4"/>
  <c r="AP10" i="4" s="1"/>
  <c r="BA11" i="4"/>
  <c r="AP11" i="4" s="1"/>
  <c r="BA13" i="4"/>
  <c r="AP13" i="4" s="1"/>
  <c r="BA15" i="4"/>
  <c r="AP15" i="4" s="1"/>
  <c r="BA17" i="4"/>
  <c r="AP17" i="4" s="1"/>
  <c r="BA24" i="4"/>
  <c r="AP24" i="4" s="1"/>
  <c r="BA26" i="4"/>
  <c r="AP26" i="4" s="1"/>
  <c r="AN10" i="26"/>
  <c r="AZ10" i="26"/>
  <c r="AO10" i="26" s="1"/>
  <c r="AN11" i="26"/>
  <c r="AZ11" i="26"/>
  <c r="AO11" i="26" s="1"/>
  <c r="AN12" i="26"/>
  <c r="AN13" i="26"/>
  <c r="AZ13" i="26"/>
  <c r="AO13" i="26" s="1"/>
  <c r="AN14" i="26"/>
  <c r="AZ14" i="26"/>
  <c r="AO14" i="26" s="1"/>
  <c r="AN15" i="26"/>
  <c r="AZ15" i="26"/>
  <c r="AO15" i="26" s="1"/>
  <c r="AN16" i="26"/>
  <c r="AZ16" i="26"/>
  <c r="AO16" i="26" s="1"/>
  <c r="AN17" i="26"/>
  <c r="AZ17" i="26"/>
  <c r="AO17" i="26" s="1"/>
  <c r="AN18" i="26"/>
  <c r="AZ18" i="26"/>
  <c r="AO18" i="26" s="1"/>
  <c r="AN19" i="26"/>
  <c r="AN20" i="26"/>
  <c r="AZ20" i="26"/>
  <c r="AO20" i="26" s="1"/>
  <c r="AN21" i="26"/>
  <c r="AZ21" i="26"/>
  <c r="AO21" i="26" s="1"/>
  <c r="AN22" i="26"/>
  <c r="AZ22" i="26"/>
  <c r="AO22" i="26" s="1"/>
  <c r="AN23" i="26"/>
  <c r="AZ23" i="26"/>
  <c r="AO23" i="26" s="1"/>
  <c r="AN24" i="26"/>
  <c r="AN25" i="26"/>
  <c r="AZ25" i="26"/>
  <c r="AO25" i="26" s="1"/>
  <c r="AN26" i="26"/>
  <c r="AN27" i="26"/>
  <c r="AZ27" i="26"/>
  <c r="AO27" i="26" s="1"/>
  <c r="AN28" i="26"/>
  <c r="AN29" i="26"/>
  <c r="AZ29" i="26"/>
  <c r="AO29" i="26" s="1"/>
  <c r="AN30" i="26"/>
  <c r="AN31" i="26"/>
  <c r="AN32" i="26"/>
  <c r="AN33" i="26"/>
  <c r="AN34" i="26"/>
  <c r="AZ34" i="26"/>
  <c r="AO34" i="26" s="1"/>
  <c r="AN35" i="26"/>
  <c r="AN36" i="26"/>
  <c r="AZ36" i="26"/>
  <c r="AO36" i="26" s="1"/>
  <c r="AN37" i="26"/>
  <c r="AN38" i="26"/>
  <c r="AN39" i="26"/>
  <c r="AZ40" i="26"/>
  <c r="AN10" i="4"/>
  <c r="AN11" i="4"/>
  <c r="AN12" i="4"/>
  <c r="AZ12" i="4"/>
  <c r="AO12" i="4" s="1"/>
  <c r="AN13" i="4"/>
  <c r="AN14" i="4"/>
  <c r="AZ14" i="4"/>
  <c r="AO14" i="4" s="1"/>
  <c r="AN15" i="4"/>
  <c r="AN16" i="4"/>
  <c r="AZ16" i="4"/>
  <c r="AO16" i="4" s="1"/>
  <c r="AN17" i="4"/>
  <c r="AN18" i="4"/>
  <c r="AZ18" i="4"/>
  <c r="AO18" i="4" s="1"/>
  <c r="AN19" i="4"/>
  <c r="AZ19" i="4"/>
  <c r="AO19" i="4" s="1"/>
  <c r="AN20" i="4"/>
  <c r="AZ20" i="4"/>
  <c r="AO20" i="4" s="1"/>
  <c r="AN21" i="4"/>
  <c r="AZ21" i="4"/>
  <c r="AO21" i="4" s="1"/>
  <c r="AN22" i="4"/>
  <c r="AZ22" i="4"/>
  <c r="AO22" i="4" s="1"/>
  <c r="AN23" i="4"/>
  <c r="AZ23" i="4"/>
  <c r="AO23" i="4" s="1"/>
  <c r="AN24" i="4"/>
  <c r="AN25" i="4"/>
  <c r="AZ25" i="4"/>
  <c r="AO25" i="4" s="1"/>
  <c r="AN26" i="4"/>
  <c r="AN27" i="4"/>
  <c r="AZ27" i="4"/>
  <c r="AO27" i="4" s="1"/>
  <c r="AN28" i="4"/>
  <c r="AZ28" i="4"/>
  <c r="AO28" i="4" s="1"/>
  <c r="AN29" i="4"/>
  <c r="AZ29" i="4"/>
  <c r="AO29" i="4" s="1"/>
  <c r="AN30" i="4"/>
  <c r="AZ30" i="4"/>
  <c r="AO30" i="4" s="1"/>
  <c r="AN31" i="4"/>
  <c r="AZ31" i="4"/>
  <c r="AO31" i="4" s="1"/>
  <c r="AN32" i="4"/>
  <c r="AZ32" i="4"/>
  <c r="AO32" i="4" s="1"/>
  <c r="AN33" i="4"/>
  <c r="AZ33" i="4"/>
  <c r="AO33" i="4" s="1"/>
  <c r="AN34" i="4"/>
  <c r="AZ34" i="4"/>
  <c r="AO34" i="4" s="1"/>
  <c r="AN35" i="4"/>
  <c r="AZ35" i="4"/>
  <c r="AO35" i="4" s="1"/>
  <c r="AN36" i="4"/>
  <c r="AZ36" i="4"/>
  <c r="AO36" i="4" s="1"/>
  <c r="AN37" i="4"/>
  <c r="AZ37" i="4"/>
  <c r="AO37" i="4" s="1"/>
  <c r="AN38" i="4"/>
  <c r="AZ38" i="4"/>
  <c r="AO38" i="4" s="1"/>
  <c r="AN39" i="4"/>
  <c r="AZ39" i="4"/>
  <c r="AO39" i="4" s="1"/>
  <c r="AZ40" i="4"/>
  <c r="AN10" i="6"/>
  <c r="AZ10" i="6"/>
  <c r="AO10" i="6" s="1"/>
  <c r="AN11" i="6"/>
  <c r="AZ11" i="6"/>
  <c r="AO11" i="6" s="1"/>
  <c r="AN12" i="6"/>
  <c r="AZ12" i="6"/>
  <c r="AO12" i="6" s="1"/>
  <c r="AN13" i="6"/>
  <c r="AZ13" i="6"/>
  <c r="AO13" i="6" s="1"/>
  <c r="AN14" i="6"/>
  <c r="AZ14" i="6"/>
  <c r="AO14" i="6" s="1"/>
  <c r="AN15" i="6"/>
  <c r="AZ15" i="6"/>
  <c r="AO15" i="6" s="1"/>
  <c r="AN16" i="6"/>
  <c r="AZ16" i="6"/>
  <c r="AO16" i="6" s="1"/>
  <c r="AN17" i="6"/>
  <c r="AZ17" i="6"/>
  <c r="AO17" i="6" s="1"/>
  <c r="AN18" i="6"/>
  <c r="AZ18" i="6"/>
  <c r="AO18" i="6" s="1"/>
  <c r="AN19" i="6"/>
  <c r="AZ19" i="6"/>
  <c r="AO19" i="6" s="1"/>
  <c r="AN20" i="6"/>
  <c r="AZ20" i="6"/>
  <c r="AO20" i="6" s="1"/>
  <c r="AN21" i="6"/>
  <c r="AZ21" i="6"/>
  <c r="AO21" i="6" s="1"/>
  <c r="BA10" i="7"/>
  <c r="AP10" i="7" s="1"/>
  <c r="BA11" i="7"/>
  <c r="AP11" i="7" s="1"/>
  <c r="BA12" i="7"/>
  <c r="AP12" i="7" s="1"/>
  <c r="BA13" i="7"/>
  <c r="AP13" i="7" s="1"/>
  <c r="BA14" i="7"/>
  <c r="AP14" i="7" s="1"/>
  <c r="BA15" i="7"/>
  <c r="AP15" i="7" s="1"/>
  <c r="BA16" i="7"/>
  <c r="AP16" i="7" s="1"/>
  <c r="BA17" i="7"/>
  <c r="AP17" i="7" s="1"/>
  <c r="BA18" i="7"/>
  <c r="AP18" i="7" s="1"/>
  <c r="BA19" i="7"/>
  <c r="AP19" i="7" s="1"/>
  <c r="BA20" i="7"/>
  <c r="AP20" i="7" s="1"/>
  <c r="BA21" i="7"/>
  <c r="AP21" i="7" s="1"/>
  <c r="BA22" i="7"/>
  <c r="AP22" i="7" s="1"/>
  <c r="BA23" i="7"/>
  <c r="AP23" i="7" s="1"/>
  <c r="BA24" i="7"/>
  <c r="AP24" i="7" s="1"/>
  <c r="BA25" i="7"/>
  <c r="AP25" i="7" s="1"/>
  <c r="BA26" i="7"/>
  <c r="AP26" i="7" s="1"/>
  <c r="BA27" i="7"/>
  <c r="AP27" i="7" s="1"/>
  <c r="BA28" i="7"/>
  <c r="AP28" i="7" s="1"/>
  <c r="BA29" i="7"/>
  <c r="AP29" i="7" s="1"/>
  <c r="BA30" i="7"/>
  <c r="AP30" i="7" s="1"/>
  <c r="AZ10" i="13"/>
  <c r="AO10" i="13" s="1"/>
  <c r="AN10" i="13"/>
  <c r="BA10" i="13"/>
  <c r="AP10" i="13" s="1"/>
  <c r="AP43" i="13" s="1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Z31" i="7"/>
  <c r="AO31" i="7" s="1"/>
  <c r="AN10" i="8"/>
  <c r="AZ10" i="8"/>
  <c r="AO10" i="8" s="1"/>
  <c r="AN11" i="8"/>
  <c r="AZ11" i="8"/>
  <c r="AO11" i="8" s="1"/>
  <c r="AN12" i="8"/>
  <c r="AZ12" i="8"/>
  <c r="AO12" i="8" s="1"/>
  <c r="AN13" i="8"/>
  <c r="AZ13" i="8"/>
  <c r="AO13" i="8" s="1"/>
  <c r="AN14" i="8"/>
  <c r="AZ14" i="8"/>
  <c r="AO14" i="8" s="1"/>
  <c r="AN15" i="8"/>
  <c r="AZ15" i="8"/>
  <c r="AO15" i="8" s="1"/>
  <c r="AN16" i="8"/>
  <c r="AZ16" i="8"/>
  <c r="AO16" i="8" s="1"/>
  <c r="AN17" i="8"/>
  <c r="AZ17" i="8"/>
  <c r="AO17" i="8" s="1"/>
  <c r="AN18" i="8"/>
  <c r="AZ18" i="8"/>
  <c r="AO18" i="8" s="1"/>
  <c r="AN19" i="8"/>
  <c r="AZ19" i="8"/>
  <c r="AO19" i="8" s="1"/>
  <c r="AN20" i="8"/>
  <c r="AZ20" i="8"/>
  <c r="AO20" i="8" s="1"/>
  <c r="AN21" i="8"/>
  <c r="AZ21" i="8"/>
  <c r="AO21" i="8" s="1"/>
  <c r="AN22" i="8"/>
  <c r="AZ22" i="8"/>
  <c r="AO22" i="8" s="1"/>
  <c r="AN23" i="8"/>
  <c r="AZ23" i="8"/>
  <c r="AO23" i="8" s="1"/>
  <c r="AN24" i="8"/>
  <c r="AZ24" i="8"/>
  <c r="AO24" i="8" s="1"/>
  <c r="AN25" i="8"/>
  <c r="AZ25" i="8"/>
  <c r="AO25" i="8" s="1"/>
  <c r="AN26" i="8"/>
  <c r="AZ26" i="8"/>
  <c r="AO26" i="8" s="1"/>
  <c r="AN27" i="8"/>
  <c r="AZ27" i="8"/>
  <c r="AO27" i="8" s="1"/>
  <c r="AN28" i="8"/>
  <c r="AZ28" i="8"/>
  <c r="AO28" i="8" s="1"/>
  <c r="AN29" i="8"/>
  <c r="AZ29" i="8"/>
  <c r="AO29" i="8" s="1"/>
  <c r="BA10" i="9"/>
  <c r="AP10" i="9" s="1"/>
  <c r="BA11" i="9"/>
  <c r="AP11" i="9" s="1"/>
  <c r="BA12" i="9"/>
  <c r="AP12" i="9" s="1"/>
  <c r="BA13" i="9"/>
  <c r="AP13" i="9" s="1"/>
  <c r="BA14" i="9"/>
  <c r="AP14" i="9" s="1"/>
  <c r="BA15" i="9"/>
  <c r="AP15" i="9" s="1"/>
  <c r="BA16" i="9"/>
  <c r="AP16" i="9" s="1"/>
  <c r="BA17" i="9"/>
  <c r="AP17" i="9" s="1"/>
  <c r="BA18" i="9"/>
  <c r="AP18" i="9" s="1"/>
  <c r="BA19" i="9"/>
  <c r="AP19" i="9" s="1"/>
  <c r="BA20" i="9"/>
  <c r="AP20" i="9" s="1"/>
  <c r="BA21" i="9"/>
  <c r="AP21" i="9" s="1"/>
  <c r="BA22" i="9"/>
  <c r="AP22" i="9" s="1"/>
  <c r="BA23" i="9"/>
  <c r="AP23" i="9" s="1"/>
  <c r="BA24" i="9"/>
  <c r="AP24" i="9" s="1"/>
  <c r="BA25" i="9"/>
  <c r="AP25" i="9" s="1"/>
  <c r="BA26" i="9"/>
  <c r="AP26" i="9" s="1"/>
  <c r="BA27" i="9"/>
  <c r="AP27" i="9" s="1"/>
  <c r="BA28" i="9"/>
  <c r="AP28" i="9" s="1"/>
  <c r="AN10" i="10"/>
  <c r="AZ10" i="10"/>
  <c r="AO10" i="10" s="1"/>
  <c r="AN11" i="10"/>
  <c r="AZ11" i="10"/>
  <c r="AO11" i="10" s="1"/>
  <c r="AN12" i="10"/>
  <c r="AZ12" i="10"/>
  <c r="AO12" i="10" s="1"/>
  <c r="AN13" i="10"/>
  <c r="AZ13" i="10"/>
  <c r="AO13" i="10" s="1"/>
  <c r="AN14" i="10"/>
  <c r="AZ14" i="10"/>
  <c r="AO14" i="10" s="1"/>
  <c r="AN15" i="10"/>
  <c r="AZ15" i="10"/>
  <c r="AO15" i="10" s="1"/>
  <c r="AN16" i="10"/>
  <c r="AZ16" i="10"/>
  <c r="AO16" i="10" s="1"/>
  <c r="AN17" i="10"/>
  <c r="AZ17" i="10"/>
  <c r="AO17" i="10" s="1"/>
  <c r="AN18" i="10"/>
  <c r="AZ18" i="10"/>
  <c r="AO18" i="10" s="1"/>
  <c r="AN19" i="10"/>
  <c r="AZ19" i="10"/>
  <c r="AO19" i="10" s="1"/>
  <c r="AN20" i="10"/>
  <c r="AZ20" i="10"/>
  <c r="AO20" i="10" s="1"/>
  <c r="AN21" i="10"/>
  <c r="AZ21" i="10"/>
  <c r="AO21" i="10" s="1"/>
  <c r="AN22" i="10"/>
  <c r="AZ22" i="10"/>
  <c r="AO22" i="10" s="1"/>
  <c r="AN23" i="10"/>
  <c r="AZ23" i="10"/>
  <c r="AO23" i="10" s="1"/>
  <c r="AN24" i="10"/>
  <c r="AZ24" i="10"/>
  <c r="AO24" i="10" s="1"/>
  <c r="AN25" i="10"/>
  <c r="AZ25" i="10"/>
  <c r="AO25" i="10" s="1"/>
  <c r="AN26" i="10"/>
  <c r="AZ26" i="10"/>
  <c r="AO26" i="10" s="1"/>
  <c r="AN27" i="10"/>
  <c r="AZ27" i="10"/>
  <c r="AO27" i="10" s="1"/>
  <c r="AN28" i="10"/>
  <c r="AZ28" i="10"/>
  <c r="AO28" i="10" s="1"/>
  <c r="AN29" i="10"/>
  <c r="AZ29" i="10"/>
  <c r="AO29" i="10" s="1"/>
  <c r="AZ30" i="10"/>
  <c r="AO30" i="10" s="1"/>
  <c r="BA10" i="11"/>
  <c r="AP10" i="11" s="1"/>
  <c r="BA11" i="11"/>
  <c r="AP11" i="11" s="1"/>
  <c r="BA12" i="11"/>
  <c r="AP12" i="11" s="1"/>
  <c r="BA13" i="11"/>
  <c r="AP13" i="11" s="1"/>
  <c r="BA14" i="11"/>
  <c r="AP14" i="11" s="1"/>
  <c r="BA15" i="11"/>
  <c r="AP15" i="11" s="1"/>
  <c r="BA16" i="11"/>
  <c r="AP16" i="11" s="1"/>
  <c r="BA17" i="11"/>
  <c r="AP17" i="11" s="1"/>
  <c r="BA18" i="11"/>
  <c r="AP18" i="11" s="1"/>
  <c r="BA19" i="11"/>
  <c r="AP19" i="11" s="1"/>
  <c r="BA20" i="11"/>
  <c r="AP20" i="11" s="1"/>
  <c r="BA21" i="11"/>
  <c r="AP21" i="11" s="1"/>
  <c r="BA22" i="11"/>
  <c r="AP22" i="11" s="1"/>
  <c r="BA23" i="11"/>
  <c r="AP23" i="11" s="1"/>
  <c r="BA24" i="11"/>
  <c r="AP24" i="11" s="1"/>
  <c r="BA25" i="11"/>
  <c r="AP25" i="11" s="1"/>
  <c r="BA26" i="11"/>
  <c r="AP26" i="11" s="1"/>
  <c r="BA27" i="11"/>
  <c r="AP27" i="11" s="1"/>
  <c r="BA28" i="11"/>
  <c r="AP28" i="11" s="1"/>
  <c r="BA29" i="11"/>
  <c r="AP29" i="11" s="1"/>
  <c r="BA30" i="11"/>
  <c r="AP30" i="11" s="1"/>
  <c r="BA31" i="11"/>
  <c r="AP31" i="11" s="1"/>
  <c r="BA32" i="11"/>
  <c r="AP32" i="11" s="1"/>
  <c r="BA33" i="11"/>
  <c r="AP33" i="11" s="1"/>
  <c r="BA34" i="11"/>
  <c r="AP34" i="11" s="1"/>
  <c r="BA35" i="11"/>
  <c r="AP35" i="11" s="1"/>
  <c r="BA36" i="11"/>
  <c r="AP36" i="11" s="1"/>
  <c r="BA37" i="11"/>
  <c r="AP37" i="11" s="1"/>
  <c r="BA38" i="11"/>
  <c r="AP38" i="11" s="1"/>
  <c r="AN10" i="28"/>
  <c r="AZ10" i="28"/>
  <c r="AO10" i="28" s="1"/>
  <c r="AN11" i="28"/>
  <c r="AZ11" i="28"/>
  <c r="AO11" i="28" s="1"/>
  <c r="AN12" i="28"/>
  <c r="AZ12" i="28"/>
  <c r="AO12" i="28" s="1"/>
  <c r="AN13" i="28"/>
  <c r="AZ13" i="28"/>
  <c r="AO13" i="28" s="1"/>
  <c r="AN14" i="28"/>
  <c r="AZ14" i="28"/>
  <c r="AO14" i="28" s="1"/>
  <c r="AN15" i="28"/>
  <c r="AZ15" i="28"/>
  <c r="AO15" i="28" s="1"/>
  <c r="AN16" i="28"/>
  <c r="AZ16" i="28"/>
  <c r="AO16" i="28" s="1"/>
  <c r="AN17" i="28"/>
  <c r="AZ17" i="28"/>
  <c r="AO17" i="28" s="1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11" i="13"/>
  <c r="AZ11" i="13"/>
  <c r="AO11" i="13" s="1"/>
  <c r="AN12" i="13"/>
  <c r="AZ12" i="13"/>
  <c r="AO12" i="13" s="1"/>
  <c r="AN13" i="13"/>
  <c r="AZ13" i="13"/>
  <c r="AO13" i="13" s="1"/>
  <c r="AN14" i="13"/>
  <c r="AZ14" i="13"/>
  <c r="AO14" i="13" s="1"/>
  <c r="AN15" i="13"/>
  <c r="AZ15" i="13"/>
  <c r="AO15" i="13" s="1"/>
  <c r="AN16" i="13"/>
  <c r="AZ16" i="13"/>
  <c r="AO16" i="13" s="1"/>
  <c r="AN17" i="13"/>
  <c r="AZ17" i="13"/>
  <c r="AO17" i="13" s="1"/>
  <c r="AN18" i="13"/>
  <c r="AZ18" i="13"/>
  <c r="AO18" i="13" s="1"/>
  <c r="AN19" i="13"/>
  <c r="AZ19" i="13"/>
  <c r="AO19" i="13" s="1"/>
  <c r="AN20" i="13"/>
  <c r="AZ20" i="13"/>
  <c r="AO20" i="13" s="1"/>
  <c r="AN21" i="13"/>
  <c r="AZ21" i="13"/>
  <c r="AO21" i="13" s="1"/>
  <c r="AN22" i="13"/>
  <c r="AZ22" i="13"/>
  <c r="AO22" i="13" s="1"/>
  <c r="AN23" i="13"/>
  <c r="AZ23" i="13"/>
  <c r="AO23" i="13" s="1"/>
  <c r="AN24" i="13"/>
  <c r="AZ24" i="13"/>
  <c r="AO24" i="13" s="1"/>
  <c r="AN25" i="13"/>
  <c r="AZ25" i="13"/>
  <c r="AO25" i="13" s="1"/>
  <c r="AZ26" i="13"/>
  <c r="AO26" i="13" s="1"/>
  <c r="BA10" i="14"/>
  <c r="AP10" i="14" s="1"/>
  <c r="BA11" i="14"/>
  <c r="AP11" i="14" s="1"/>
  <c r="BA12" i="14"/>
  <c r="AP12" i="14" s="1"/>
  <c r="BA13" i="14"/>
  <c r="AP13" i="14" s="1"/>
  <c r="BA14" i="14"/>
  <c r="AP14" i="14" s="1"/>
  <c r="BA15" i="14"/>
  <c r="AP15" i="14" s="1"/>
  <c r="BA16" i="14"/>
  <c r="AP16" i="14" s="1"/>
  <c r="BA17" i="14"/>
  <c r="AP17" i="14" s="1"/>
  <c r="BA18" i="14"/>
  <c r="AP18" i="14" s="1"/>
  <c r="BA19" i="14"/>
  <c r="AP19" i="14" s="1"/>
  <c r="BA20" i="14"/>
  <c r="AP20" i="14" s="1"/>
  <c r="BA21" i="14"/>
  <c r="AP21" i="14" s="1"/>
  <c r="BA22" i="14"/>
  <c r="AP22" i="14" s="1"/>
  <c r="BA23" i="14"/>
  <c r="AP23" i="14" s="1"/>
  <c r="BA24" i="14"/>
  <c r="AP24" i="14" s="1"/>
  <c r="BA25" i="14"/>
  <c r="AP25" i="14" s="1"/>
  <c r="BA26" i="14"/>
  <c r="AP26" i="14" s="1"/>
  <c r="BA27" i="14"/>
  <c r="AP27" i="14" s="1"/>
  <c r="BA28" i="14"/>
  <c r="AP28" i="14" s="1"/>
  <c r="BA29" i="14"/>
  <c r="AP29" i="14" s="1"/>
  <c r="BA30" i="14"/>
  <c r="AP30" i="14" s="1"/>
  <c r="BA31" i="14"/>
  <c r="AP31" i="14" s="1"/>
  <c r="BA32" i="14"/>
  <c r="AP32" i="14" s="1"/>
  <c r="BA33" i="14"/>
  <c r="AP33" i="14" s="1"/>
  <c r="AN10" i="15"/>
  <c r="AZ10" i="15"/>
  <c r="AO10" i="15" s="1"/>
  <c r="AN11" i="15"/>
  <c r="AZ11" i="15"/>
  <c r="AO11" i="15" s="1"/>
  <c r="AN12" i="15"/>
  <c r="AZ12" i="15"/>
  <c r="AO12" i="15" s="1"/>
  <c r="AN13" i="15"/>
  <c r="AZ13" i="15"/>
  <c r="AO13" i="15" s="1"/>
  <c r="AN14" i="15"/>
  <c r="AZ14" i="15"/>
  <c r="AO14" i="15" s="1"/>
  <c r="AN15" i="15"/>
  <c r="AZ15" i="15"/>
  <c r="AO15" i="15" s="1"/>
  <c r="AN16" i="15"/>
  <c r="AZ16" i="15"/>
  <c r="AO16" i="15" s="1"/>
  <c r="AN17" i="15"/>
  <c r="AZ17" i="15"/>
  <c r="AO17" i="15" s="1"/>
  <c r="AN18" i="15"/>
  <c r="AZ18" i="15"/>
  <c r="AO18" i="15" s="1"/>
  <c r="AN19" i="15"/>
  <c r="AZ19" i="15"/>
  <c r="AO19" i="15" s="1"/>
  <c r="AN20" i="15"/>
  <c r="AZ20" i="15"/>
  <c r="AO20" i="15" s="1"/>
  <c r="AN21" i="15"/>
  <c r="AZ21" i="15"/>
  <c r="AO21" i="15" s="1"/>
  <c r="AN22" i="15"/>
  <c r="AZ22" i="15"/>
  <c r="AO22" i="15" s="1"/>
  <c r="AN23" i="15"/>
  <c r="AZ23" i="15"/>
  <c r="AO23" i="15" s="1"/>
  <c r="BA10" i="16"/>
  <c r="AP10" i="16" s="1"/>
  <c r="BA11" i="16"/>
  <c r="AP11" i="16" s="1"/>
  <c r="BA12" i="16"/>
  <c r="AP12" i="16" s="1"/>
  <c r="BA13" i="16"/>
  <c r="AP13" i="16" s="1"/>
  <c r="BA14" i="16"/>
  <c r="AP14" i="16" s="1"/>
  <c r="BA15" i="16"/>
  <c r="AP15" i="16" s="1"/>
  <c r="BA16" i="16"/>
  <c r="AP16" i="16" s="1"/>
  <c r="BA17" i="16"/>
  <c r="AP17" i="16" s="1"/>
  <c r="BA18" i="16"/>
  <c r="AP18" i="16" s="1"/>
  <c r="BA19" i="16"/>
  <c r="AP19" i="16" s="1"/>
  <c r="BA20" i="16"/>
  <c r="AP20" i="16" s="1"/>
  <c r="BA21" i="16"/>
  <c r="AP21" i="16" s="1"/>
  <c r="BA22" i="16"/>
  <c r="AP22" i="16" s="1"/>
  <c r="BA23" i="16"/>
  <c r="AP23" i="16" s="1"/>
  <c r="BA24" i="16"/>
  <c r="AP24" i="16" s="1"/>
  <c r="BA25" i="16"/>
  <c r="AP25" i="16" s="1"/>
  <c r="BA26" i="16"/>
  <c r="AP26" i="16" s="1"/>
  <c r="BA27" i="16"/>
  <c r="AP27" i="16" s="1"/>
  <c r="BA28" i="16"/>
  <c r="AP28" i="16" s="1"/>
  <c r="BA29" i="16"/>
  <c r="AP29" i="16" s="1"/>
  <c r="BA30" i="16"/>
  <c r="AP30" i="16" s="1"/>
  <c r="BA31" i="16"/>
  <c r="AP31" i="16" s="1"/>
  <c r="BA32" i="16"/>
  <c r="AP32" i="16" s="1"/>
  <c r="BA33" i="16"/>
  <c r="AP33" i="16" s="1"/>
  <c r="AN10" i="17"/>
  <c r="AZ10" i="17"/>
  <c r="AO10" i="17" s="1"/>
  <c r="AN11" i="17"/>
  <c r="AZ11" i="17"/>
  <c r="AO11" i="17" s="1"/>
  <c r="AN12" i="17"/>
  <c r="AZ12" i="17"/>
  <c r="AO12" i="17" s="1"/>
  <c r="AN13" i="17"/>
  <c r="AZ13" i="17"/>
  <c r="AO13" i="17" s="1"/>
  <c r="AN14" i="17"/>
  <c r="AZ14" i="17"/>
  <c r="AO14" i="17" s="1"/>
  <c r="AN15" i="17"/>
  <c r="AZ15" i="17"/>
  <c r="AO15" i="17" s="1"/>
  <c r="AN16" i="17"/>
  <c r="AZ16" i="17"/>
  <c r="AO16" i="17" s="1"/>
  <c r="AN17" i="17"/>
  <c r="AZ17" i="17"/>
  <c r="AO17" i="17" s="1"/>
  <c r="AN18" i="17"/>
  <c r="AZ18" i="17"/>
  <c r="AO18" i="17" s="1"/>
  <c r="AN19" i="17"/>
  <c r="AZ19" i="17"/>
  <c r="AO19" i="17" s="1"/>
  <c r="AN20" i="17"/>
  <c r="AZ20" i="17"/>
  <c r="AO20" i="17" s="1"/>
  <c r="AN21" i="17"/>
  <c r="AZ21" i="17"/>
  <c r="AO21" i="17" s="1"/>
  <c r="AN22" i="17"/>
  <c r="AZ22" i="17"/>
  <c r="AO22" i="17" s="1"/>
  <c r="AN23" i="17"/>
  <c r="AZ23" i="17"/>
  <c r="AO23" i="17" s="1"/>
  <c r="AN24" i="17"/>
  <c r="AZ24" i="17"/>
  <c r="AO24" i="17" s="1"/>
  <c r="AZ25" i="17"/>
  <c r="AO25" i="17" s="1"/>
  <c r="AZ16" i="21"/>
  <c r="AO16" i="21" s="1"/>
  <c r="AN16" i="21"/>
  <c r="BA16" i="21"/>
  <c r="AP16" i="21" s="1"/>
  <c r="AN10" i="14"/>
  <c r="AN11" i="14"/>
  <c r="AN12" i="14"/>
  <c r="AN13" i="14"/>
  <c r="AN14" i="14"/>
  <c r="AN15" i="14"/>
  <c r="AN16" i="14"/>
  <c r="AN17" i="14"/>
  <c r="AN18" i="14"/>
  <c r="AN19" i="14"/>
  <c r="AN20" i="14"/>
  <c r="AN21" i="14"/>
  <c r="AN22" i="14"/>
  <c r="AN23" i="14"/>
  <c r="AN24" i="14"/>
  <c r="AN25" i="14"/>
  <c r="AN26" i="14"/>
  <c r="AN27" i="14"/>
  <c r="AN28" i="14"/>
  <c r="AN29" i="14"/>
  <c r="AN30" i="14"/>
  <c r="AN31" i="14"/>
  <c r="AN32" i="14"/>
  <c r="AN33" i="14"/>
  <c r="AN10" i="16"/>
  <c r="AN11" i="16"/>
  <c r="AN12" i="16"/>
  <c r="AN13" i="16"/>
  <c r="AN14" i="16"/>
  <c r="AN15" i="16"/>
  <c r="AN16" i="16"/>
  <c r="AN17" i="16"/>
  <c r="AN18" i="16"/>
  <c r="AN19" i="16"/>
  <c r="AN20" i="16"/>
  <c r="AN21" i="16"/>
  <c r="AN22" i="16"/>
  <c r="AN23" i="16"/>
  <c r="AN24" i="16"/>
  <c r="AN25" i="16"/>
  <c r="AN26" i="16"/>
  <c r="AN27" i="16"/>
  <c r="AN28" i="16"/>
  <c r="AN29" i="16"/>
  <c r="AN30" i="16"/>
  <c r="AN31" i="16"/>
  <c r="AN32" i="16"/>
  <c r="BA10" i="18"/>
  <c r="AP10" i="18" s="1"/>
  <c r="BA11" i="18"/>
  <c r="AP11" i="18" s="1"/>
  <c r="BA12" i="18"/>
  <c r="AP12" i="18" s="1"/>
  <c r="BA13" i="18"/>
  <c r="AP13" i="18" s="1"/>
  <c r="BA14" i="18"/>
  <c r="AP14" i="18" s="1"/>
  <c r="BA15" i="18"/>
  <c r="AP15" i="18" s="1"/>
  <c r="BA16" i="18"/>
  <c r="AP16" i="18" s="1"/>
  <c r="BA17" i="18"/>
  <c r="AP17" i="18" s="1"/>
  <c r="BA18" i="18"/>
  <c r="AP18" i="18" s="1"/>
  <c r="BA19" i="18"/>
  <c r="AP19" i="18" s="1"/>
  <c r="BA20" i="18"/>
  <c r="AP20" i="18" s="1"/>
  <c r="BA21" i="18"/>
  <c r="AP21" i="18" s="1"/>
  <c r="BA22" i="18"/>
  <c r="AP22" i="18" s="1"/>
  <c r="BA23" i="18"/>
  <c r="AP23" i="18" s="1"/>
  <c r="BA24" i="18"/>
  <c r="AP24" i="18" s="1"/>
  <c r="BA25" i="18"/>
  <c r="AP25" i="18" s="1"/>
  <c r="BA26" i="18"/>
  <c r="AP26" i="18" s="1"/>
  <c r="BA27" i="18"/>
  <c r="AP27" i="18" s="1"/>
  <c r="BA28" i="18"/>
  <c r="AP28" i="18" s="1"/>
  <c r="BA29" i="18"/>
  <c r="AP29" i="18" s="1"/>
  <c r="BA30" i="18"/>
  <c r="AP30" i="18" s="1"/>
  <c r="BA31" i="18"/>
  <c r="AP31" i="18" s="1"/>
  <c r="BA32" i="18"/>
  <c r="AP32" i="18" s="1"/>
  <c r="BA33" i="18"/>
  <c r="AP33" i="18" s="1"/>
  <c r="BA34" i="18"/>
  <c r="AP34" i="18" s="1"/>
  <c r="BA35" i="18"/>
  <c r="AP35" i="18" s="1"/>
  <c r="BA36" i="18"/>
  <c r="AP36" i="18" s="1"/>
  <c r="BA37" i="18"/>
  <c r="AP37" i="18" s="1"/>
  <c r="BA38" i="18"/>
  <c r="AP38" i="18" s="1"/>
  <c r="BA39" i="18"/>
  <c r="AP39" i="18" s="1"/>
  <c r="BA40" i="18"/>
  <c r="BA10" i="20"/>
  <c r="AP10" i="20" s="1"/>
  <c r="BA11" i="20"/>
  <c r="AP11" i="20" s="1"/>
  <c r="BA12" i="20"/>
  <c r="AP12" i="20" s="1"/>
  <c r="BA13" i="20"/>
  <c r="AP13" i="20" s="1"/>
  <c r="BA14" i="20"/>
  <c r="AP14" i="20" s="1"/>
  <c r="BA15" i="20"/>
  <c r="AP15" i="20" s="1"/>
  <c r="BA16" i="20"/>
  <c r="AP16" i="20" s="1"/>
  <c r="BA17" i="20"/>
  <c r="AP17" i="20" s="1"/>
  <c r="BA18" i="20"/>
  <c r="AP18" i="20" s="1"/>
  <c r="BA19" i="20"/>
  <c r="AP19" i="20" s="1"/>
  <c r="BA20" i="20"/>
  <c r="AP20" i="20" s="1"/>
  <c r="BA21" i="20"/>
  <c r="AP21" i="20" s="1"/>
  <c r="BA22" i="20"/>
  <c r="AP22" i="20" s="1"/>
  <c r="BA23" i="20"/>
  <c r="AP23" i="20" s="1"/>
  <c r="BA24" i="20"/>
  <c r="AP24" i="20" s="1"/>
  <c r="BA25" i="20"/>
  <c r="AP25" i="20" s="1"/>
  <c r="BA26" i="20"/>
  <c r="AP26" i="20" s="1"/>
  <c r="BA27" i="20"/>
  <c r="AP27" i="20" s="1"/>
  <c r="BA28" i="20"/>
  <c r="AP28" i="20" s="1"/>
  <c r="BA29" i="20"/>
  <c r="AP29" i="20" s="1"/>
  <c r="BA30" i="20"/>
  <c r="AP30" i="20" s="1"/>
  <c r="BA31" i="20"/>
  <c r="AP31" i="20" s="1"/>
  <c r="BA32" i="20"/>
  <c r="AP32" i="20" s="1"/>
  <c r="BA33" i="20"/>
  <c r="AP33" i="20" s="1"/>
  <c r="BA34" i="20"/>
  <c r="AP34" i="20" s="1"/>
  <c r="BA35" i="20"/>
  <c r="AP35" i="20" s="1"/>
  <c r="BA36" i="20"/>
  <c r="AP36" i="20" s="1"/>
  <c r="BA37" i="20"/>
  <c r="AP37" i="20" s="1"/>
  <c r="BA38" i="20"/>
  <c r="AP38" i="20" s="1"/>
  <c r="BA39" i="20"/>
  <c r="AP39" i="20" s="1"/>
  <c r="BA40" i="20"/>
  <c r="AZ17" i="21"/>
  <c r="AO17" i="21" s="1"/>
  <c r="AN17" i="21"/>
  <c r="AN10" i="18"/>
  <c r="AN11" i="18"/>
  <c r="AN12" i="18"/>
  <c r="AN13" i="18"/>
  <c r="AN14" i="18"/>
  <c r="AN15" i="18"/>
  <c r="AN16" i="18"/>
  <c r="AN17" i="18"/>
  <c r="AN18" i="18"/>
  <c r="AN19" i="18"/>
  <c r="AN20" i="18"/>
  <c r="AN21" i="18"/>
  <c r="AN22" i="18"/>
  <c r="AN23" i="18"/>
  <c r="AN24" i="18"/>
  <c r="AN25" i="18"/>
  <c r="AN26" i="18"/>
  <c r="AN27" i="18"/>
  <c r="AN28" i="18"/>
  <c r="AN29" i="18"/>
  <c r="AN30" i="18"/>
  <c r="AN31" i="18"/>
  <c r="AN32" i="18"/>
  <c r="AN33" i="18"/>
  <c r="AN34" i="18"/>
  <c r="AN35" i="18"/>
  <c r="AN36" i="18"/>
  <c r="AN37" i="18"/>
  <c r="AN38" i="18"/>
  <c r="AN39" i="18"/>
  <c r="AN10" i="20"/>
  <c r="AN11" i="20"/>
  <c r="AN12" i="20"/>
  <c r="AN13" i="20"/>
  <c r="AN14" i="20"/>
  <c r="AN15" i="20"/>
  <c r="AN16" i="20"/>
  <c r="AN17" i="20"/>
  <c r="AN18" i="20"/>
  <c r="AN19" i="20"/>
  <c r="AN20" i="20"/>
  <c r="AN21" i="20"/>
  <c r="AN22" i="20"/>
  <c r="AN23" i="20"/>
  <c r="AN24" i="20"/>
  <c r="AN25" i="20"/>
  <c r="AN26" i="20"/>
  <c r="AN27" i="20"/>
  <c r="AN28" i="20"/>
  <c r="AN29" i="20"/>
  <c r="AN30" i="20"/>
  <c r="AN31" i="20"/>
  <c r="AN32" i="20"/>
  <c r="AN33" i="20"/>
  <c r="AN34" i="20"/>
  <c r="AN35" i="20"/>
  <c r="AN36" i="20"/>
  <c r="AN37" i="20"/>
  <c r="AN38" i="20"/>
  <c r="AN39" i="20"/>
  <c r="BA15" i="21"/>
  <c r="AP15" i="21" s="1"/>
  <c r="BA17" i="21"/>
  <c r="AP17" i="21" s="1"/>
  <c r="AN18" i="21"/>
  <c r="AZ18" i="21"/>
  <c r="AO18" i="21" s="1"/>
  <c r="AN19" i="21"/>
  <c r="AZ19" i="21"/>
  <c r="AO19" i="21" s="1"/>
  <c r="AN20" i="21"/>
  <c r="AZ20" i="21"/>
  <c r="AO20" i="21" s="1"/>
  <c r="AN21" i="21"/>
  <c r="AZ21" i="21"/>
  <c r="AO21" i="21" s="1"/>
  <c r="AN22" i="21"/>
  <c r="AZ22" i="21"/>
  <c r="AO22" i="21" s="1"/>
  <c r="AN23" i="21"/>
  <c r="AZ23" i="21"/>
  <c r="AO23" i="21" s="1"/>
  <c r="AN24" i="21"/>
  <c r="AZ24" i="21"/>
  <c r="AO24" i="21" s="1"/>
  <c r="AZ25" i="21"/>
  <c r="AO25" i="21" s="1"/>
  <c r="BA10" i="22"/>
  <c r="AP10" i="22" s="1"/>
  <c r="BA11" i="22"/>
  <c r="AP11" i="22" s="1"/>
  <c r="BA12" i="22"/>
  <c r="AP12" i="22" s="1"/>
  <c r="BA13" i="22"/>
  <c r="AP13" i="22" s="1"/>
  <c r="BA14" i="22"/>
  <c r="AP14" i="22" s="1"/>
  <c r="BA15" i="22"/>
  <c r="AP15" i="22" s="1"/>
  <c r="BA16" i="22"/>
  <c r="AP16" i="22" s="1"/>
  <c r="BA17" i="22"/>
  <c r="AP17" i="22" s="1"/>
  <c r="BA18" i="22"/>
  <c r="AP18" i="22" s="1"/>
  <c r="BA19" i="22"/>
  <c r="AP19" i="22" s="1"/>
  <c r="BA20" i="22"/>
  <c r="AP20" i="22" s="1"/>
  <c r="BA21" i="22"/>
  <c r="AP21" i="22" s="1"/>
  <c r="BA22" i="22"/>
  <c r="AP22" i="22" s="1"/>
  <c r="BA23" i="22"/>
  <c r="AP23" i="22" s="1"/>
  <c r="BA24" i="22"/>
  <c r="AP24" i="22" s="1"/>
  <c r="BA25" i="22"/>
  <c r="AP25" i="22" s="1"/>
  <c r="BA26" i="22"/>
  <c r="AP26" i="22" s="1"/>
  <c r="BA27" i="22"/>
  <c r="AP27" i="22" s="1"/>
  <c r="BA28" i="22"/>
  <c r="AP28" i="22" s="1"/>
  <c r="BA29" i="22"/>
  <c r="AP29" i="22" s="1"/>
  <c r="BA30" i="22"/>
  <c r="AP30" i="22" s="1"/>
  <c r="BA31" i="22"/>
  <c r="AP31" i="22" s="1"/>
  <c r="BA32" i="22"/>
  <c r="AP32" i="22" s="1"/>
  <c r="BA33" i="22"/>
  <c r="AP33" i="22" s="1"/>
  <c r="AN10" i="23"/>
  <c r="AZ10" i="23"/>
  <c r="AO10" i="23" s="1"/>
  <c r="AN11" i="23"/>
  <c r="AZ11" i="23"/>
  <c r="AO11" i="23" s="1"/>
  <c r="AN12" i="23"/>
  <c r="AZ12" i="23"/>
  <c r="AO12" i="23" s="1"/>
  <c r="AN13" i="23"/>
  <c r="AZ13" i="23"/>
  <c r="AO13" i="23" s="1"/>
  <c r="AN14" i="23"/>
  <c r="AZ14" i="23"/>
  <c r="AO14" i="23" s="1"/>
  <c r="AN15" i="23"/>
  <c r="AZ15" i="23"/>
  <c r="AO15" i="23" s="1"/>
  <c r="AN16" i="23"/>
  <c r="AZ16" i="23"/>
  <c r="AO16" i="23" s="1"/>
  <c r="AN17" i="23"/>
  <c r="AZ17" i="23"/>
  <c r="AO17" i="23" s="1"/>
  <c r="AN18" i="23"/>
  <c r="AZ18" i="23"/>
  <c r="AO18" i="23" s="1"/>
  <c r="AN19" i="23"/>
  <c r="AZ19" i="23"/>
  <c r="AO19" i="23" s="1"/>
  <c r="AN20" i="23"/>
  <c r="AZ20" i="23"/>
  <c r="AO20" i="23" s="1"/>
  <c r="AN21" i="23"/>
  <c r="AZ21" i="23"/>
  <c r="AO21" i="23" s="1"/>
  <c r="AN22" i="23"/>
  <c r="AZ22" i="23"/>
  <c r="AO22" i="23" s="1"/>
  <c r="AZ14" i="25"/>
  <c r="AO14" i="25" s="1"/>
  <c r="AN14" i="25"/>
  <c r="BA14" i="25"/>
  <c r="AP14" i="25" s="1"/>
  <c r="AZ18" i="25"/>
  <c r="AO18" i="25" s="1"/>
  <c r="AN18" i="25"/>
  <c r="BA18" i="25"/>
  <c r="AP18" i="25" s="1"/>
  <c r="AN10" i="22"/>
  <c r="AN11" i="22"/>
  <c r="AN12" i="22"/>
  <c r="AN13" i="22"/>
  <c r="AN14" i="22"/>
  <c r="AN15" i="22"/>
  <c r="AN16" i="22"/>
  <c r="AN17" i="22"/>
  <c r="AN18" i="22"/>
  <c r="AN19" i="22"/>
  <c r="AN20" i="22"/>
  <c r="AN21" i="22"/>
  <c r="AN22" i="22"/>
  <c r="AN23" i="22"/>
  <c r="AN24" i="22"/>
  <c r="AN25" i="22"/>
  <c r="AN26" i="22"/>
  <c r="AN27" i="22"/>
  <c r="AN28" i="22"/>
  <c r="AN29" i="22"/>
  <c r="AN30" i="22"/>
  <c r="AN31" i="22"/>
  <c r="AN32" i="22"/>
  <c r="AZ16" i="25"/>
  <c r="AO16" i="25" s="1"/>
  <c r="AN16" i="25"/>
  <c r="BA16" i="25"/>
  <c r="AP16" i="25" s="1"/>
  <c r="AZ20" i="25"/>
  <c r="AO20" i="25" s="1"/>
  <c r="AN20" i="25"/>
  <c r="BA20" i="25"/>
  <c r="AP20" i="25" s="1"/>
  <c r="BA10" i="24"/>
  <c r="AP10" i="24" s="1"/>
  <c r="BA11" i="24"/>
  <c r="AP11" i="24" s="1"/>
  <c r="BA12" i="24"/>
  <c r="AP12" i="24" s="1"/>
  <c r="BA13" i="24"/>
  <c r="AP13" i="24" s="1"/>
  <c r="BA14" i="24"/>
  <c r="AP14" i="24" s="1"/>
  <c r="BA15" i="24"/>
  <c r="AP15" i="24" s="1"/>
  <c r="BA16" i="24"/>
  <c r="AP16" i="24" s="1"/>
  <c r="BA17" i="24"/>
  <c r="AP17" i="24" s="1"/>
  <c r="BA18" i="24"/>
  <c r="AP18" i="24" s="1"/>
  <c r="BA19" i="24"/>
  <c r="AP19" i="24" s="1"/>
  <c r="BA20" i="24"/>
  <c r="AP20" i="24" s="1"/>
  <c r="BA21" i="24"/>
  <c r="AP21" i="24" s="1"/>
  <c r="BA22" i="24"/>
  <c r="AP22" i="24" s="1"/>
  <c r="BA23" i="24"/>
  <c r="AP23" i="24" s="1"/>
  <c r="BA24" i="24"/>
  <c r="AP24" i="24" s="1"/>
  <c r="BA25" i="24"/>
  <c r="AP25" i="24" s="1"/>
  <c r="BA26" i="24"/>
  <c r="AP26" i="24" s="1"/>
  <c r="BA27" i="24"/>
  <c r="AP27" i="24" s="1"/>
  <c r="BA28" i="24"/>
  <c r="AP28" i="24" s="1"/>
  <c r="BA29" i="24"/>
  <c r="AP29" i="24" s="1"/>
  <c r="BA30" i="24"/>
  <c r="AP30" i="24" s="1"/>
  <c r="BA31" i="24"/>
  <c r="AP31" i="24" s="1"/>
  <c r="BA32" i="24"/>
  <c r="AP32" i="24" s="1"/>
  <c r="BA33" i="24"/>
  <c r="AP33" i="24" s="1"/>
  <c r="BA34" i="24"/>
  <c r="AP34" i="24" s="1"/>
  <c r="BA35" i="24"/>
  <c r="AP35" i="24" s="1"/>
  <c r="BA36" i="24"/>
  <c r="AP36" i="24" s="1"/>
  <c r="BA37" i="24"/>
  <c r="AP37" i="24" s="1"/>
  <c r="BA38" i="24"/>
  <c r="AP38" i="24" s="1"/>
  <c r="BA39" i="24"/>
  <c r="AP39" i="24" s="1"/>
  <c r="BA40" i="24"/>
  <c r="AZ15" i="25"/>
  <c r="AO15" i="25" s="1"/>
  <c r="AN15" i="25"/>
  <c r="AZ17" i="25"/>
  <c r="AO17" i="25" s="1"/>
  <c r="AN17" i="25"/>
  <c r="AZ19" i="25"/>
  <c r="AO19" i="25" s="1"/>
  <c r="AN19" i="25"/>
  <c r="AN10" i="24"/>
  <c r="AN11" i="24"/>
  <c r="AN12" i="24"/>
  <c r="AN13" i="24"/>
  <c r="AN14" i="24"/>
  <c r="AN15" i="24"/>
  <c r="AN16" i="24"/>
  <c r="AN17" i="24"/>
  <c r="AN18" i="24"/>
  <c r="AN19" i="24"/>
  <c r="AN20" i="24"/>
  <c r="AN21" i="24"/>
  <c r="AN22" i="24"/>
  <c r="AN23" i="24"/>
  <c r="AN24" i="24"/>
  <c r="AN25" i="24"/>
  <c r="AN26" i="24"/>
  <c r="AN27" i="24"/>
  <c r="AN28" i="24"/>
  <c r="AN29" i="24"/>
  <c r="AN30" i="24"/>
  <c r="AN31" i="24"/>
  <c r="AN32" i="24"/>
  <c r="AN33" i="24"/>
  <c r="AN34" i="24"/>
  <c r="AN35" i="24"/>
  <c r="AN36" i="24"/>
  <c r="AN37" i="24"/>
  <c r="AN38" i="24"/>
  <c r="AN39" i="24"/>
  <c r="BA13" i="25"/>
  <c r="AP13" i="25" s="1"/>
  <c r="BA15" i="25"/>
  <c r="AP15" i="25" s="1"/>
  <c r="BA17" i="25"/>
  <c r="AP17" i="25" s="1"/>
  <c r="BA19" i="25"/>
  <c r="AP19" i="25" s="1"/>
  <c r="BA21" i="25"/>
  <c r="AP21" i="25" s="1"/>
  <c r="BA22" i="25"/>
  <c r="AP22" i="25" s="1"/>
  <c r="BA23" i="25"/>
  <c r="AP23" i="25" s="1"/>
  <c r="BA24" i="25"/>
  <c r="AP24" i="25" s="1"/>
  <c r="BA25" i="25"/>
  <c r="AP25" i="25" s="1"/>
  <c r="BA26" i="25"/>
  <c r="AP26" i="25" s="1"/>
  <c r="BA27" i="25"/>
  <c r="AP27" i="25" s="1"/>
  <c r="BA28" i="25"/>
  <c r="AP28" i="25" s="1"/>
  <c r="BA29" i="25"/>
  <c r="AP29" i="25" s="1"/>
  <c r="BA30" i="25"/>
  <c r="AP30" i="25" s="1"/>
  <c r="BA31" i="25"/>
  <c r="AP31" i="25" s="1"/>
  <c r="BA32" i="25"/>
  <c r="AP32" i="25" s="1"/>
  <c r="BA33" i="25"/>
  <c r="AP33" i="25" s="1"/>
  <c r="BA34" i="25"/>
  <c r="AP34" i="25" s="1"/>
  <c r="BA35" i="25"/>
  <c r="AP35" i="25" s="1"/>
  <c r="BA36" i="25"/>
  <c r="AP36" i="25" s="1"/>
  <c r="BA37" i="25"/>
  <c r="AP37" i="25" s="1"/>
  <c r="BA38" i="25"/>
  <c r="AP38" i="25" s="1"/>
  <c r="BA39" i="25"/>
  <c r="AP39" i="25" s="1"/>
  <c r="BA40" i="25"/>
  <c r="AN21" i="25"/>
  <c r="AN22" i="25"/>
  <c r="AN23" i="25"/>
  <c r="AN24" i="25"/>
  <c r="AN25" i="25"/>
  <c r="AN26" i="25"/>
  <c r="AN27" i="25"/>
  <c r="AN28" i="25"/>
  <c r="AN29" i="25"/>
  <c r="AN30" i="25"/>
  <c r="AN31" i="25"/>
  <c r="AN32" i="25"/>
  <c r="AN33" i="25"/>
  <c r="AN34" i="25"/>
  <c r="AN35" i="25"/>
  <c r="AN36" i="25"/>
  <c r="AN37" i="25"/>
  <c r="AN38" i="25"/>
  <c r="AN39" i="25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D51" i="29"/>
  <c r="D52" i="29"/>
  <c r="D53" i="29"/>
  <c r="D54" i="29"/>
  <c r="D55" i="29"/>
  <c r="D56" i="29"/>
  <c r="D57" i="29"/>
  <c r="D58" i="29"/>
  <c r="D59" i="29"/>
  <c r="D60" i="29"/>
  <c r="D61" i="29"/>
  <c r="D62" i="29"/>
  <c r="D63" i="29"/>
  <c r="D64" i="29"/>
  <c r="D65" i="29"/>
  <c r="D66" i="29"/>
  <c r="D67" i="29"/>
  <c r="D68" i="29"/>
  <c r="D69" i="29"/>
  <c r="D70" i="29"/>
  <c r="D71" i="29"/>
  <c r="D72" i="29"/>
  <c r="D73" i="29"/>
  <c r="D74" i="29"/>
  <c r="D75" i="29"/>
  <c r="D76" i="29"/>
  <c r="D77" i="29"/>
  <c r="D78" i="29"/>
  <c r="D79" i="29"/>
  <c r="D80" i="29"/>
  <c r="D81" i="29"/>
  <c r="D82" i="29"/>
  <c r="D83" i="29"/>
  <c r="D84" i="29"/>
  <c r="D85" i="29"/>
  <c r="D86" i="29"/>
  <c r="D87" i="29"/>
  <c r="D88" i="29"/>
  <c r="D89" i="29"/>
  <c r="D90" i="29"/>
  <c r="D91" i="29"/>
  <c r="D92" i="29"/>
  <c r="D93" i="29"/>
  <c r="D94" i="29"/>
  <c r="D95" i="29"/>
  <c r="D96" i="29"/>
  <c r="D97" i="29"/>
  <c r="D98" i="29"/>
  <c r="D99" i="29"/>
  <c r="D100" i="29"/>
  <c r="D101" i="29"/>
  <c r="D102" i="29"/>
  <c r="D103" i="29"/>
  <c r="D104" i="29"/>
  <c r="D105" i="29"/>
  <c r="D106" i="29"/>
  <c r="D107" i="29"/>
  <c r="D108" i="29"/>
  <c r="D109" i="29"/>
  <c r="D110" i="29"/>
  <c r="D111" i="29"/>
  <c r="D112" i="29"/>
  <c r="D113" i="29"/>
  <c r="D114" i="29"/>
  <c r="D115" i="29"/>
  <c r="D116" i="29"/>
  <c r="D117" i="29"/>
  <c r="D118" i="29"/>
  <c r="D119" i="29"/>
  <c r="D120" i="29"/>
  <c r="D121" i="29"/>
  <c r="D122" i="29"/>
  <c r="D123" i="29"/>
  <c r="D124" i="29"/>
  <c r="D125" i="29"/>
  <c r="D126" i="29"/>
  <c r="D127" i="29"/>
  <c r="D128" i="29"/>
  <c r="D129" i="29"/>
  <c r="D130" i="29"/>
  <c r="D131" i="29"/>
  <c r="D132" i="29"/>
  <c r="D133" i="29"/>
  <c r="D134" i="29"/>
  <c r="D135" i="29"/>
  <c r="D136" i="29"/>
  <c r="D137" i="29"/>
  <c r="D138" i="29"/>
  <c r="D139" i="29"/>
  <c r="D140" i="29"/>
  <c r="D141" i="29"/>
  <c r="D142" i="29"/>
  <c r="D143" i="29"/>
  <c r="D144" i="29"/>
  <c r="D145" i="29"/>
  <c r="D146" i="29"/>
  <c r="D147" i="29"/>
  <c r="D148" i="29"/>
  <c r="D149" i="29"/>
  <c r="D150" i="29"/>
  <c r="D151" i="29"/>
  <c r="D152" i="29"/>
  <c r="D153" i="29"/>
  <c r="D154" i="29"/>
  <c r="D155" i="29"/>
  <c r="D156" i="29"/>
  <c r="D157" i="29"/>
  <c r="D158" i="29"/>
  <c r="D159" i="29"/>
  <c r="D160" i="29"/>
  <c r="D161" i="29"/>
  <c r="D162" i="29"/>
  <c r="D163" i="29"/>
  <c r="D164" i="29"/>
  <c r="D165" i="29"/>
  <c r="D166" i="29"/>
  <c r="D167" i="29"/>
  <c r="D168" i="29"/>
  <c r="D169" i="29"/>
  <c r="D170" i="29"/>
  <c r="D171" i="29"/>
  <c r="D172" i="29"/>
  <c r="D173" i="29"/>
  <c r="D174" i="29"/>
  <c r="D175" i="29"/>
  <c r="D176" i="29"/>
  <c r="D177" i="29"/>
  <c r="D178" i="29"/>
  <c r="D179" i="29"/>
  <c r="D180" i="29"/>
  <c r="D181" i="29"/>
  <c r="D182" i="29"/>
  <c r="D183" i="29"/>
  <c r="D184" i="29"/>
  <c r="D185" i="29"/>
  <c r="D186" i="29"/>
  <c r="D187" i="29"/>
  <c r="D188" i="29"/>
  <c r="D189" i="29"/>
  <c r="D190" i="29"/>
  <c r="D191" i="29"/>
  <c r="D192" i="29"/>
  <c r="D193" i="29"/>
  <c r="D194" i="29"/>
  <c r="D195" i="29"/>
  <c r="D196" i="29"/>
  <c r="D197" i="29"/>
  <c r="D198" i="29"/>
  <c r="D199" i="29"/>
  <c r="D200" i="29"/>
  <c r="D201" i="29"/>
  <c r="D202" i="29"/>
  <c r="D203" i="29"/>
  <c r="D204" i="29"/>
  <c r="D205" i="29"/>
  <c r="D206" i="29"/>
  <c r="D207" i="29"/>
  <c r="D208" i="29"/>
  <c r="D209" i="29"/>
  <c r="D210" i="29"/>
  <c r="D211" i="29"/>
  <c r="D212" i="29"/>
  <c r="D213" i="29"/>
  <c r="D214" i="29"/>
  <c r="D215" i="29"/>
  <c r="D216" i="29"/>
  <c r="D217" i="29"/>
  <c r="D218" i="29"/>
  <c r="D219" i="29"/>
  <c r="D220" i="29"/>
  <c r="D221" i="29"/>
  <c r="D222" i="29"/>
  <c r="D223" i="29"/>
  <c r="D224" i="29"/>
  <c r="D225" i="29"/>
  <c r="D226" i="29"/>
  <c r="D227" i="29"/>
  <c r="D228" i="29"/>
  <c r="D229" i="29"/>
  <c r="D230" i="29"/>
  <c r="D231" i="29"/>
  <c r="D232" i="29"/>
  <c r="D233" i="29"/>
  <c r="D234" i="29"/>
  <c r="D235" i="29"/>
  <c r="D236" i="29"/>
  <c r="D237" i="29"/>
  <c r="D238" i="29"/>
  <c r="D239" i="29"/>
  <c r="D240" i="29"/>
  <c r="D241" i="29"/>
  <c r="D242" i="29"/>
  <c r="D243" i="29"/>
  <c r="D244" i="29"/>
  <c r="D245" i="29"/>
  <c r="D246" i="29"/>
  <c r="D247" i="29"/>
  <c r="D248" i="29"/>
  <c r="D249" i="29"/>
  <c r="D250" i="29"/>
  <c r="D251" i="29"/>
  <c r="D252" i="29"/>
  <c r="D253" i="29"/>
  <c r="D254" i="29"/>
  <c r="D255" i="29"/>
  <c r="D256" i="29"/>
  <c r="D257" i="29"/>
  <c r="D258" i="29"/>
  <c r="D259" i="29"/>
  <c r="D260" i="29"/>
  <c r="D261" i="29"/>
  <c r="D262" i="29"/>
  <c r="D263" i="29"/>
  <c r="D264" i="29"/>
  <c r="D265" i="29"/>
  <c r="D266" i="29"/>
  <c r="D267" i="29"/>
  <c r="D268" i="29"/>
  <c r="D269" i="29"/>
  <c r="D270" i="29"/>
  <c r="D271" i="29"/>
  <c r="D272" i="29"/>
  <c r="D273" i="29"/>
  <c r="D274" i="29"/>
  <c r="D275" i="29"/>
  <c r="D276" i="29"/>
  <c r="D277" i="29"/>
  <c r="D278" i="29"/>
  <c r="D279" i="29"/>
  <c r="D280" i="29"/>
  <c r="D281" i="29"/>
  <c r="D282" i="29"/>
  <c r="D283" i="29"/>
  <c r="D284" i="29"/>
  <c r="D285" i="29"/>
  <c r="D286" i="29"/>
  <c r="D287" i="29"/>
  <c r="D288" i="29"/>
  <c r="D289" i="29"/>
  <c r="D290" i="29"/>
  <c r="D291" i="29"/>
  <c r="D292" i="29"/>
  <c r="D293" i="29"/>
  <c r="D294" i="29"/>
  <c r="D295" i="29"/>
  <c r="D296" i="29"/>
  <c r="D297" i="29"/>
  <c r="D298" i="29"/>
  <c r="D299" i="29"/>
  <c r="D300" i="29"/>
  <c r="D301" i="29"/>
  <c r="D302" i="29"/>
  <c r="D303" i="29"/>
  <c r="D304" i="29"/>
  <c r="D305" i="29"/>
  <c r="D306" i="29"/>
  <c r="D307" i="29"/>
  <c r="D308" i="29"/>
  <c r="D309" i="29"/>
  <c r="D310" i="29"/>
  <c r="D311" i="29"/>
  <c r="D312" i="29"/>
  <c r="D313" i="29"/>
  <c r="D314" i="29"/>
  <c r="D315" i="29"/>
  <c r="D316" i="29"/>
  <c r="D317" i="29"/>
  <c r="D318" i="29"/>
  <c r="D319" i="29"/>
  <c r="D320" i="29"/>
  <c r="D321" i="29"/>
  <c r="D322" i="29"/>
  <c r="D323" i="29"/>
  <c r="D324" i="29"/>
  <c r="D325" i="29"/>
  <c r="D326" i="29"/>
  <c r="D327" i="29"/>
  <c r="D328" i="29"/>
  <c r="D329" i="29"/>
  <c r="D330" i="29"/>
  <c r="D331" i="29"/>
  <c r="D332" i="29"/>
  <c r="D333" i="29"/>
  <c r="D334" i="29"/>
  <c r="D335" i="29"/>
  <c r="D336" i="29"/>
  <c r="D337" i="29"/>
  <c r="D338" i="29"/>
  <c r="D339" i="29"/>
  <c r="D340" i="29"/>
  <c r="D341" i="29"/>
  <c r="D342" i="29"/>
  <c r="D343" i="29"/>
  <c r="D344" i="29"/>
  <c r="D345" i="29"/>
  <c r="D346" i="29"/>
  <c r="D347" i="29"/>
  <c r="D348" i="29"/>
  <c r="D349" i="29"/>
  <c r="D350" i="29"/>
  <c r="D351" i="29"/>
  <c r="D352" i="29"/>
  <c r="D353" i="29"/>
  <c r="D354" i="29"/>
  <c r="D355" i="29"/>
  <c r="D356" i="29"/>
  <c r="D357" i="29"/>
  <c r="D358" i="29"/>
  <c r="D359" i="29"/>
  <c r="D360" i="29"/>
  <c r="D361" i="29"/>
  <c r="D362" i="29"/>
  <c r="D363" i="29"/>
  <c r="D364" i="29"/>
  <c r="D365" i="29"/>
  <c r="D366" i="29"/>
  <c r="D367" i="29"/>
  <c r="D368" i="29"/>
  <c r="D369" i="29"/>
  <c r="D370" i="29"/>
  <c r="D371" i="29"/>
  <c r="D372" i="29"/>
  <c r="D373" i="29"/>
  <c r="D374" i="29"/>
  <c r="D375" i="29"/>
  <c r="D376" i="29"/>
  <c r="D377" i="29"/>
  <c r="D378" i="29"/>
  <c r="D379" i="29"/>
  <c r="D380" i="29"/>
  <c r="D381" i="29"/>
  <c r="D382" i="29"/>
  <c r="D383" i="29"/>
  <c r="D384" i="29"/>
  <c r="D385" i="29"/>
  <c r="D386" i="29"/>
  <c r="D387" i="29"/>
  <c r="D388" i="29"/>
  <c r="D389" i="29"/>
  <c r="D390" i="29"/>
  <c r="D391" i="29"/>
  <c r="D392" i="29"/>
  <c r="D393" i="29"/>
  <c r="D394" i="29"/>
  <c r="D395" i="29"/>
  <c r="D396" i="29"/>
  <c r="D397" i="29"/>
  <c r="D398" i="29"/>
  <c r="D399" i="29"/>
  <c r="D400" i="29"/>
  <c r="D401" i="29"/>
  <c r="D402" i="29"/>
  <c r="D403" i="29"/>
  <c r="D404" i="29"/>
  <c r="D405" i="29"/>
  <c r="D406" i="29"/>
  <c r="D407" i="29"/>
  <c r="D408" i="29"/>
  <c r="D409" i="29"/>
  <c r="D410" i="29"/>
  <c r="D411" i="29"/>
  <c r="D412" i="29"/>
  <c r="D413" i="29"/>
  <c r="D414" i="29"/>
  <c r="D415" i="29"/>
  <c r="D416" i="29"/>
  <c r="D417" i="29"/>
  <c r="D418" i="29"/>
  <c r="D419" i="29"/>
  <c r="D420" i="29"/>
  <c r="D421" i="29"/>
  <c r="D422" i="29"/>
  <c r="D423" i="29"/>
  <c r="D424" i="29"/>
  <c r="D425" i="29"/>
  <c r="D426" i="29"/>
  <c r="D427" i="29"/>
  <c r="D428" i="29"/>
  <c r="D429" i="29"/>
  <c r="D430" i="29"/>
  <c r="D431" i="29"/>
  <c r="D432" i="29"/>
  <c r="D433" i="29"/>
  <c r="D434" i="29"/>
  <c r="D435" i="29"/>
  <c r="D436" i="29"/>
  <c r="D437" i="29"/>
  <c r="D438" i="29"/>
  <c r="D439" i="29"/>
  <c r="D440" i="29"/>
  <c r="D441" i="29"/>
  <c r="D442" i="29"/>
  <c r="D443" i="29"/>
  <c r="D444" i="29"/>
  <c r="D445" i="29"/>
  <c r="D446" i="29"/>
  <c r="D447" i="29"/>
  <c r="D448" i="29"/>
  <c r="D449" i="29"/>
  <c r="D450" i="29"/>
  <c r="D451" i="29"/>
  <c r="D452" i="29"/>
  <c r="D453" i="29"/>
  <c r="D454" i="29"/>
  <c r="D455" i="29"/>
  <c r="D456" i="29"/>
  <c r="D457" i="29"/>
  <c r="D458" i="29"/>
  <c r="D459" i="29"/>
  <c r="D460" i="29"/>
  <c r="D461" i="29"/>
  <c r="D462" i="29"/>
  <c r="D463" i="29"/>
  <c r="D464" i="29"/>
  <c r="D465" i="29"/>
  <c r="D466" i="29"/>
  <c r="D467" i="29"/>
  <c r="D468" i="29"/>
  <c r="D469" i="29"/>
  <c r="D470" i="29"/>
  <c r="D471" i="29"/>
  <c r="D472" i="29"/>
  <c r="D473" i="29"/>
  <c r="D474" i="29"/>
  <c r="D475" i="29"/>
  <c r="D476" i="29"/>
  <c r="D477" i="29"/>
  <c r="D478" i="29"/>
  <c r="D479" i="29"/>
  <c r="D480" i="29"/>
  <c r="D481" i="29"/>
  <c r="D482" i="29"/>
  <c r="D483" i="29"/>
  <c r="D484" i="29"/>
  <c r="D485" i="29"/>
  <c r="D486" i="29"/>
  <c r="D487" i="29"/>
  <c r="D488" i="29"/>
  <c r="D489" i="29"/>
  <c r="D490" i="29"/>
  <c r="D491" i="29"/>
  <c r="D492" i="29"/>
  <c r="D493" i="29"/>
  <c r="D494" i="29"/>
  <c r="D495" i="29"/>
  <c r="D496" i="29"/>
  <c r="D497" i="29"/>
  <c r="D498" i="29"/>
  <c r="D499" i="29"/>
  <c r="D500" i="29"/>
  <c r="D501" i="29"/>
  <c r="D502" i="29"/>
  <c r="D503" i="29"/>
  <c r="D504" i="29"/>
  <c r="D505" i="29"/>
  <c r="D506" i="29"/>
  <c r="D507" i="29"/>
  <c r="D508" i="29"/>
  <c r="D509" i="29"/>
  <c r="D510" i="29"/>
  <c r="D511" i="29"/>
  <c r="D512" i="29"/>
  <c r="D513" i="29"/>
  <c r="D514" i="29"/>
  <c r="D515" i="29"/>
  <c r="D516" i="29"/>
  <c r="D517" i="29"/>
  <c r="D518" i="29"/>
  <c r="D519" i="29"/>
  <c r="D520" i="29"/>
  <c r="D521" i="29"/>
  <c r="D522" i="29"/>
  <c r="D523" i="29"/>
  <c r="D524" i="29"/>
  <c r="D525" i="29"/>
  <c r="D526" i="29"/>
  <c r="D527" i="29"/>
  <c r="D528" i="29"/>
  <c r="D529" i="29"/>
  <c r="D530" i="29"/>
  <c r="D531" i="29"/>
  <c r="D532" i="29"/>
  <c r="D533" i="29"/>
  <c r="D534" i="29"/>
  <c r="D535" i="29"/>
  <c r="D536" i="29"/>
  <c r="D537" i="29"/>
  <c r="D538" i="29"/>
  <c r="D539" i="29"/>
  <c r="D540" i="29"/>
  <c r="D541" i="29"/>
  <c r="D542" i="29"/>
  <c r="D543" i="29"/>
  <c r="D544" i="29"/>
  <c r="D545" i="29"/>
  <c r="D546" i="29"/>
  <c r="D547" i="29"/>
  <c r="D548" i="29"/>
  <c r="D549" i="29"/>
  <c r="D550" i="29"/>
  <c r="D551" i="29"/>
  <c r="D552" i="29"/>
  <c r="D553" i="29"/>
  <c r="D554" i="29"/>
  <c r="D555" i="29"/>
  <c r="D556" i="29"/>
  <c r="D557" i="29"/>
  <c r="D558" i="29"/>
  <c r="D559" i="29"/>
  <c r="D560" i="29"/>
  <c r="D561" i="29"/>
  <c r="D562" i="29"/>
  <c r="D563" i="29"/>
  <c r="D564" i="29"/>
  <c r="D565" i="29"/>
  <c r="D566" i="29"/>
  <c r="D567" i="29"/>
  <c r="D568" i="29"/>
  <c r="D569" i="29"/>
  <c r="D570" i="29"/>
  <c r="D571" i="29"/>
  <c r="D572" i="29"/>
  <c r="D573" i="29"/>
  <c r="D574" i="29"/>
  <c r="D575" i="29"/>
  <c r="D576" i="29"/>
  <c r="D577" i="29"/>
  <c r="D578" i="29"/>
  <c r="D579" i="29"/>
  <c r="D580" i="29"/>
  <c r="D581" i="29"/>
  <c r="D582" i="29"/>
  <c r="D583" i="29"/>
  <c r="D584" i="29"/>
  <c r="D585" i="29"/>
  <c r="D586" i="29"/>
  <c r="D587" i="29"/>
  <c r="D588" i="29"/>
  <c r="D589" i="29"/>
  <c r="D590" i="29"/>
  <c r="D591" i="29"/>
  <c r="D592" i="29"/>
  <c r="D593" i="29"/>
  <c r="D594" i="29"/>
  <c r="D595" i="29"/>
  <c r="D596" i="29"/>
  <c r="D597" i="29"/>
  <c r="D598" i="29"/>
  <c r="D599" i="29"/>
  <c r="D600" i="29"/>
  <c r="D601" i="29"/>
  <c r="D602" i="29"/>
  <c r="D603" i="29"/>
  <c r="D604" i="29"/>
  <c r="D605" i="29"/>
  <c r="D606" i="29"/>
  <c r="D607" i="29"/>
  <c r="D608" i="29"/>
  <c r="D609" i="29"/>
  <c r="D610" i="29"/>
  <c r="D611" i="29"/>
  <c r="D612" i="29"/>
  <c r="D613" i="29"/>
  <c r="D614" i="29"/>
  <c r="D615" i="29"/>
  <c r="D616" i="29"/>
  <c r="D617" i="29"/>
  <c r="D618" i="29"/>
  <c r="D619" i="29"/>
  <c r="D620" i="29"/>
  <c r="D621" i="29"/>
  <c r="D622" i="29"/>
  <c r="D623" i="29"/>
  <c r="D624" i="29"/>
  <c r="D625" i="29"/>
  <c r="D626" i="29"/>
  <c r="D627" i="29"/>
  <c r="D628" i="29"/>
  <c r="D629" i="29"/>
  <c r="D630" i="29"/>
  <c r="D631" i="29"/>
  <c r="D632" i="29"/>
  <c r="D633" i="29"/>
  <c r="D634" i="29"/>
  <c r="D635" i="29"/>
  <c r="D636" i="29"/>
  <c r="D637" i="29"/>
  <c r="D638" i="29"/>
  <c r="D639" i="29"/>
  <c r="D640" i="29"/>
  <c r="D641" i="29"/>
  <c r="D642" i="29"/>
  <c r="D643" i="29"/>
  <c r="D644" i="29"/>
  <c r="D645" i="29"/>
  <c r="D646" i="29"/>
  <c r="D647" i="29"/>
  <c r="D648" i="29"/>
  <c r="D649" i="29"/>
  <c r="D650" i="29"/>
  <c r="D651" i="29"/>
  <c r="D652" i="29"/>
  <c r="D653" i="29"/>
  <c r="D654" i="29"/>
  <c r="D655" i="29"/>
  <c r="D656" i="29"/>
  <c r="D657" i="29"/>
  <c r="D658" i="29"/>
  <c r="D659" i="29"/>
  <c r="D660" i="29"/>
  <c r="D661" i="29"/>
  <c r="D662" i="29"/>
  <c r="D663" i="29"/>
  <c r="D664" i="29"/>
  <c r="D665" i="29"/>
  <c r="D666" i="29"/>
  <c r="D667" i="29"/>
  <c r="D668" i="29"/>
  <c r="D669" i="29"/>
  <c r="D670" i="29"/>
  <c r="D671" i="29"/>
  <c r="D672" i="29"/>
  <c r="D673" i="29"/>
  <c r="D674" i="29"/>
  <c r="D675" i="29"/>
  <c r="D676" i="29"/>
  <c r="D677" i="29"/>
  <c r="D678" i="29"/>
  <c r="D679" i="29"/>
  <c r="D680" i="29"/>
  <c r="D681" i="29"/>
  <c r="D682" i="29"/>
  <c r="D683" i="29"/>
  <c r="D684" i="29"/>
  <c r="D685" i="29"/>
  <c r="D686" i="29"/>
  <c r="D687" i="29"/>
  <c r="D688" i="29"/>
  <c r="D689" i="29"/>
  <c r="D690" i="29"/>
  <c r="D691" i="29"/>
  <c r="D692" i="29"/>
  <c r="D693" i="29"/>
  <c r="D694" i="29"/>
  <c r="D695" i="29"/>
  <c r="D696" i="29"/>
  <c r="D697" i="29"/>
  <c r="D698" i="29"/>
  <c r="D699" i="29"/>
  <c r="D700" i="29"/>
  <c r="D701" i="29"/>
  <c r="D702" i="29"/>
  <c r="D703" i="29"/>
  <c r="D704" i="29"/>
  <c r="D705" i="29"/>
  <c r="D706" i="29"/>
  <c r="D707" i="29"/>
  <c r="D708" i="29"/>
  <c r="D709" i="29"/>
  <c r="D710" i="29"/>
  <c r="D711" i="29"/>
  <c r="D712" i="29"/>
  <c r="D713" i="29"/>
  <c r="D714" i="29"/>
  <c r="D715" i="29"/>
  <c r="D716" i="29"/>
  <c r="D717" i="29"/>
  <c r="D718" i="29"/>
  <c r="D719" i="29"/>
  <c r="D720" i="29"/>
  <c r="D721" i="29"/>
  <c r="D722" i="29"/>
  <c r="D723" i="29"/>
  <c r="D724" i="29"/>
  <c r="D8" i="29"/>
  <c r="D9" i="29"/>
  <c r="D10" i="29"/>
  <c r="D11" i="29"/>
  <c r="D12" i="29"/>
  <c r="D13" i="29"/>
  <c r="D7" i="29"/>
  <c r="D6" i="29"/>
  <c r="D5" i="29"/>
  <c r="AO43" i="18" l="1"/>
  <c r="AO43" i="24"/>
  <c r="AP43" i="5"/>
  <c r="AN43" i="5"/>
  <c r="AO43" i="5"/>
  <c r="AP43" i="1"/>
  <c r="AO43" i="16"/>
  <c r="AO43" i="20"/>
  <c r="AP43" i="8"/>
  <c r="AP43" i="10"/>
  <c r="AP43" i="15"/>
  <c r="AP43" i="21"/>
  <c r="AP43" i="19"/>
  <c r="AO43" i="14"/>
  <c r="AO43" i="9"/>
  <c r="AP43" i="23"/>
  <c r="AO43" i="7"/>
  <c r="AN43" i="19"/>
  <c r="AO43" i="11"/>
  <c r="AP43" i="28"/>
  <c r="AO43" i="19"/>
  <c r="AO43" i="22"/>
  <c r="AO43" i="25"/>
  <c r="AO43" i="4"/>
  <c r="AP43" i="26"/>
  <c r="AN43" i="1"/>
  <c r="AP43" i="25"/>
  <c r="AN43" i="25"/>
  <c r="AO43" i="21"/>
  <c r="AN43" i="21"/>
  <c r="AO43" i="1"/>
  <c r="AN43" i="24"/>
  <c r="AP43" i="24"/>
  <c r="AN43" i="22"/>
  <c r="AO43" i="23"/>
  <c r="AN43" i="18"/>
  <c r="AP43" i="20"/>
  <c r="AN43" i="16"/>
  <c r="AN43" i="14"/>
  <c r="AO43" i="17"/>
  <c r="AO43" i="15"/>
  <c r="AO43" i="28"/>
  <c r="AP43" i="11"/>
  <c r="AO43" i="10"/>
  <c r="AP43" i="9"/>
  <c r="AN43" i="8"/>
  <c r="AN43" i="7"/>
  <c r="AN43" i="13"/>
  <c r="AP43" i="7"/>
  <c r="AN43" i="6"/>
  <c r="AN43" i="26"/>
  <c r="AN43" i="23"/>
  <c r="AP43" i="22"/>
  <c r="AN43" i="20"/>
  <c r="AP43" i="18"/>
  <c r="AN43" i="17"/>
  <c r="AP43" i="16"/>
  <c r="AN43" i="15"/>
  <c r="AP43" i="14"/>
  <c r="AN43" i="11"/>
  <c r="AN43" i="9"/>
  <c r="AN43" i="28"/>
  <c r="AN43" i="10"/>
  <c r="AO43" i="8"/>
  <c r="AO43" i="13"/>
  <c r="AO43" i="6"/>
  <c r="AN43" i="4"/>
  <c r="AO43" i="26"/>
  <c r="AP43" i="4"/>
  <c r="C724" i="29"/>
  <c r="E724" i="29" s="1"/>
  <c r="G724" i="29" s="1"/>
  <c r="C723" i="29"/>
  <c r="E723" i="29" s="1"/>
  <c r="C722" i="29"/>
  <c r="E722" i="29" s="1"/>
  <c r="H722" i="29" s="1"/>
  <c r="C721" i="29"/>
  <c r="E721" i="29" s="1"/>
  <c r="C720" i="29"/>
  <c r="E720" i="29" s="1"/>
  <c r="G720" i="29" s="1"/>
  <c r="C719" i="29"/>
  <c r="E719" i="29" s="1"/>
  <c r="C718" i="29"/>
  <c r="E718" i="29" s="1"/>
  <c r="C717" i="29"/>
  <c r="E717" i="29" s="1"/>
  <c r="C716" i="29"/>
  <c r="E716" i="29" s="1"/>
  <c r="C715" i="29"/>
  <c r="E715" i="29" s="1"/>
  <c r="C714" i="29"/>
  <c r="E714" i="29" s="1"/>
  <c r="C713" i="29"/>
  <c r="E713" i="29" s="1"/>
  <c r="C712" i="29"/>
  <c r="E712" i="29" s="1"/>
  <c r="C711" i="29"/>
  <c r="E711" i="29" s="1"/>
  <c r="C710" i="29"/>
  <c r="E710" i="29" s="1"/>
  <c r="C709" i="29"/>
  <c r="E709" i="29" s="1"/>
  <c r="C708" i="29"/>
  <c r="E708" i="29" s="1"/>
  <c r="C707" i="29"/>
  <c r="E707" i="29" s="1"/>
  <c r="C706" i="29"/>
  <c r="E706" i="29" s="1"/>
  <c r="H706" i="29" s="1"/>
  <c r="C705" i="29"/>
  <c r="E705" i="29" s="1"/>
  <c r="C704" i="29"/>
  <c r="E704" i="29" s="1"/>
  <c r="C703" i="29"/>
  <c r="E703" i="29" s="1"/>
  <c r="C702" i="29"/>
  <c r="E702" i="29" s="1"/>
  <c r="C701" i="29"/>
  <c r="E701" i="29" s="1"/>
  <c r="C700" i="29"/>
  <c r="E700" i="29" s="1"/>
  <c r="C699" i="29"/>
  <c r="E699" i="29" s="1"/>
  <c r="C698" i="29"/>
  <c r="E698" i="29" s="1"/>
  <c r="C697" i="29"/>
  <c r="E697" i="29" s="1"/>
  <c r="C696" i="29"/>
  <c r="E696" i="29" s="1"/>
  <c r="C695" i="29"/>
  <c r="E695" i="29" s="1"/>
  <c r="C694" i="29"/>
  <c r="E694" i="29" s="1"/>
  <c r="C693" i="29"/>
  <c r="E693" i="29" s="1"/>
  <c r="C692" i="29"/>
  <c r="E692" i="29" s="1"/>
  <c r="C691" i="29"/>
  <c r="E691" i="29" s="1"/>
  <c r="C690" i="29"/>
  <c r="E690" i="29" s="1"/>
  <c r="H690" i="29" s="1"/>
  <c r="C689" i="29"/>
  <c r="E689" i="29" s="1"/>
  <c r="C688" i="29"/>
  <c r="E688" i="29" s="1"/>
  <c r="C687" i="29"/>
  <c r="E687" i="29" s="1"/>
  <c r="C686" i="29"/>
  <c r="E686" i="29" s="1"/>
  <c r="C685" i="29"/>
  <c r="E685" i="29" s="1"/>
  <c r="C684" i="29"/>
  <c r="E684" i="29" s="1"/>
  <c r="C683" i="29"/>
  <c r="E683" i="29" s="1"/>
  <c r="C682" i="29"/>
  <c r="E682" i="29" s="1"/>
  <c r="C681" i="29"/>
  <c r="E681" i="29" s="1"/>
  <c r="C680" i="29"/>
  <c r="E680" i="29" s="1"/>
  <c r="C679" i="29"/>
  <c r="E679" i="29" s="1"/>
  <c r="C678" i="29"/>
  <c r="E678" i="29" s="1"/>
  <c r="C677" i="29"/>
  <c r="E677" i="29" s="1"/>
  <c r="C676" i="29"/>
  <c r="E676" i="29" s="1"/>
  <c r="C675" i="29"/>
  <c r="E675" i="29" s="1"/>
  <c r="C674" i="29"/>
  <c r="E674" i="29" s="1"/>
  <c r="H674" i="29" s="1"/>
  <c r="C673" i="29"/>
  <c r="E673" i="29" s="1"/>
  <c r="C672" i="29"/>
  <c r="E672" i="29" s="1"/>
  <c r="C671" i="29"/>
  <c r="E671" i="29" s="1"/>
  <c r="C670" i="29"/>
  <c r="E670" i="29" s="1"/>
  <c r="C669" i="29"/>
  <c r="E669" i="29" s="1"/>
  <c r="C668" i="29"/>
  <c r="E668" i="29" s="1"/>
  <c r="C667" i="29"/>
  <c r="E667" i="29" s="1"/>
  <c r="C666" i="29"/>
  <c r="E666" i="29" s="1"/>
  <c r="C665" i="29"/>
  <c r="E665" i="29" s="1"/>
  <c r="C664" i="29"/>
  <c r="E664" i="29" s="1"/>
  <c r="C663" i="29"/>
  <c r="E663" i="29" s="1"/>
  <c r="C662" i="29"/>
  <c r="E662" i="29" s="1"/>
  <c r="C661" i="29"/>
  <c r="E661" i="29" s="1"/>
  <c r="C660" i="29"/>
  <c r="E660" i="29" s="1"/>
  <c r="C659" i="29"/>
  <c r="E659" i="29" s="1"/>
  <c r="C658" i="29"/>
  <c r="E658" i="29" s="1"/>
  <c r="H658" i="29" s="1"/>
  <c r="C657" i="29"/>
  <c r="E657" i="29" s="1"/>
  <c r="C656" i="29"/>
  <c r="E656" i="29" s="1"/>
  <c r="C655" i="29"/>
  <c r="E655" i="29" s="1"/>
  <c r="C654" i="29"/>
  <c r="E654" i="29" s="1"/>
  <c r="C653" i="29"/>
  <c r="E653" i="29" s="1"/>
  <c r="C652" i="29"/>
  <c r="E652" i="29" s="1"/>
  <c r="C651" i="29"/>
  <c r="E651" i="29" s="1"/>
  <c r="C650" i="29"/>
  <c r="E650" i="29" s="1"/>
  <c r="C649" i="29"/>
  <c r="E649" i="29" s="1"/>
  <c r="C648" i="29"/>
  <c r="E648" i="29" s="1"/>
  <c r="C647" i="29"/>
  <c r="E647" i="29" s="1"/>
  <c r="C646" i="29"/>
  <c r="E646" i="29" s="1"/>
  <c r="C645" i="29"/>
  <c r="E645" i="29" s="1"/>
  <c r="C644" i="29"/>
  <c r="E644" i="29" s="1"/>
  <c r="C643" i="29"/>
  <c r="E643" i="29" s="1"/>
  <c r="C642" i="29"/>
  <c r="E642" i="29" s="1"/>
  <c r="H642" i="29" s="1"/>
  <c r="C641" i="29"/>
  <c r="E641" i="29" s="1"/>
  <c r="C640" i="29"/>
  <c r="E640" i="29" s="1"/>
  <c r="C639" i="29"/>
  <c r="E639" i="29" s="1"/>
  <c r="C638" i="29"/>
  <c r="E638" i="29" s="1"/>
  <c r="C637" i="29"/>
  <c r="E637" i="29" s="1"/>
  <c r="C636" i="29"/>
  <c r="E636" i="29" s="1"/>
  <c r="C635" i="29"/>
  <c r="E635" i="29" s="1"/>
  <c r="C634" i="29"/>
  <c r="E634" i="29" s="1"/>
  <c r="C633" i="29"/>
  <c r="E633" i="29" s="1"/>
  <c r="C632" i="29"/>
  <c r="E632" i="29" s="1"/>
  <c r="C631" i="29"/>
  <c r="E631" i="29" s="1"/>
  <c r="C630" i="29"/>
  <c r="E630" i="29" s="1"/>
  <c r="C629" i="29"/>
  <c r="E629" i="29" s="1"/>
  <c r="C606" i="29"/>
  <c r="E606" i="29" s="1"/>
  <c r="C628" i="29"/>
  <c r="E628" i="29" s="1"/>
  <c r="C627" i="29"/>
  <c r="E627" i="29" s="1"/>
  <c r="C626" i="29"/>
  <c r="E626" i="29" s="1"/>
  <c r="H626" i="29" s="1"/>
  <c r="C625" i="29"/>
  <c r="E625" i="29" s="1"/>
  <c r="C624" i="29"/>
  <c r="E624" i="29" s="1"/>
  <c r="C623" i="29"/>
  <c r="E623" i="29" s="1"/>
  <c r="C622" i="29"/>
  <c r="E622" i="29" s="1"/>
  <c r="C621" i="29"/>
  <c r="E621" i="29" s="1"/>
  <c r="C620" i="29"/>
  <c r="E620" i="29" s="1"/>
  <c r="C619" i="29"/>
  <c r="E619" i="29" s="1"/>
  <c r="C618" i="29"/>
  <c r="E618" i="29" s="1"/>
  <c r="C617" i="29"/>
  <c r="E617" i="29" s="1"/>
  <c r="C616" i="29"/>
  <c r="E616" i="29" s="1"/>
  <c r="C615" i="29"/>
  <c r="E615" i="29" s="1"/>
  <c r="C614" i="29"/>
  <c r="E614" i="29" s="1"/>
  <c r="C613" i="29"/>
  <c r="E613" i="29" s="1"/>
  <c r="C612" i="29"/>
  <c r="E612" i="29" s="1"/>
  <c r="C611" i="29"/>
  <c r="E611" i="29" s="1"/>
  <c r="C610" i="29"/>
  <c r="E610" i="29" s="1"/>
  <c r="H610" i="29" s="1"/>
  <c r="C609" i="29"/>
  <c r="E609" i="29" s="1"/>
  <c r="C608" i="29"/>
  <c r="E608" i="29" s="1"/>
  <c r="C607" i="29"/>
  <c r="E607" i="29" s="1"/>
  <c r="C605" i="29"/>
  <c r="E605" i="29" s="1"/>
  <c r="C604" i="29"/>
  <c r="E604" i="29" s="1"/>
  <c r="C603" i="29"/>
  <c r="E603" i="29" s="1"/>
  <c r="C602" i="29"/>
  <c r="E602" i="29" s="1"/>
  <c r="C601" i="29"/>
  <c r="E601" i="29" s="1"/>
  <c r="C600" i="29"/>
  <c r="E600" i="29" s="1"/>
  <c r="C599" i="29"/>
  <c r="E599" i="29" s="1"/>
  <c r="C598" i="29"/>
  <c r="E598" i="29" s="1"/>
  <c r="C597" i="29"/>
  <c r="E597" i="29" s="1"/>
  <c r="C596" i="29"/>
  <c r="E596" i="29" s="1"/>
  <c r="C595" i="29"/>
  <c r="E595" i="29" s="1"/>
  <c r="C594" i="29"/>
  <c r="E594" i="29" s="1"/>
  <c r="H594" i="29" s="1"/>
  <c r="C593" i="29"/>
  <c r="E593" i="29" s="1"/>
  <c r="C592" i="29"/>
  <c r="E592" i="29" s="1"/>
  <c r="C591" i="29"/>
  <c r="E591" i="29" s="1"/>
  <c r="C590" i="29"/>
  <c r="E590" i="29" s="1"/>
  <c r="C589" i="29"/>
  <c r="E589" i="29" s="1"/>
  <c r="C588" i="29"/>
  <c r="E588" i="29" s="1"/>
  <c r="C587" i="29"/>
  <c r="E587" i="29" s="1"/>
  <c r="C586" i="29"/>
  <c r="E586" i="29" s="1"/>
  <c r="C585" i="29"/>
  <c r="E585" i="29" s="1"/>
  <c r="C584" i="29"/>
  <c r="E584" i="29" s="1"/>
  <c r="C583" i="29"/>
  <c r="E583" i="29" s="1"/>
  <c r="C582" i="29"/>
  <c r="E582" i="29" s="1"/>
  <c r="C581" i="29"/>
  <c r="E581" i="29" s="1"/>
  <c r="C580" i="29"/>
  <c r="E580" i="29" s="1"/>
  <c r="C579" i="29"/>
  <c r="E579" i="29" s="1"/>
  <c r="C578" i="29"/>
  <c r="E578" i="29" s="1"/>
  <c r="H578" i="29" s="1"/>
  <c r="C577" i="29"/>
  <c r="E577" i="29" s="1"/>
  <c r="C576" i="29"/>
  <c r="E576" i="29" s="1"/>
  <c r="C575" i="29"/>
  <c r="E575" i="29" s="1"/>
  <c r="C574" i="29"/>
  <c r="E574" i="29" s="1"/>
  <c r="C573" i="29"/>
  <c r="E573" i="29" s="1"/>
  <c r="C572" i="29"/>
  <c r="E572" i="29" s="1"/>
  <c r="C571" i="29"/>
  <c r="E571" i="29" s="1"/>
  <c r="C570" i="29"/>
  <c r="E570" i="29" s="1"/>
  <c r="C569" i="29"/>
  <c r="E569" i="29" s="1"/>
  <c r="C568" i="29"/>
  <c r="E568" i="29" s="1"/>
  <c r="C567" i="29"/>
  <c r="E567" i="29" s="1"/>
  <c r="C566" i="29"/>
  <c r="E566" i="29" s="1"/>
  <c r="C565" i="29"/>
  <c r="E565" i="29" s="1"/>
  <c r="C564" i="29"/>
  <c r="E564" i="29" s="1"/>
  <c r="C563" i="29"/>
  <c r="E563" i="29" s="1"/>
  <c r="C562" i="29"/>
  <c r="E562" i="29" s="1"/>
  <c r="H562" i="29" s="1"/>
  <c r="C561" i="29"/>
  <c r="E561" i="29" s="1"/>
  <c r="C560" i="29"/>
  <c r="E560" i="29" s="1"/>
  <c r="C559" i="29"/>
  <c r="E559" i="29" s="1"/>
  <c r="C558" i="29"/>
  <c r="E558" i="29" s="1"/>
  <c r="C557" i="29"/>
  <c r="E557" i="29" s="1"/>
  <c r="C556" i="29"/>
  <c r="E556" i="29" s="1"/>
  <c r="C555" i="29"/>
  <c r="E555" i="29" s="1"/>
  <c r="C554" i="29"/>
  <c r="E554" i="29" s="1"/>
  <c r="C553" i="29"/>
  <c r="E553" i="29" s="1"/>
  <c r="C552" i="29"/>
  <c r="E552" i="29" s="1"/>
  <c r="C551" i="29"/>
  <c r="E551" i="29" s="1"/>
  <c r="C550" i="29"/>
  <c r="E550" i="29" s="1"/>
  <c r="C549" i="29"/>
  <c r="E549" i="29" s="1"/>
  <c r="C548" i="29"/>
  <c r="E548" i="29" s="1"/>
  <c r="C547" i="29"/>
  <c r="E547" i="29" s="1"/>
  <c r="C546" i="29"/>
  <c r="E546" i="29" s="1"/>
  <c r="H546" i="29" s="1"/>
  <c r="C545" i="29"/>
  <c r="E545" i="29" s="1"/>
  <c r="C544" i="29"/>
  <c r="E544" i="29" s="1"/>
  <c r="C543" i="29"/>
  <c r="E543" i="29" s="1"/>
  <c r="C542" i="29"/>
  <c r="E542" i="29" s="1"/>
  <c r="C541" i="29"/>
  <c r="E541" i="29" s="1"/>
  <c r="C540" i="29"/>
  <c r="E540" i="29" s="1"/>
  <c r="C539" i="29"/>
  <c r="E539" i="29" s="1"/>
  <c r="C538" i="29"/>
  <c r="E538" i="29" s="1"/>
  <c r="C537" i="29"/>
  <c r="E537" i="29" s="1"/>
  <c r="C536" i="29"/>
  <c r="E536" i="29" s="1"/>
  <c r="C535" i="29"/>
  <c r="E535" i="29" s="1"/>
  <c r="C534" i="29"/>
  <c r="E534" i="29" s="1"/>
  <c r="C533" i="29"/>
  <c r="E533" i="29" s="1"/>
  <c r="C532" i="29"/>
  <c r="E532" i="29" s="1"/>
  <c r="C531" i="29"/>
  <c r="E531" i="29" s="1"/>
  <c r="C530" i="29"/>
  <c r="E530" i="29" s="1"/>
  <c r="C529" i="29"/>
  <c r="E529" i="29" s="1"/>
  <c r="C528" i="29"/>
  <c r="E528" i="29" s="1"/>
  <c r="C527" i="29"/>
  <c r="E527" i="29" s="1"/>
  <c r="C526" i="29"/>
  <c r="E526" i="29" s="1"/>
  <c r="C525" i="29"/>
  <c r="E525" i="29" s="1"/>
  <c r="C524" i="29"/>
  <c r="E524" i="29" s="1"/>
  <c r="C523" i="29"/>
  <c r="E523" i="29" s="1"/>
  <c r="C522" i="29"/>
  <c r="E522" i="29" s="1"/>
  <c r="C521" i="29"/>
  <c r="E521" i="29" s="1"/>
  <c r="C520" i="29"/>
  <c r="E520" i="29" s="1"/>
  <c r="C519" i="29"/>
  <c r="E519" i="29" s="1"/>
  <c r="C518" i="29"/>
  <c r="E518" i="29" s="1"/>
  <c r="C517" i="29"/>
  <c r="E517" i="29" s="1"/>
  <c r="C516" i="29"/>
  <c r="E516" i="29" s="1"/>
  <c r="C515" i="29"/>
  <c r="E515" i="29" s="1"/>
  <c r="C514" i="29"/>
  <c r="E514" i="29" s="1"/>
  <c r="C513" i="29"/>
  <c r="E513" i="29" s="1"/>
  <c r="C512" i="29"/>
  <c r="E512" i="29" s="1"/>
  <c r="C511" i="29"/>
  <c r="E511" i="29" s="1"/>
  <c r="C510" i="29"/>
  <c r="E510" i="29" s="1"/>
  <c r="C509" i="29"/>
  <c r="E509" i="29" s="1"/>
  <c r="C508" i="29"/>
  <c r="E508" i="29" s="1"/>
  <c r="C507" i="29"/>
  <c r="E507" i="29" s="1"/>
  <c r="C506" i="29"/>
  <c r="E506" i="29" s="1"/>
  <c r="C505" i="29"/>
  <c r="E505" i="29" s="1"/>
  <c r="C504" i="29"/>
  <c r="E504" i="29" s="1"/>
  <c r="C503" i="29"/>
  <c r="E503" i="29" s="1"/>
  <c r="C502" i="29"/>
  <c r="E502" i="29" s="1"/>
  <c r="C501" i="29"/>
  <c r="E501" i="29" s="1"/>
  <c r="C500" i="29"/>
  <c r="E500" i="29" s="1"/>
  <c r="C499" i="29"/>
  <c r="E499" i="29" s="1"/>
  <c r="C498" i="29"/>
  <c r="E498" i="29" s="1"/>
  <c r="C497" i="29"/>
  <c r="E497" i="29" s="1"/>
  <c r="C496" i="29"/>
  <c r="E496" i="29" s="1"/>
  <c r="C495" i="29"/>
  <c r="E495" i="29" s="1"/>
  <c r="C494" i="29"/>
  <c r="E494" i="29" s="1"/>
  <c r="C493" i="29"/>
  <c r="E493" i="29" s="1"/>
  <c r="C492" i="29"/>
  <c r="E492" i="29" s="1"/>
  <c r="C491" i="29"/>
  <c r="E491" i="29" s="1"/>
  <c r="C490" i="29"/>
  <c r="E490" i="29" s="1"/>
  <c r="C489" i="29"/>
  <c r="E489" i="29" s="1"/>
  <c r="C488" i="29"/>
  <c r="E488" i="29" s="1"/>
  <c r="C487" i="29"/>
  <c r="E487" i="29" s="1"/>
  <c r="C486" i="29"/>
  <c r="E486" i="29" s="1"/>
  <c r="C485" i="29"/>
  <c r="E485" i="29" s="1"/>
  <c r="C484" i="29"/>
  <c r="E484" i="29" s="1"/>
  <c r="C483" i="29"/>
  <c r="E483" i="29" s="1"/>
  <c r="C482" i="29"/>
  <c r="E482" i="29" s="1"/>
  <c r="C481" i="29"/>
  <c r="E481" i="29" s="1"/>
  <c r="C480" i="29"/>
  <c r="E480" i="29" s="1"/>
  <c r="C478" i="29"/>
  <c r="E478" i="29" s="1"/>
  <c r="C479" i="29"/>
  <c r="E479" i="29" s="1"/>
  <c r="C477" i="29"/>
  <c r="E477" i="29" s="1"/>
  <c r="C476" i="29"/>
  <c r="E476" i="29" s="1"/>
  <c r="C475" i="29"/>
  <c r="E475" i="29" s="1"/>
  <c r="C474" i="29"/>
  <c r="E474" i="29" s="1"/>
  <c r="C473" i="29"/>
  <c r="E473" i="29" s="1"/>
  <c r="C472" i="29"/>
  <c r="E472" i="29" s="1"/>
  <c r="C471" i="29"/>
  <c r="E471" i="29" s="1"/>
  <c r="C470" i="29"/>
  <c r="E470" i="29" s="1"/>
  <c r="C469" i="29"/>
  <c r="E469" i="29" s="1"/>
  <c r="C468" i="29"/>
  <c r="E468" i="29" s="1"/>
  <c r="C467" i="29"/>
  <c r="E467" i="29" s="1"/>
  <c r="C466" i="29"/>
  <c r="E466" i="29" s="1"/>
  <c r="C465" i="29"/>
  <c r="E465" i="29" s="1"/>
  <c r="C464" i="29"/>
  <c r="E464" i="29" s="1"/>
  <c r="C463" i="29"/>
  <c r="E463" i="29" s="1"/>
  <c r="C462" i="29"/>
  <c r="E462" i="29" s="1"/>
  <c r="C461" i="29"/>
  <c r="E461" i="29" s="1"/>
  <c r="C460" i="29"/>
  <c r="E460" i="29" s="1"/>
  <c r="C459" i="29"/>
  <c r="E459" i="29" s="1"/>
  <c r="C458" i="29"/>
  <c r="E458" i="29" s="1"/>
  <c r="C457" i="29"/>
  <c r="E457" i="29" s="1"/>
  <c r="C456" i="29"/>
  <c r="E456" i="29" s="1"/>
  <c r="C455" i="29"/>
  <c r="E455" i="29" s="1"/>
  <c r="C454" i="29"/>
  <c r="E454" i="29" s="1"/>
  <c r="C453" i="29"/>
  <c r="E453" i="29" s="1"/>
  <c r="C452" i="29"/>
  <c r="E452" i="29" s="1"/>
  <c r="C451" i="29"/>
  <c r="E451" i="29" s="1"/>
  <c r="C450" i="29"/>
  <c r="E450" i="29" s="1"/>
  <c r="C449" i="29"/>
  <c r="E449" i="29" s="1"/>
  <c r="C448" i="29"/>
  <c r="E448" i="29" s="1"/>
  <c r="C447" i="29"/>
  <c r="E447" i="29" s="1"/>
  <c r="C446" i="29"/>
  <c r="E446" i="29" s="1"/>
  <c r="C445" i="29"/>
  <c r="E445" i="29" s="1"/>
  <c r="C444" i="29"/>
  <c r="E444" i="29" s="1"/>
  <c r="C443" i="29"/>
  <c r="E443" i="29" s="1"/>
  <c r="C442" i="29"/>
  <c r="E442" i="29" s="1"/>
  <c r="C441" i="29"/>
  <c r="E441" i="29" s="1"/>
  <c r="C440" i="29"/>
  <c r="E440" i="29" s="1"/>
  <c r="C439" i="29"/>
  <c r="E439" i="29" s="1"/>
  <c r="C438" i="29"/>
  <c r="E438" i="29" s="1"/>
  <c r="C437" i="29"/>
  <c r="E437" i="29" s="1"/>
  <c r="C436" i="29"/>
  <c r="E436" i="29" s="1"/>
  <c r="C435" i="29"/>
  <c r="E435" i="29" s="1"/>
  <c r="C434" i="29"/>
  <c r="E434" i="29" s="1"/>
  <c r="C433" i="29"/>
  <c r="E433" i="29" s="1"/>
  <c r="C432" i="29"/>
  <c r="E432" i="29" s="1"/>
  <c r="C431" i="29"/>
  <c r="E431" i="29" s="1"/>
  <c r="C430" i="29"/>
  <c r="E430" i="29" s="1"/>
  <c r="C429" i="29"/>
  <c r="E429" i="29" s="1"/>
  <c r="C428" i="29"/>
  <c r="E428" i="29" s="1"/>
  <c r="C427" i="29"/>
  <c r="E427" i="29" s="1"/>
  <c r="C426" i="29"/>
  <c r="E426" i="29" s="1"/>
  <c r="C425" i="29"/>
  <c r="E425" i="29" s="1"/>
  <c r="C423" i="29"/>
  <c r="E423" i="29" s="1"/>
  <c r="C424" i="29"/>
  <c r="E424" i="29" s="1"/>
  <c r="C422" i="29"/>
  <c r="E422" i="29" s="1"/>
  <c r="C421" i="29"/>
  <c r="E421" i="29" s="1"/>
  <c r="C420" i="29"/>
  <c r="E420" i="29" s="1"/>
  <c r="C419" i="29"/>
  <c r="E419" i="29" s="1"/>
  <c r="C418" i="29"/>
  <c r="E418" i="29" s="1"/>
  <c r="C417" i="29"/>
  <c r="E417" i="29" s="1"/>
  <c r="C416" i="29"/>
  <c r="E416" i="29" s="1"/>
  <c r="C415" i="29"/>
  <c r="E415" i="29" s="1"/>
  <c r="C414" i="29"/>
  <c r="E414" i="29" s="1"/>
  <c r="C413" i="29"/>
  <c r="E413" i="29" s="1"/>
  <c r="C412" i="29"/>
  <c r="E412" i="29" s="1"/>
  <c r="C411" i="29"/>
  <c r="E411" i="29" s="1"/>
  <c r="C410" i="29"/>
  <c r="E410" i="29" s="1"/>
  <c r="C409" i="29"/>
  <c r="E409" i="29" s="1"/>
  <c r="C408" i="29"/>
  <c r="E408" i="29" s="1"/>
  <c r="C407" i="29"/>
  <c r="E407" i="29" s="1"/>
  <c r="C406" i="29"/>
  <c r="E406" i="29" s="1"/>
  <c r="C405" i="29"/>
  <c r="E405" i="29" s="1"/>
  <c r="C404" i="29"/>
  <c r="E404" i="29" s="1"/>
  <c r="C403" i="29"/>
  <c r="E403" i="29" s="1"/>
  <c r="C402" i="29"/>
  <c r="E402" i="29" s="1"/>
  <c r="C401" i="29"/>
  <c r="E401" i="29" s="1"/>
  <c r="C400" i="29"/>
  <c r="E400" i="29" s="1"/>
  <c r="C399" i="29"/>
  <c r="E399" i="29" s="1"/>
  <c r="C398" i="29"/>
  <c r="E398" i="29" s="1"/>
  <c r="C397" i="29"/>
  <c r="E397" i="29" s="1"/>
  <c r="C396" i="29"/>
  <c r="E396" i="29" s="1"/>
  <c r="C395" i="29"/>
  <c r="E395" i="29" s="1"/>
  <c r="C394" i="29"/>
  <c r="E394" i="29" s="1"/>
  <c r="C393" i="29"/>
  <c r="E393" i="29" s="1"/>
  <c r="C392" i="29"/>
  <c r="E392" i="29" s="1"/>
  <c r="C391" i="29"/>
  <c r="E391" i="29" s="1"/>
  <c r="C390" i="29"/>
  <c r="E390" i="29" s="1"/>
  <c r="C389" i="29"/>
  <c r="E389" i="29" s="1"/>
  <c r="C388" i="29"/>
  <c r="E388" i="29" s="1"/>
  <c r="C387" i="29"/>
  <c r="E387" i="29" s="1"/>
  <c r="C386" i="29"/>
  <c r="E386" i="29" s="1"/>
  <c r="C385" i="29"/>
  <c r="E385" i="29" s="1"/>
  <c r="C384" i="29"/>
  <c r="E384" i="29" s="1"/>
  <c r="C383" i="29"/>
  <c r="E383" i="29" s="1"/>
  <c r="C382" i="29"/>
  <c r="E382" i="29" s="1"/>
  <c r="C381" i="29"/>
  <c r="E381" i="29" s="1"/>
  <c r="C380" i="29"/>
  <c r="E380" i="29" s="1"/>
  <c r="C379" i="29"/>
  <c r="E379" i="29" s="1"/>
  <c r="C378" i="29"/>
  <c r="E378" i="29" s="1"/>
  <c r="C377" i="29"/>
  <c r="E377" i="29" s="1"/>
  <c r="C376" i="29"/>
  <c r="E376" i="29" s="1"/>
  <c r="C375" i="29"/>
  <c r="E375" i="29" s="1"/>
  <c r="C374" i="29"/>
  <c r="E374" i="29" s="1"/>
  <c r="C373" i="29"/>
  <c r="E373" i="29" s="1"/>
  <c r="C372" i="29"/>
  <c r="E372" i="29" s="1"/>
  <c r="C371" i="29"/>
  <c r="E371" i="29" s="1"/>
  <c r="C370" i="29"/>
  <c r="E370" i="29" s="1"/>
  <c r="C369" i="29"/>
  <c r="E369" i="29" s="1"/>
  <c r="C368" i="29"/>
  <c r="E368" i="29" s="1"/>
  <c r="C367" i="29"/>
  <c r="E367" i="29" s="1"/>
  <c r="C366" i="29"/>
  <c r="E366" i="29" s="1"/>
  <c r="C365" i="29"/>
  <c r="E365" i="29" s="1"/>
  <c r="C364" i="29"/>
  <c r="E364" i="29" s="1"/>
  <c r="C363" i="29"/>
  <c r="E363" i="29" s="1"/>
  <c r="C362" i="29"/>
  <c r="E362" i="29" s="1"/>
  <c r="C361" i="29"/>
  <c r="E361" i="29" s="1"/>
  <c r="C360" i="29"/>
  <c r="E360" i="29" s="1"/>
  <c r="C359" i="29"/>
  <c r="E359" i="29" s="1"/>
  <c r="C358" i="29"/>
  <c r="E358" i="29" s="1"/>
  <c r="C357" i="29"/>
  <c r="E357" i="29" s="1"/>
  <c r="C356" i="29"/>
  <c r="E356" i="29" s="1"/>
  <c r="C355" i="29"/>
  <c r="E355" i="29" s="1"/>
  <c r="C354" i="29"/>
  <c r="E354" i="29" s="1"/>
  <c r="C353" i="29"/>
  <c r="E353" i="29" s="1"/>
  <c r="C352" i="29"/>
  <c r="E352" i="29" s="1"/>
  <c r="C351" i="29"/>
  <c r="E351" i="29" s="1"/>
  <c r="C350" i="29"/>
  <c r="E350" i="29" s="1"/>
  <c r="C349" i="29"/>
  <c r="E349" i="29" s="1"/>
  <c r="C348" i="29"/>
  <c r="E348" i="29" s="1"/>
  <c r="C347" i="29"/>
  <c r="E347" i="29" s="1"/>
  <c r="C346" i="29"/>
  <c r="E346" i="29" s="1"/>
  <c r="C345" i="29"/>
  <c r="E345" i="29" s="1"/>
  <c r="C344" i="29"/>
  <c r="E344" i="29" s="1"/>
  <c r="C343" i="29"/>
  <c r="E343" i="29" s="1"/>
  <c r="C342" i="29"/>
  <c r="E342" i="29" s="1"/>
  <c r="C341" i="29"/>
  <c r="E341" i="29" s="1"/>
  <c r="C340" i="29"/>
  <c r="E340" i="29" s="1"/>
  <c r="C339" i="29"/>
  <c r="E339" i="29" s="1"/>
  <c r="C338" i="29"/>
  <c r="E338" i="29" s="1"/>
  <c r="C337" i="29"/>
  <c r="E337" i="29" s="1"/>
  <c r="C336" i="29"/>
  <c r="E336" i="29" s="1"/>
  <c r="C335" i="29"/>
  <c r="E335" i="29" s="1"/>
  <c r="C334" i="29"/>
  <c r="E334" i="29" s="1"/>
  <c r="C333" i="29"/>
  <c r="E333" i="29" s="1"/>
  <c r="C332" i="29"/>
  <c r="E332" i="29" s="1"/>
  <c r="C331" i="29"/>
  <c r="E331" i="29" s="1"/>
  <c r="C330" i="29"/>
  <c r="E330" i="29" s="1"/>
  <c r="C329" i="29"/>
  <c r="E329" i="29" s="1"/>
  <c r="C328" i="29"/>
  <c r="E328" i="29" s="1"/>
  <c r="C327" i="29"/>
  <c r="E327" i="29" s="1"/>
  <c r="C326" i="29"/>
  <c r="E326" i="29" s="1"/>
  <c r="C325" i="29"/>
  <c r="E325" i="29" s="1"/>
  <c r="C324" i="29"/>
  <c r="E324" i="29" s="1"/>
  <c r="C323" i="29"/>
  <c r="E323" i="29" s="1"/>
  <c r="C322" i="29"/>
  <c r="E322" i="29" s="1"/>
  <c r="C321" i="29"/>
  <c r="E321" i="29" s="1"/>
  <c r="C320" i="29"/>
  <c r="E320" i="29" s="1"/>
  <c r="C319" i="29"/>
  <c r="E319" i="29" s="1"/>
  <c r="C318" i="29"/>
  <c r="E318" i="29" s="1"/>
  <c r="C317" i="29"/>
  <c r="E317" i="29" s="1"/>
  <c r="C316" i="29"/>
  <c r="E316" i="29" s="1"/>
  <c r="C315" i="29"/>
  <c r="E315" i="29" s="1"/>
  <c r="C314" i="29"/>
  <c r="E314" i="29" s="1"/>
  <c r="C313" i="29"/>
  <c r="E313" i="29" s="1"/>
  <c r="C312" i="29"/>
  <c r="E312" i="29" s="1"/>
  <c r="C311" i="29"/>
  <c r="E311" i="29" s="1"/>
  <c r="C310" i="29"/>
  <c r="E310" i="29" s="1"/>
  <c r="C309" i="29"/>
  <c r="E309" i="29" s="1"/>
  <c r="C308" i="29"/>
  <c r="E308" i="29" s="1"/>
  <c r="C307" i="29"/>
  <c r="E307" i="29" s="1"/>
  <c r="C306" i="29"/>
  <c r="E306" i="29" s="1"/>
  <c r="U310" i="29" l="1"/>
  <c r="V310" i="29"/>
  <c r="T310" i="29"/>
  <c r="S310" i="29"/>
  <c r="R310" i="29"/>
  <c r="Q310" i="29"/>
  <c r="P310" i="29"/>
  <c r="O310" i="29"/>
  <c r="N310" i="29"/>
  <c r="M310" i="29"/>
  <c r="L310" i="29"/>
  <c r="K310" i="29"/>
  <c r="G310" i="29"/>
  <c r="J310" i="29"/>
  <c r="I310" i="29"/>
  <c r="H310" i="29"/>
  <c r="F310" i="29"/>
  <c r="V307" i="29"/>
  <c r="U307" i="29"/>
  <c r="T307" i="29"/>
  <c r="S307" i="29"/>
  <c r="Q307" i="29"/>
  <c r="R307" i="29"/>
  <c r="P307" i="29"/>
  <c r="O307" i="29"/>
  <c r="N307" i="29"/>
  <c r="M307" i="29"/>
  <c r="L307" i="29"/>
  <c r="K307" i="29"/>
  <c r="J307" i="29"/>
  <c r="I307" i="29"/>
  <c r="H307" i="29"/>
  <c r="G307" i="29"/>
  <c r="F307" i="29"/>
  <c r="V319" i="29"/>
  <c r="U319" i="29"/>
  <c r="T319" i="29"/>
  <c r="S319" i="29"/>
  <c r="Q319" i="29"/>
  <c r="R319" i="29"/>
  <c r="P319" i="29"/>
  <c r="O319" i="29"/>
  <c r="N319" i="29"/>
  <c r="M319" i="29"/>
  <c r="L319" i="29"/>
  <c r="K319" i="29"/>
  <c r="J319" i="29"/>
  <c r="I319" i="29"/>
  <c r="H319" i="29"/>
  <c r="F319" i="29"/>
  <c r="G319" i="29"/>
  <c r="V331" i="29"/>
  <c r="U331" i="29"/>
  <c r="S331" i="29"/>
  <c r="R331" i="29"/>
  <c r="T331" i="29"/>
  <c r="Q331" i="29"/>
  <c r="P331" i="29"/>
  <c r="O331" i="29"/>
  <c r="N331" i="29"/>
  <c r="M331" i="29"/>
  <c r="L331" i="29"/>
  <c r="K331" i="29"/>
  <c r="J331" i="29"/>
  <c r="I331" i="29"/>
  <c r="H331" i="29"/>
  <c r="G331" i="29"/>
  <c r="F331" i="29"/>
  <c r="V343" i="29"/>
  <c r="U343" i="29"/>
  <c r="T343" i="29"/>
  <c r="S343" i="29"/>
  <c r="R343" i="29"/>
  <c r="Q343" i="29"/>
  <c r="P343" i="29"/>
  <c r="O343" i="29"/>
  <c r="N343" i="29"/>
  <c r="M343" i="29"/>
  <c r="L343" i="29"/>
  <c r="K343" i="29"/>
  <c r="J343" i="29"/>
  <c r="I343" i="29"/>
  <c r="H343" i="29"/>
  <c r="F343" i="29"/>
  <c r="G343" i="29"/>
  <c r="V355" i="29"/>
  <c r="U355" i="29"/>
  <c r="T355" i="29"/>
  <c r="Q355" i="29"/>
  <c r="S355" i="29"/>
  <c r="R355" i="29"/>
  <c r="P355" i="29"/>
  <c r="O355" i="29"/>
  <c r="N355" i="29"/>
  <c r="M355" i="29"/>
  <c r="L355" i="29"/>
  <c r="K355" i="29"/>
  <c r="J355" i="29"/>
  <c r="I355" i="29"/>
  <c r="H355" i="29"/>
  <c r="G355" i="29"/>
  <c r="F355" i="29"/>
  <c r="V371" i="29"/>
  <c r="U371" i="29"/>
  <c r="T371" i="29"/>
  <c r="S371" i="29"/>
  <c r="Q371" i="29"/>
  <c r="R371" i="29"/>
  <c r="P371" i="29"/>
  <c r="O371" i="29"/>
  <c r="N371" i="29"/>
  <c r="M371" i="29"/>
  <c r="L371" i="29"/>
  <c r="K371" i="29"/>
  <c r="J371" i="29"/>
  <c r="I371" i="29"/>
  <c r="H371" i="29"/>
  <c r="G371" i="29"/>
  <c r="F371" i="29"/>
  <c r="V312" i="29"/>
  <c r="U312" i="29"/>
  <c r="T312" i="29"/>
  <c r="S312" i="29"/>
  <c r="R312" i="29"/>
  <c r="Q312" i="29"/>
  <c r="P312" i="29"/>
  <c r="O312" i="29"/>
  <c r="N312" i="29"/>
  <c r="M312" i="29"/>
  <c r="L312" i="29"/>
  <c r="K312" i="29"/>
  <c r="J312" i="29"/>
  <c r="I312" i="29"/>
  <c r="H312" i="29"/>
  <c r="G312" i="29"/>
  <c r="F312" i="29"/>
  <c r="V316" i="29"/>
  <c r="T316" i="29"/>
  <c r="U316" i="29"/>
  <c r="S316" i="29"/>
  <c r="R316" i="29"/>
  <c r="Q316" i="29"/>
  <c r="P316" i="29"/>
  <c r="O316" i="29"/>
  <c r="N316" i="29"/>
  <c r="M316" i="29"/>
  <c r="L316" i="29"/>
  <c r="K316" i="29"/>
  <c r="J316" i="29"/>
  <c r="I316" i="29"/>
  <c r="H316" i="29"/>
  <c r="G316" i="29"/>
  <c r="F316" i="29"/>
  <c r="U324" i="29"/>
  <c r="V324" i="29"/>
  <c r="T324" i="29"/>
  <c r="S324" i="29"/>
  <c r="R324" i="29"/>
  <c r="Q324" i="29"/>
  <c r="P324" i="29"/>
  <c r="O324" i="29"/>
  <c r="N324" i="29"/>
  <c r="M324" i="29"/>
  <c r="L324" i="29"/>
  <c r="K324" i="29"/>
  <c r="J324" i="29"/>
  <c r="I324" i="29"/>
  <c r="H324" i="29"/>
  <c r="G324" i="29"/>
  <c r="F324" i="29"/>
  <c r="V328" i="29"/>
  <c r="U328" i="29"/>
  <c r="T328" i="29"/>
  <c r="S328" i="29"/>
  <c r="R328" i="29"/>
  <c r="Q328" i="29"/>
  <c r="P328" i="29"/>
  <c r="O328" i="29"/>
  <c r="N328" i="29"/>
  <c r="M328" i="29"/>
  <c r="L328" i="29"/>
  <c r="K328" i="29"/>
  <c r="J328" i="29"/>
  <c r="I328" i="29"/>
  <c r="H328" i="29"/>
  <c r="G328" i="29"/>
  <c r="F328" i="29"/>
  <c r="V336" i="29"/>
  <c r="U336" i="29"/>
  <c r="T336" i="29"/>
  <c r="S336" i="29"/>
  <c r="R336" i="29"/>
  <c r="Q336" i="29"/>
  <c r="P336" i="29"/>
  <c r="O336" i="29"/>
  <c r="N336" i="29"/>
  <c r="M336" i="29"/>
  <c r="L336" i="29"/>
  <c r="K336" i="29"/>
  <c r="J336" i="29"/>
  <c r="I336" i="29"/>
  <c r="H336" i="29"/>
  <c r="G336" i="29"/>
  <c r="F336" i="29"/>
  <c r="T344" i="29"/>
  <c r="V344" i="29"/>
  <c r="S344" i="29"/>
  <c r="R344" i="29"/>
  <c r="Q344" i="29"/>
  <c r="U344" i="29"/>
  <c r="P344" i="29"/>
  <c r="O344" i="29"/>
  <c r="N344" i="29"/>
  <c r="M344" i="29"/>
  <c r="L344" i="29"/>
  <c r="K344" i="29"/>
  <c r="J344" i="29"/>
  <c r="I344" i="29"/>
  <c r="H344" i="29"/>
  <c r="G344" i="29"/>
  <c r="F344" i="29"/>
  <c r="V352" i="29"/>
  <c r="U352" i="29"/>
  <c r="T352" i="29"/>
  <c r="S352" i="29"/>
  <c r="R352" i="29"/>
  <c r="Q352" i="29"/>
  <c r="P352" i="29"/>
  <c r="O352" i="29"/>
  <c r="N352" i="29"/>
  <c r="M352" i="29"/>
  <c r="L352" i="29"/>
  <c r="K352" i="29"/>
  <c r="J352" i="29"/>
  <c r="I352" i="29"/>
  <c r="H352" i="29"/>
  <c r="G352" i="29"/>
  <c r="F352" i="29"/>
  <c r="V356" i="29"/>
  <c r="U356" i="29"/>
  <c r="T356" i="29"/>
  <c r="S356" i="29"/>
  <c r="R356" i="29"/>
  <c r="Q356" i="29"/>
  <c r="P356" i="29"/>
  <c r="O356" i="29"/>
  <c r="N356" i="29"/>
  <c r="M356" i="29"/>
  <c r="L356" i="29"/>
  <c r="K356" i="29"/>
  <c r="J356" i="29"/>
  <c r="I356" i="29"/>
  <c r="H356" i="29"/>
  <c r="G356" i="29"/>
  <c r="F356" i="29"/>
  <c r="V364" i="29"/>
  <c r="U364" i="29"/>
  <c r="T364" i="29"/>
  <c r="S364" i="29"/>
  <c r="R364" i="29"/>
  <c r="Q364" i="29"/>
  <c r="P364" i="29"/>
  <c r="O364" i="29"/>
  <c r="N364" i="29"/>
  <c r="M364" i="29"/>
  <c r="L364" i="29"/>
  <c r="K364" i="29"/>
  <c r="J364" i="29"/>
  <c r="I364" i="29"/>
  <c r="H364" i="29"/>
  <c r="G364" i="29"/>
  <c r="F364" i="29"/>
  <c r="V372" i="29"/>
  <c r="U372" i="29"/>
  <c r="T372" i="29"/>
  <c r="S372" i="29"/>
  <c r="R372" i="29"/>
  <c r="Q372" i="29"/>
  <c r="P372" i="29"/>
  <c r="O372" i="29"/>
  <c r="N372" i="29"/>
  <c r="M372" i="29"/>
  <c r="L372" i="29"/>
  <c r="K372" i="29"/>
  <c r="J372" i="29"/>
  <c r="I372" i="29"/>
  <c r="H372" i="29"/>
  <c r="G372" i="29"/>
  <c r="F372" i="29"/>
  <c r="V380" i="29"/>
  <c r="U380" i="29"/>
  <c r="T380" i="29"/>
  <c r="S380" i="29"/>
  <c r="R380" i="29"/>
  <c r="Q380" i="29"/>
  <c r="P380" i="29"/>
  <c r="O380" i="29"/>
  <c r="N380" i="29"/>
  <c r="M380" i="29"/>
  <c r="L380" i="29"/>
  <c r="K380" i="29"/>
  <c r="J380" i="29"/>
  <c r="I380" i="29"/>
  <c r="H380" i="29"/>
  <c r="G380" i="29"/>
  <c r="F380" i="29"/>
  <c r="V388" i="29"/>
  <c r="U388" i="29"/>
  <c r="T388" i="29"/>
  <c r="S388" i="29"/>
  <c r="R388" i="29"/>
  <c r="Q388" i="29"/>
  <c r="P388" i="29"/>
  <c r="O388" i="29"/>
  <c r="N388" i="29"/>
  <c r="M388" i="29"/>
  <c r="L388" i="29"/>
  <c r="K388" i="29"/>
  <c r="J388" i="29"/>
  <c r="I388" i="29"/>
  <c r="H388" i="29"/>
  <c r="G388" i="29"/>
  <c r="F388" i="29"/>
  <c r="V396" i="29"/>
  <c r="U396" i="29"/>
  <c r="T396" i="29"/>
  <c r="S396" i="29"/>
  <c r="R396" i="29"/>
  <c r="Q396" i="29"/>
  <c r="P396" i="29"/>
  <c r="O396" i="29"/>
  <c r="N396" i="29"/>
  <c r="M396" i="29"/>
  <c r="L396" i="29"/>
  <c r="K396" i="29"/>
  <c r="J396" i="29"/>
  <c r="I396" i="29"/>
  <c r="H396" i="29"/>
  <c r="G396" i="29"/>
  <c r="F396" i="29"/>
  <c r="V404" i="29"/>
  <c r="U404" i="29"/>
  <c r="T404" i="29"/>
  <c r="S404" i="29"/>
  <c r="R404" i="29"/>
  <c r="Q404" i="29"/>
  <c r="P404" i="29"/>
  <c r="O404" i="29"/>
  <c r="N404" i="29"/>
  <c r="M404" i="29"/>
  <c r="L404" i="29"/>
  <c r="K404" i="29"/>
  <c r="J404" i="29"/>
  <c r="I404" i="29"/>
  <c r="H404" i="29"/>
  <c r="G404" i="29"/>
  <c r="F404" i="29"/>
  <c r="V416" i="29"/>
  <c r="U416" i="29"/>
  <c r="T416" i="29"/>
  <c r="S416" i="29"/>
  <c r="R416" i="29"/>
  <c r="Q416" i="29"/>
  <c r="P416" i="29"/>
  <c r="O416" i="29"/>
  <c r="N416" i="29"/>
  <c r="M416" i="29"/>
  <c r="L416" i="29"/>
  <c r="K416" i="29"/>
  <c r="J416" i="29"/>
  <c r="I416" i="29"/>
  <c r="H416" i="29"/>
  <c r="G416" i="29"/>
  <c r="F416" i="29"/>
  <c r="V432" i="29"/>
  <c r="T432" i="29"/>
  <c r="U432" i="29"/>
  <c r="S432" i="29"/>
  <c r="R432" i="29"/>
  <c r="Q432" i="29"/>
  <c r="P432" i="29"/>
  <c r="O432" i="29"/>
  <c r="N432" i="29"/>
  <c r="M432" i="29"/>
  <c r="L432" i="29"/>
  <c r="K432" i="29"/>
  <c r="J432" i="29"/>
  <c r="I432" i="29"/>
  <c r="H432" i="29"/>
  <c r="G432" i="29"/>
  <c r="F432" i="29"/>
  <c r="V309" i="29"/>
  <c r="U309" i="29"/>
  <c r="T309" i="29"/>
  <c r="S309" i="29"/>
  <c r="R309" i="29"/>
  <c r="Q309" i="29"/>
  <c r="P309" i="29"/>
  <c r="O309" i="29"/>
  <c r="N309" i="29"/>
  <c r="L309" i="29"/>
  <c r="M309" i="29"/>
  <c r="K309" i="29"/>
  <c r="J309" i="29"/>
  <c r="I309" i="29"/>
  <c r="H309" i="29"/>
  <c r="G309" i="29"/>
  <c r="F309" i="29"/>
  <c r="V313" i="29"/>
  <c r="U313" i="29"/>
  <c r="T313" i="29"/>
  <c r="S313" i="29"/>
  <c r="R313" i="29"/>
  <c r="Q313" i="29"/>
  <c r="P313" i="29"/>
  <c r="O313" i="29"/>
  <c r="N313" i="29"/>
  <c r="M313" i="29"/>
  <c r="L313" i="29"/>
  <c r="J313" i="29"/>
  <c r="I313" i="29"/>
  <c r="H313" i="29"/>
  <c r="K313" i="29"/>
  <c r="G313" i="29"/>
  <c r="F313" i="29"/>
  <c r="U317" i="29"/>
  <c r="V317" i="29"/>
  <c r="T317" i="29"/>
  <c r="S317" i="29"/>
  <c r="R317" i="29"/>
  <c r="Q317" i="29"/>
  <c r="P317" i="29"/>
  <c r="O317" i="29"/>
  <c r="L317" i="29"/>
  <c r="N317" i="29"/>
  <c r="M317" i="29"/>
  <c r="J317" i="29"/>
  <c r="I317" i="29"/>
  <c r="H317" i="29"/>
  <c r="K317" i="29"/>
  <c r="G317" i="29"/>
  <c r="F317" i="29"/>
  <c r="V321" i="29"/>
  <c r="U321" i="29"/>
  <c r="T321" i="29"/>
  <c r="S321" i="29"/>
  <c r="R321" i="29"/>
  <c r="Q321" i="29"/>
  <c r="P321" i="29"/>
  <c r="O321" i="29"/>
  <c r="M321" i="29"/>
  <c r="N321" i="29"/>
  <c r="L321" i="29"/>
  <c r="K321" i="29"/>
  <c r="J321" i="29"/>
  <c r="I321" i="29"/>
  <c r="H321" i="29"/>
  <c r="G321" i="29"/>
  <c r="F321" i="29"/>
  <c r="V325" i="29"/>
  <c r="U325" i="29"/>
  <c r="T325" i="29"/>
  <c r="S325" i="29"/>
  <c r="R325" i="29"/>
  <c r="Q325" i="29"/>
  <c r="P325" i="29"/>
  <c r="O325" i="29"/>
  <c r="N325" i="29"/>
  <c r="L325" i="29"/>
  <c r="M325" i="29"/>
  <c r="K325" i="29"/>
  <c r="J325" i="29"/>
  <c r="I325" i="29"/>
  <c r="H325" i="29"/>
  <c r="G325" i="29"/>
  <c r="F325" i="29"/>
  <c r="V329" i="29"/>
  <c r="U329" i="29"/>
  <c r="T329" i="29"/>
  <c r="S329" i="29"/>
  <c r="R329" i="29"/>
  <c r="Q329" i="29"/>
  <c r="P329" i="29"/>
  <c r="O329" i="29"/>
  <c r="N329" i="29"/>
  <c r="M329" i="29"/>
  <c r="L329" i="29"/>
  <c r="J329" i="29"/>
  <c r="I329" i="29"/>
  <c r="H329" i="29"/>
  <c r="K329" i="29"/>
  <c r="G329" i="29"/>
  <c r="F329" i="29"/>
  <c r="V333" i="29"/>
  <c r="U333" i="29"/>
  <c r="T333" i="29"/>
  <c r="S333" i="29"/>
  <c r="R333" i="29"/>
  <c r="Q333" i="29"/>
  <c r="P333" i="29"/>
  <c r="O333" i="29"/>
  <c r="L333" i="29"/>
  <c r="N333" i="29"/>
  <c r="M333" i="29"/>
  <c r="J333" i="29"/>
  <c r="I333" i="29"/>
  <c r="H333" i="29"/>
  <c r="K333" i="29"/>
  <c r="G333" i="29"/>
  <c r="F333" i="29"/>
  <c r="V337" i="29"/>
  <c r="U337" i="29"/>
  <c r="T337" i="29"/>
  <c r="S337" i="29"/>
  <c r="R337" i="29"/>
  <c r="Q337" i="29"/>
  <c r="P337" i="29"/>
  <c r="O337" i="29"/>
  <c r="M337" i="29"/>
  <c r="N337" i="29"/>
  <c r="L337" i="29"/>
  <c r="K337" i="29"/>
  <c r="J337" i="29"/>
  <c r="I337" i="29"/>
  <c r="H337" i="29"/>
  <c r="G337" i="29"/>
  <c r="F337" i="29"/>
  <c r="V341" i="29"/>
  <c r="U341" i="29"/>
  <c r="T341" i="29"/>
  <c r="S341" i="29"/>
  <c r="R341" i="29"/>
  <c r="Q341" i="29"/>
  <c r="P341" i="29"/>
  <c r="O341" i="29"/>
  <c r="N341" i="29"/>
  <c r="L341" i="29"/>
  <c r="M341" i="29"/>
  <c r="K341" i="29"/>
  <c r="J341" i="29"/>
  <c r="I341" i="29"/>
  <c r="H341" i="29"/>
  <c r="G341" i="29"/>
  <c r="F341" i="29"/>
  <c r="V345" i="29"/>
  <c r="U345" i="29"/>
  <c r="T345" i="29"/>
  <c r="S345" i="29"/>
  <c r="R345" i="29"/>
  <c r="Q345" i="29"/>
  <c r="P345" i="29"/>
  <c r="O345" i="29"/>
  <c r="N345" i="29"/>
  <c r="M345" i="29"/>
  <c r="L345" i="29"/>
  <c r="J345" i="29"/>
  <c r="I345" i="29"/>
  <c r="H345" i="29"/>
  <c r="K345" i="29"/>
  <c r="G345" i="29"/>
  <c r="F345" i="29"/>
  <c r="V349" i="29"/>
  <c r="U349" i="29"/>
  <c r="T349" i="29"/>
  <c r="S349" i="29"/>
  <c r="R349" i="29"/>
  <c r="Q349" i="29"/>
  <c r="P349" i="29"/>
  <c r="O349" i="29"/>
  <c r="L349" i="29"/>
  <c r="N349" i="29"/>
  <c r="M349" i="29"/>
  <c r="J349" i="29"/>
  <c r="I349" i="29"/>
  <c r="H349" i="29"/>
  <c r="K349" i="29"/>
  <c r="G349" i="29"/>
  <c r="F349" i="29"/>
  <c r="V353" i="29"/>
  <c r="U353" i="29"/>
  <c r="T353" i="29"/>
  <c r="S353" i="29"/>
  <c r="R353" i="29"/>
  <c r="Q353" i="29"/>
  <c r="P353" i="29"/>
  <c r="O353" i="29"/>
  <c r="M353" i="29"/>
  <c r="N353" i="29"/>
  <c r="L353" i="29"/>
  <c r="K353" i="29"/>
  <c r="J353" i="29"/>
  <c r="I353" i="29"/>
  <c r="H353" i="29"/>
  <c r="G353" i="29"/>
  <c r="F353" i="29"/>
  <c r="V357" i="29"/>
  <c r="U357" i="29"/>
  <c r="T357" i="29"/>
  <c r="S357" i="29"/>
  <c r="R357" i="29"/>
  <c r="Q357" i="29"/>
  <c r="P357" i="29"/>
  <c r="N357" i="29"/>
  <c r="L357" i="29"/>
  <c r="O357" i="29"/>
  <c r="M357" i="29"/>
  <c r="K357" i="29"/>
  <c r="J357" i="29"/>
  <c r="I357" i="29"/>
  <c r="H357" i="29"/>
  <c r="G357" i="29"/>
  <c r="F357" i="29"/>
  <c r="V361" i="29"/>
  <c r="U361" i="29"/>
  <c r="T361" i="29"/>
  <c r="S361" i="29"/>
  <c r="R361" i="29"/>
  <c r="Q361" i="29"/>
  <c r="P361" i="29"/>
  <c r="N361" i="29"/>
  <c r="O361" i="29"/>
  <c r="M361" i="29"/>
  <c r="L361" i="29"/>
  <c r="J361" i="29"/>
  <c r="I361" i="29"/>
  <c r="H361" i="29"/>
  <c r="K361" i="29"/>
  <c r="G361" i="29"/>
  <c r="F361" i="29"/>
  <c r="V365" i="29"/>
  <c r="U365" i="29"/>
  <c r="T365" i="29"/>
  <c r="S365" i="29"/>
  <c r="R365" i="29"/>
  <c r="Q365" i="29"/>
  <c r="P365" i="29"/>
  <c r="O365" i="29"/>
  <c r="L365" i="29"/>
  <c r="N365" i="29"/>
  <c r="M365" i="29"/>
  <c r="J365" i="29"/>
  <c r="I365" i="29"/>
  <c r="H365" i="29"/>
  <c r="K365" i="29"/>
  <c r="G365" i="29"/>
  <c r="F365" i="29"/>
  <c r="V369" i="29"/>
  <c r="U369" i="29"/>
  <c r="T369" i="29"/>
  <c r="S369" i="29"/>
  <c r="R369" i="29"/>
  <c r="Q369" i="29"/>
  <c r="P369" i="29"/>
  <c r="O369" i="29"/>
  <c r="M369" i="29"/>
  <c r="N369" i="29"/>
  <c r="L369" i="29"/>
  <c r="K369" i="29"/>
  <c r="J369" i="29"/>
  <c r="I369" i="29"/>
  <c r="H369" i="29"/>
  <c r="G369" i="29"/>
  <c r="F369" i="29"/>
  <c r="V373" i="29"/>
  <c r="U373" i="29"/>
  <c r="T373" i="29"/>
  <c r="S373" i="29"/>
  <c r="R373" i="29"/>
  <c r="Q373" i="29"/>
  <c r="P373" i="29"/>
  <c r="N373" i="29"/>
  <c r="L373" i="29"/>
  <c r="O373" i="29"/>
  <c r="M373" i="29"/>
  <c r="K373" i="29"/>
  <c r="J373" i="29"/>
  <c r="I373" i="29"/>
  <c r="H373" i="29"/>
  <c r="G373" i="29"/>
  <c r="F373" i="29"/>
  <c r="V377" i="29"/>
  <c r="U377" i="29"/>
  <c r="T377" i="29"/>
  <c r="S377" i="29"/>
  <c r="R377" i="29"/>
  <c r="Q377" i="29"/>
  <c r="P377" i="29"/>
  <c r="N377" i="29"/>
  <c r="O377" i="29"/>
  <c r="M377" i="29"/>
  <c r="L377" i="29"/>
  <c r="J377" i="29"/>
  <c r="I377" i="29"/>
  <c r="H377" i="29"/>
  <c r="K377" i="29"/>
  <c r="G377" i="29"/>
  <c r="F377" i="29"/>
  <c r="V381" i="29"/>
  <c r="U381" i="29"/>
  <c r="T381" i="29"/>
  <c r="S381" i="29"/>
  <c r="R381" i="29"/>
  <c r="Q381" i="29"/>
  <c r="P381" i="29"/>
  <c r="O381" i="29"/>
  <c r="L381" i="29"/>
  <c r="N381" i="29"/>
  <c r="M381" i="29"/>
  <c r="J381" i="29"/>
  <c r="I381" i="29"/>
  <c r="H381" i="29"/>
  <c r="K381" i="29"/>
  <c r="G381" i="29"/>
  <c r="F381" i="29"/>
  <c r="V385" i="29"/>
  <c r="U385" i="29"/>
  <c r="T385" i="29"/>
  <c r="S385" i="29"/>
  <c r="R385" i="29"/>
  <c r="Q385" i="29"/>
  <c r="P385" i="29"/>
  <c r="O385" i="29"/>
  <c r="M385" i="29"/>
  <c r="N385" i="29"/>
  <c r="L385" i="29"/>
  <c r="K385" i="29"/>
  <c r="J385" i="29"/>
  <c r="I385" i="29"/>
  <c r="H385" i="29"/>
  <c r="G385" i="29"/>
  <c r="F385" i="29"/>
  <c r="V389" i="29"/>
  <c r="U389" i="29"/>
  <c r="T389" i="29"/>
  <c r="S389" i="29"/>
  <c r="R389" i="29"/>
  <c r="Q389" i="29"/>
  <c r="P389" i="29"/>
  <c r="N389" i="29"/>
  <c r="L389" i="29"/>
  <c r="O389" i="29"/>
  <c r="M389" i="29"/>
  <c r="K389" i="29"/>
  <c r="J389" i="29"/>
  <c r="I389" i="29"/>
  <c r="H389" i="29"/>
  <c r="G389" i="29"/>
  <c r="F389" i="29"/>
  <c r="V393" i="29"/>
  <c r="U393" i="29"/>
  <c r="T393" i="29"/>
  <c r="S393" i="29"/>
  <c r="R393" i="29"/>
  <c r="Q393" i="29"/>
  <c r="P393" i="29"/>
  <c r="N393" i="29"/>
  <c r="O393" i="29"/>
  <c r="M393" i="29"/>
  <c r="L393" i="29"/>
  <c r="J393" i="29"/>
  <c r="I393" i="29"/>
  <c r="H393" i="29"/>
  <c r="K393" i="29"/>
  <c r="G393" i="29"/>
  <c r="F393" i="29"/>
  <c r="V397" i="29"/>
  <c r="U397" i="29"/>
  <c r="T397" i="29"/>
  <c r="S397" i="29"/>
  <c r="R397" i="29"/>
  <c r="Q397" i="29"/>
  <c r="P397" i="29"/>
  <c r="O397" i="29"/>
  <c r="L397" i="29"/>
  <c r="N397" i="29"/>
  <c r="M397" i="29"/>
  <c r="J397" i="29"/>
  <c r="I397" i="29"/>
  <c r="H397" i="29"/>
  <c r="K397" i="29"/>
  <c r="G397" i="29"/>
  <c r="F397" i="29"/>
  <c r="V401" i="29"/>
  <c r="U401" i="29"/>
  <c r="T401" i="29"/>
  <c r="S401" i="29"/>
  <c r="R401" i="29"/>
  <c r="Q401" i="29"/>
  <c r="P401" i="29"/>
  <c r="O401" i="29"/>
  <c r="M401" i="29"/>
  <c r="N401" i="29"/>
  <c r="L401" i="29"/>
  <c r="K401" i="29"/>
  <c r="J401" i="29"/>
  <c r="I401" i="29"/>
  <c r="H401" i="29"/>
  <c r="G401" i="29"/>
  <c r="F401" i="29"/>
  <c r="V405" i="29"/>
  <c r="U405" i="29"/>
  <c r="T405" i="29"/>
  <c r="S405" i="29"/>
  <c r="R405" i="29"/>
  <c r="Q405" i="29"/>
  <c r="P405" i="29"/>
  <c r="N405" i="29"/>
  <c r="L405" i="29"/>
  <c r="O405" i="29"/>
  <c r="M405" i="29"/>
  <c r="K405" i="29"/>
  <c r="J405" i="29"/>
  <c r="I405" i="29"/>
  <c r="H405" i="29"/>
  <c r="G405" i="29"/>
  <c r="F405" i="29"/>
  <c r="V409" i="29"/>
  <c r="U409" i="29"/>
  <c r="T409" i="29"/>
  <c r="S409" i="29"/>
  <c r="R409" i="29"/>
  <c r="Q409" i="29"/>
  <c r="P409" i="29"/>
  <c r="N409" i="29"/>
  <c r="O409" i="29"/>
  <c r="M409" i="29"/>
  <c r="L409" i="29"/>
  <c r="J409" i="29"/>
  <c r="I409" i="29"/>
  <c r="H409" i="29"/>
  <c r="K409" i="29"/>
  <c r="G409" i="29"/>
  <c r="F409" i="29"/>
  <c r="V413" i="29"/>
  <c r="U413" i="29"/>
  <c r="T413" i="29"/>
  <c r="S413" i="29"/>
  <c r="R413" i="29"/>
  <c r="Q413" i="29"/>
  <c r="P413" i="29"/>
  <c r="O413" i="29"/>
  <c r="L413" i="29"/>
  <c r="N413" i="29"/>
  <c r="M413" i="29"/>
  <c r="J413" i="29"/>
  <c r="I413" i="29"/>
  <c r="H413" i="29"/>
  <c r="K413" i="29"/>
  <c r="G413" i="29"/>
  <c r="F413" i="29"/>
  <c r="V417" i="29"/>
  <c r="U417" i="29"/>
  <c r="T417" i="29"/>
  <c r="S417" i="29"/>
  <c r="R417" i="29"/>
  <c r="Q417" i="29"/>
  <c r="P417" i="29"/>
  <c r="O417" i="29"/>
  <c r="M417" i="29"/>
  <c r="N417" i="29"/>
  <c r="L417" i="29"/>
  <c r="K417" i="29"/>
  <c r="J417" i="29"/>
  <c r="I417" i="29"/>
  <c r="H417" i="29"/>
  <c r="G417" i="29"/>
  <c r="F417" i="29"/>
  <c r="V421" i="29"/>
  <c r="U421" i="29"/>
  <c r="T421" i="29"/>
  <c r="S421" i="29"/>
  <c r="R421" i="29"/>
  <c r="Q421" i="29"/>
  <c r="P421" i="29"/>
  <c r="N421" i="29"/>
  <c r="L421" i="29"/>
  <c r="O421" i="29"/>
  <c r="M421" i="29"/>
  <c r="K421" i="29"/>
  <c r="J421" i="29"/>
  <c r="I421" i="29"/>
  <c r="H421" i="29"/>
  <c r="G421" i="29"/>
  <c r="F421" i="29"/>
  <c r="V425" i="29"/>
  <c r="U425" i="29"/>
  <c r="T425" i="29"/>
  <c r="S425" i="29"/>
  <c r="R425" i="29"/>
  <c r="Q425" i="29"/>
  <c r="P425" i="29"/>
  <c r="N425" i="29"/>
  <c r="O425" i="29"/>
  <c r="M425" i="29"/>
  <c r="L425" i="29"/>
  <c r="J425" i="29"/>
  <c r="I425" i="29"/>
  <c r="H425" i="29"/>
  <c r="K425" i="29"/>
  <c r="G425" i="29"/>
  <c r="F425" i="29"/>
  <c r="V429" i="29"/>
  <c r="U429" i="29"/>
  <c r="T429" i="29"/>
  <c r="S429" i="29"/>
  <c r="R429" i="29"/>
  <c r="Q429" i="29"/>
  <c r="P429" i="29"/>
  <c r="O429" i="29"/>
  <c r="L429" i="29"/>
  <c r="N429" i="29"/>
  <c r="M429" i="29"/>
  <c r="J429" i="29"/>
  <c r="I429" i="29"/>
  <c r="H429" i="29"/>
  <c r="K429" i="29"/>
  <c r="G429" i="29"/>
  <c r="F429" i="29"/>
  <c r="V433" i="29"/>
  <c r="U433" i="29"/>
  <c r="T433" i="29"/>
  <c r="S433" i="29"/>
  <c r="R433" i="29"/>
  <c r="Q433" i="29"/>
  <c r="P433" i="29"/>
  <c r="O433" i="29"/>
  <c r="M433" i="29"/>
  <c r="N433" i="29"/>
  <c r="L433" i="29"/>
  <c r="K433" i="29"/>
  <c r="J433" i="29"/>
  <c r="I433" i="29"/>
  <c r="H433" i="29"/>
  <c r="G433" i="29"/>
  <c r="F433" i="29"/>
  <c r="V437" i="29"/>
  <c r="U437" i="29"/>
  <c r="T437" i="29"/>
  <c r="S437" i="29"/>
  <c r="R437" i="29"/>
  <c r="Q437" i="29"/>
  <c r="P437" i="29"/>
  <c r="N437" i="29"/>
  <c r="O437" i="29"/>
  <c r="L437" i="29"/>
  <c r="M437" i="29"/>
  <c r="K437" i="29"/>
  <c r="J437" i="29"/>
  <c r="I437" i="29"/>
  <c r="H437" i="29"/>
  <c r="G437" i="29"/>
  <c r="F437" i="29"/>
  <c r="V441" i="29"/>
  <c r="U441" i="29"/>
  <c r="T441" i="29"/>
  <c r="S441" i="29"/>
  <c r="R441" i="29"/>
  <c r="Q441" i="29"/>
  <c r="P441" i="29"/>
  <c r="N441" i="29"/>
  <c r="O441" i="29"/>
  <c r="M441" i="29"/>
  <c r="L441" i="29"/>
  <c r="J441" i="29"/>
  <c r="I441" i="29"/>
  <c r="H441" i="29"/>
  <c r="K441" i="29"/>
  <c r="G441" i="29"/>
  <c r="F441" i="29"/>
  <c r="V445" i="29"/>
  <c r="U445" i="29"/>
  <c r="T445" i="29"/>
  <c r="S445" i="29"/>
  <c r="R445" i="29"/>
  <c r="Q445" i="29"/>
  <c r="P445" i="29"/>
  <c r="O445" i="29"/>
  <c r="N445" i="29"/>
  <c r="L445" i="29"/>
  <c r="M445" i="29"/>
  <c r="J445" i="29"/>
  <c r="I445" i="29"/>
  <c r="H445" i="29"/>
  <c r="K445" i="29"/>
  <c r="G445" i="29"/>
  <c r="F445" i="29"/>
  <c r="V449" i="29"/>
  <c r="U449" i="29"/>
  <c r="T449" i="29"/>
  <c r="S449" i="29"/>
  <c r="R449" i="29"/>
  <c r="Q449" i="29"/>
  <c r="P449" i="29"/>
  <c r="O449" i="29"/>
  <c r="M449" i="29"/>
  <c r="N449" i="29"/>
  <c r="L449" i="29"/>
  <c r="K449" i="29"/>
  <c r="J449" i="29"/>
  <c r="I449" i="29"/>
  <c r="H449" i="29"/>
  <c r="G449" i="29"/>
  <c r="F449" i="29"/>
  <c r="V453" i="29"/>
  <c r="U453" i="29"/>
  <c r="T453" i="29"/>
  <c r="S453" i="29"/>
  <c r="R453" i="29"/>
  <c r="Q453" i="29"/>
  <c r="P453" i="29"/>
  <c r="N453" i="29"/>
  <c r="O453" i="29"/>
  <c r="M453" i="29"/>
  <c r="L453" i="29"/>
  <c r="K453" i="29"/>
  <c r="J453" i="29"/>
  <c r="I453" i="29"/>
  <c r="H453" i="29"/>
  <c r="G453" i="29"/>
  <c r="F453" i="29"/>
  <c r="V457" i="29"/>
  <c r="U457" i="29"/>
  <c r="T457" i="29"/>
  <c r="S457" i="29"/>
  <c r="R457" i="29"/>
  <c r="Q457" i="29"/>
  <c r="P457" i="29"/>
  <c r="N457" i="29"/>
  <c r="O457" i="29"/>
  <c r="M457" i="29"/>
  <c r="L457" i="29"/>
  <c r="J457" i="29"/>
  <c r="I457" i="29"/>
  <c r="H457" i="29"/>
  <c r="K457" i="29"/>
  <c r="G457" i="29"/>
  <c r="F457" i="29"/>
  <c r="V461" i="29"/>
  <c r="U461" i="29"/>
  <c r="T461" i="29"/>
  <c r="S461" i="29"/>
  <c r="R461" i="29"/>
  <c r="Q461" i="29"/>
  <c r="P461" i="29"/>
  <c r="O461" i="29"/>
  <c r="N461" i="29"/>
  <c r="L461" i="29"/>
  <c r="M461" i="29"/>
  <c r="J461" i="29"/>
  <c r="I461" i="29"/>
  <c r="H461" i="29"/>
  <c r="K461" i="29"/>
  <c r="G461" i="29"/>
  <c r="F461" i="29"/>
  <c r="V465" i="29"/>
  <c r="U465" i="29"/>
  <c r="T465" i="29"/>
  <c r="S465" i="29"/>
  <c r="R465" i="29"/>
  <c r="Q465" i="29"/>
  <c r="P465" i="29"/>
  <c r="O465" i="29"/>
  <c r="M465" i="29"/>
  <c r="N465" i="29"/>
  <c r="L465" i="29"/>
  <c r="K465" i="29"/>
  <c r="J465" i="29"/>
  <c r="I465" i="29"/>
  <c r="H465" i="29"/>
  <c r="G465" i="29"/>
  <c r="F465" i="29"/>
  <c r="V469" i="29"/>
  <c r="U469" i="29"/>
  <c r="T469" i="29"/>
  <c r="S469" i="29"/>
  <c r="R469" i="29"/>
  <c r="Q469" i="29"/>
  <c r="P469" i="29"/>
  <c r="N469" i="29"/>
  <c r="O469" i="29"/>
  <c r="L469" i="29"/>
  <c r="M469" i="29"/>
  <c r="K469" i="29"/>
  <c r="J469" i="29"/>
  <c r="I469" i="29"/>
  <c r="H469" i="29"/>
  <c r="G469" i="29"/>
  <c r="F469" i="29"/>
  <c r="V473" i="29"/>
  <c r="U473" i="29"/>
  <c r="T473" i="29"/>
  <c r="S473" i="29"/>
  <c r="R473" i="29"/>
  <c r="Q473" i="29"/>
  <c r="P473" i="29"/>
  <c r="N473" i="29"/>
  <c r="O473" i="29"/>
  <c r="M473" i="29"/>
  <c r="L473" i="29"/>
  <c r="J473" i="29"/>
  <c r="I473" i="29"/>
  <c r="H473" i="29"/>
  <c r="K473" i="29"/>
  <c r="G473" i="29"/>
  <c r="F473" i="29"/>
  <c r="V477" i="29"/>
  <c r="U477" i="29"/>
  <c r="T477" i="29"/>
  <c r="S477" i="29"/>
  <c r="R477" i="29"/>
  <c r="Q477" i="29"/>
  <c r="P477" i="29"/>
  <c r="O477" i="29"/>
  <c r="N477" i="29"/>
  <c r="L477" i="29"/>
  <c r="M477" i="29"/>
  <c r="J477" i="29"/>
  <c r="I477" i="29"/>
  <c r="H477" i="29"/>
  <c r="K477" i="29"/>
  <c r="G477" i="29"/>
  <c r="F477" i="29"/>
  <c r="V481" i="29"/>
  <c r="U481" i="29"/>
  <c r="T481" i="29"/>
  <c r="S481" i="29"/>
  <c r="R481" i="29"/>
  <c r="Q481" i="29"/>
  <c r="P481" i="29"/>
  <c r="O481" i="29"/>
  <c r="M481" i="29"/>
  <c r="N481" i="29"/>
  <c r="L481" i="29"/>
  <c r="K481" i="29"/>
  <c r="J481" i="29"/>
  <c r="I481" i="29"/>
  <c r="H481" i="29"/>
  <c r="G481" i="29"/>
  <c r="F481" i="29"/>
  <c r="V485" i="29"/>
  <c r="U485" i="29"/>
  <c r="T485" i="29"/>
  <c r="S485" i="29"/>
  <c r="R485" i="29"/>
  <c r="Q485" i="29"/>
  <c r="P485" i="29"/>
  <c r="N485" i="29"/>
  <c r="O485" i="29"/>
  <c r="M485" i="29"/>
  <c r="L485" i="29"/>
  <c r="K485" i="29"/>
  <c r="J485" i="29"/>
  <c r="I485" i="29"/>
  <c r="H485" i="29"/>
  <c r="G485" i="29"/>
  <c r="F485" i="29"/>
  <c r="V489" i="29"/>
  <c r="U489" i="29"/>
  <c r="T489" i="29"/>
  <c r="S489" i="29"/>
  <c r="R489" i="29"/>
  <c r="Q489" i="29"/>
  <c r="P489" i="29"/>
  <c r="N489" i="29"/>
  <c r="O489" i="29"/>
  <c r="M489" i="29"/>
  <c r="L489" i="29"/>
  <c r="J489" i="29"/>
  <c r="I489" i="29"/>
  <c r="H489" i="29"/>
  <c r="K489" i="29"/>
  <c r="G489" i="29"/>
  <c r="F489" i="29"/>
  <c r="V493" i="29"/>
  <c r="U493" i="29"/>
  <c r="T493" i="29"/>
  <c r="S493" i="29"/>
  <c r="R493" i="29"/>
  <c r="Q493" i="29"/>
  <c r="P493" i="29"/>
  <c r="O493" i="29"/>
  <c r="N493" i="29"/>
  <c r="M493" i="29"/>
  <c r="L493" i="29"/>
  <c r="J493" i="29"/>
  <c r="I493" i="29"/>
  <c r="H493" i="29"/>
  <c r="K493" i="29"/>
  <c r="G493" i="29"/>
  <c r="F493" i="29"/>
  <c r="V497" i="29"/>
  <c r="U497" i="29"/>
  <c r="T497" i="29"/>
  <c r="S497" i="29"/>
  <c r="R497" i="29"/>
  <c r="Q497" i="29"/>
  <c r="P497" i="29"/>
  <c r="O497" i="29"/>
  <c r="M497" i="29"/>
  <c r="N497" i="29"/>
  <c r="L497" i="29"/>
  <c r="K497" i="29"/>
  <c r="J497" i="29"/>
  <c r="I497" i="29"/>
  <c r="H497" i="29"/>
  <c r="G497" i="29"/>
  <c r="F497" i="29"/>
  <c r="V501" i="29"/>
  <c r="U501" i="29"/>
  <c r="T501" i="29"/>
  <c r="S501" i="29"/>
  <c r="R501" i="29"/>
  <c r="Q501" i="29"/>
  <c r="P501" i="29"/>
  <c r="N501" i="29"/>
  <c r="O501" i="29"/>
  <c r="M501" i="29"/>
  <c r="L501" i="29"/>
  <c r="K501" i="29"/>
  <c r="J501" i="29"/>
  <c r="I501" i="29"/>
  <c r="H501" i="29"/>
  <c r="G501" i="29"/>
  <c r="F501" i="29"/>
  <c r="V505" i="29"/>
  <c r="U505" i="29"/>
  <c r="T505" i="29"/>
  <c r="S505" i="29"/>
  <c r="R505" i="29"/>
  <c r="Q505" i="29"/>
  <c r="P505" i="29"/>
  <c r="N505" i="29"/>
  <c r="O505" i="29"/>
  <c r="M505" i="29"/>
  <c r="L505" i="29"/>
  <c r="J505" i="29"/>
  <c r="I505" i="29"/>
  <c r="H505" i="29"/>
  <c r="K505" i="29"/>
  <c r="G505" i="29"/>
  <c r="F505" i="29"/>
  <c r="V509" i="29"/>
  <c r="U509" i="29"/>
  <c r="T509" i="29"/>
  <c r="S509" i="29"/>
  <c r="R509" i="29"/>
  <c r="Q509" i="29"/>
  <c r="P509" i="29"/>
  <c r="O509" i="29"/>
  <c r="N509" i="29"/>
  <c r="L509" i="29"/>
  <c r="M509" i="29"/>
  <c r="J509" i="29"/>
  <c r="I509" i="29"/>
  <c r="H509" i="29"/>
  <c r="K509" i="29"/>
  <c r="G509" i="29"/>
  <c r="F509" i="29"/>
  <c r="V513" i="29"/>
  <c r="U513" i="29"/>
  <c r="T513" i="29"/>
  <c r="S513" i="29"/>
  <c r="R513" i="29"/>
  <c r="Q513" i="29"/>
  <c r="P513" i="29"/>
  <c r="O513" i="29"/>
  <c r="M513" i="29"/>
  <c r="N513" i="29"/>
  <c r="L513" i="29"/>
  <c r="K513" i="29"/>
  <c r="J513" i="29"/>
  <c r="I513" i="29"/>
  <c r="H513" i="29"/>
  <c r="G513" i="29"/>
  <c r="F513" i="29"/>
  <c r="V517" i="29"/>
  <c r="U517" i="29"/>
  <c r="T517" i="29"/>
  <c r="S517" i="29"/>
  <c r="R517" i="29"/>
  <c r="Q517" i="29"/>
  <c r="P517" i="29"/>
  <c r="N517" i="29"/>
  <c r="O517" i="29"/>
  <c r="M517" i="29"/>
  <c r="L517" i="29"/>
  <c r="K517" i="29"/>
  <c r="J517" i="29"/>
  <c r="I517" i="29"/>
  <c r="H517" i="29"/>
  <c r="G517" i="29"/>
  <c r="F517" i="29"/>
  <c r="V521" i="29"/>
  <c r="U521" i="29"/>
  <c r="T521" i="29"/>
  <c r="S521" i="29"/>
  <c r="R521" i="29"/>
  <c r="Q521" i="29"/>
  <c r="P521" i="29"/>
  <c r="N521" i="29"/>
  <c r="O521" i="29"/>
  <c r="M521" i="29"/>
  <c r="L521" i="29"/>
  <c r="J521" i="29"/>
  <c r="I521" i="29"/>
  <c r="H521" i="29"/>
  <c r="K521" i="29"/>
  <c r="G521" i="29"/>
  <c r="F521" i="29"/>
  <c r="V525" i="29"/>
  <c r="U525" i="29"/>
  <c r="T525" i="29"/>
  <c r="S525" i="29"/>
  <c r="R525" i="29"/>
  <c r="Q525" i="29"/>
  <c r="P525" i="29"/>
  <c r="O525" i="29"/>
  <c r="M525" i="29"/>
  <c r="N525" i="29"/>
  <c r="L525" i="29"/>
  <c r="J525" i="29"/>
  <c r="I525" i="29"/>
  <c r="H525" i="29"/>
  <c r="K525" i="29"/>
  <c r="G525" i="29"/>
  <c r="F525" i="29"/>
  <c r="V529" i="29"/>
  <c r="U529" i="29"/>
  <c r="T529" i="29"/>
  <c r="S529" i="29"/>
  <c r="R529" i="29"/>
  <c r="Q529" i="29"/>
  <c r="P529" i="29"/>
  <c r="O529" i="29"/>
  <c r="M529" i="29"/>
  <c r="N529" i="29"/>
  <c r="L529" i="29"/>
  <c r="K529" i="29"/>
  <c r="J529" i="29"/>
  <c r="I529" i="29"/>
  <c r="H529" i="29"/>
  <c r="G529" i="29"/>
  <c r="F529" i="29"/>
  <c r="V533" i="29"/>
  <c r="U533" i="29"/>
  <c r="T533" i="29"/>
  <c r="S533" i="29"/>
  <c r="R533" i="29"/>
  <c r="P533" i="29"/>
  <c r="Q533" i="29"/>
  <c r="N533" i="29"/>
  <c r="O533" i="29"/>
  <c r="M533" i="29"/>
  <c r="L533" i="29"/>
  <c r="K533" i="29"/>
  <c r="J533" i="29"/>
  <c r="I533" i="29"/>
  <c r="H533" i="29"/>
  <c r="G533" i="29"/>
  <c r="F533" i="29"/>
  <c r="V537" i="29"/>
  <c r="U537" i="29"/>
  <c r="T537" i="29"/>
  <c r="S537" i="29"/>
  <c r="R537" i="29"/>
  <c r="P537" i="29"/>
  <c r="Q537" i="29"/>
  <c r="N537" i="29"/>
  <c r="O537" i="29"/>
  <c r="M537" i="29"/>
  <c r="L537" i="29"/>
  <c r="J537" i="29"/>
  <c r="I537" i="29"/>
  <c r="H537" i="29"/>
  <c r="K537" i="29"/>
  <c r="G537" i="29"/>
  <c r="F537" i="29"/>
  <c r="V541" i="29"/>
  <c r="U541" i="29"/>
  <c r="T541" i="29"/>
  <c r="S541" i="29"/>
  <c r="R541" i="29"/>
  <c r="Q541" i="29"/>
  <c r="P541" i="29"/>
  <c r="O541" i="29"/>
  <c r="L541" i="29"/>
  <c r="N541" i="29"/>
  <c r="M541" i="29"/>
  <c r="J541" i="29"/>
  <c r="I541" i="29"/>
  <c r="H541" i="29"/>
  <c r="K541" i="29"/>
  <c r="G541" i="29"/>
  <c r="F541" i="29"/>
  <c r="V545" i="29"/>
  <c r="U545" i="29"/>
  <c r="T545" i="29"/>
  <c r="S545" i="29"/>
  <c r="R545" i="29"/>
  <c r="Q545" i="29"/>
  <c r="P545" i="29"/>
  <c r="O545" i="29"/>
  <c r="M545" i="29"/>
  <c r="N545" i="29"/>
  <c r="L545" i="29"/>
  <c r="K545" i="29"/>
  <c r="J545" i="29"/>
  <c r="I545" i="29"/>
  <c r="H545" i="29"/>
  <c r="G545" i="29"/>
  <c r="F545" i="29"/>
  <c r="V549" i="29"/>
  <c r="U549" i="29"/>
  <c r="T549" i="29"/>
  <c r="S549" i="29"/>
  <c r="R549" i="29"/>
  <c r="Q549" i="29"/>
  <c r="P549" i="29"/>
  <c r="N549" i="29"/>
  <c r="O549" i="29"/>
  <c r="M549" i="29"/>
  <c r="L549" i="29"/>
  <c r="K549" i="29"/>
  <c r="J549" i="29"/>
  <c r="I549" i="29"/>
  <c r="H549" i="29"/>
  <c r="G549" i="29"/>
  <c r="F549" i="29"/>
  <c r="V553" i="29"/>
  <c r="U553" i="29"/>
  <c r="T553" i="29"/>
  <c r="S553" i="29"/>
  <c r="R553" i="29"/>
  <c r="Q553" i="29"/>
  <c r="P553" i="29"/>
  <c r="N553" i="29"/>
  <c r="O553" i="29"/>
  <c r="M553" i="29"/>
  <c r="L553" i="29"/>
  <c r="J553" i="29"/>
  <c r="I553" i="29"/>
  <c r="H553" i="29"/>
  <c r="K553" i="29"/>
  <c r="G553" i="29"/>
  <c r="F553" i="29"/>
  <c r="V557" i="29"/>
  <c r="U557" i="29"/>
  <c r="T557" i="29"/>
  <c r="S557" i="29"/>
  <c r="R557" i="29"/>
  <c r="Q557" i="29"/>
  <c r="P557" i="29"/>
  <c r="O557" i="29"/>
  <c r="N557" i="29"/>
  <c r="M557" i="29"/>
  <c r="L557" i="29"/>
  <c r="J557" i="29"/>
  <c r="I557" i="29"/>
  <c r="H557" i="29"/>
  <c r="K557" i="29"/>
  <c r="G557" i="29"/>
  <c r="F557" i="29"/>
  <c r="V561" i="29"/>
  <c r="U561" i="29"/>
  <c r="T561" i="29"/>
  <c r="S561" i="29"/>
  <c r="R561" i="29"/>
  <c r="Q561" i="29"/>
  <c r="P561" i="29"/>
  <c r="O561" i="29"/>
  <c r="M561" i="29"/>
  <c r="N561" i="29"/>
  <c r="L561" i="29"/>
  <c r="K561" i="29"/>
  <c r="J561" i="29"/>
  <c r="I561" i="29"/>
  <c r="H561" i="29"/>
  <c r="G561" i="29"/>
  <c r="F561" i="29"/>
  <c r="V565" i="29"/>
  <c r="U565" i="29"/>
  <c r="T565" i="29"/>
  <c r="S565" i="29"/>
  <c r="R565" i="29"/>
  <c r="Q565" i="29"/>
  <c r="P565" i="29"/>
  <c r="N565" i="29"/>
  <c r="O565" i="29"/>
  <c r="M565" i="29"/>
  <c r="L565" i="29"/>
  <c r="K565" i="29"/>
  <c r="J565" i="29"/>
  <c r="I565" i="29"/>
  <c r="H565" i="29"/>
  <c r="G565" i="29"/>
  <c r="F565" i="29"/>
  <c r="V569" i="29"/>
  <c r="U569" i="29"/>
  <c r="T569" i="29"/>
  <c r="S569" i="29"/>
  <c r="R569" i="29"/>
  <c r="Q569" i="29"/>
  <c r="P569" i="29"/>
  <c r="N569" i="29"/>
  <c r="O569" i="29"/>
  <c r="M569" i="29"/>
  <c r="L569" i="29"/>
  <c r="J569" i="29"/>
  <c r="I569" i="29"/>
  <c r="H569" i="29"/>
  <c r="K569" i="29"/>
  <c r="G569" i="29"/>
  <c r="F569" i="29"/>
  <c r="V573" i="29"/>
  <c r="U573" i="29"/>
  <c r="T573" i="29"/>
  <c r="S573" i="29"/>
  <c r="R573" i="29"/>
  <c r="Q573" i="29"/>
  <c r="P573" i="29"/>
  <c r="O573" i="29"/>
  <c r="N573" i="29"/>
  <c r="L573" i="29"/>
  <c r="M573" i="29"/>
  <c r="J573" i="29"/>
  <c r="I573" i="29"/>
  <c r="H573" i="29"/>
  <c r="K573" i="29"/>
  <c r="G573" i="29"/>
  <c r="F573" i="29"/>
  <c r="U577" i="29"/>
  <c r="V577" i="29"/>
  <c r="T577" i="29"/>
  <c r="S577" i="29"/>
  <c r="R577" i="29"/>
  <c r="Q577" i="29"/>
  <c r="P577" i="29"/>
  <c r="O577" i="29"/>
  <c r="M577" i="29"/>
  <c r="N577" i="29"/>
  <c r="L577" i="29"/>
  <c r="K577" i="29"/>
  <c r="J577" i="29"/>
  <c r="I577" i="29"/>
  <c r="H577" i="29"/>
  <c r="G577" i="29"/>
  <c r="F577" i="29"/>
  <c r="V581" i="29"/>
  <c r="U581" i="29"/>
  <c r="T581" i="29"/>
  <c r="S581" i="29"/>
  <c r="R581" i="29"/>
  <c r="Q581" i="29"/>
  <c r="P581" i="29"/>
  <c r="N581" i="29"/>
  <c r="O581" i="29"/>
  <c r="M581" i="29"/>
  <c r="L581" i="29"/>
  <c r="K581" i="29"/>
  <c r="J581" i="29"/>
  <c r="I581" i="29"/>
  <c r="H581" i="29"/>
  <c r="G581" i="29"/>
  <c r="F581" i="29"/>
  <c r="U585" i="29"/>
  <c r="V585" i="29"/>
  <c r="T585" i="29"/>
  <c r="S585" i="29"/>
  <c r="R585" i="29"/>
  <c r="Q585" i="29"/>
  <c r="P585" i="29"/>
  <c r="N585" i="29"/>
  <c r="O585" i="29"/>
  <c r="M585" i="29"/>
  <c r="L585" i="29"/>
  <c r="J585" i="29"/>
  <c r="I585" i="29"/>
  <c r="H585" i="29"/>
  <c r="K585" i="29"/>
  <c r="G585" i="29"/>
  <c r="F585" i="29"/>
  <c r="V589" i="29"/>
  <c r="U589" i="29"/>
  <c r="T589" i="29"/>
  <c r="S589" i="29"/>
  <c r="R589" i="29"/>
  <c r="Q589" i="29"/>
  <c r="P589" i="29"/>
  <c r="O589" i="29"/>
  <c r="M589" i="29"/>
  <c r="N589" i="29"/>
  <c r="L589" i="29"/>
  <c r="J589" i="29"/>
  <c r="I589" i="29"/>
  <c r="H589" i="29"/>
  <c r="K589" i="29"/>
  <c r="G589" i="29"/>
  <c r="F589" i="29"/>
  <c r="U593" i="29"/>
  <c r="V593" i="29"/>
  <c r="T593" i="29"/>
  <c r="S593" i="29"/>
  <c r="R593" i="29"/>
  <c r="Q593" i="29"/>
  <c r="P593" i="29"/>
  <c r="O593" i="29"/>
  <c r="M593" i="29"/>
  <c r="N593" i="29"/>
  <c r="L593" i="29"/>
  <c r="K593" i="29"/>
  <c r="J593" i="29"/>
  <c r="I593" i="29"/>
  <c r="H593" i="29"/>
  <c r="G593" i="29"/>
  <c r="F593" i="29"/>
  <c r="V597" i="29"/>
  <c r="U597" i="29"/>
  <c r="T597" i="29"/>
  <c r="S597" i="29"/>
  <c r="R597" i="29"/>
  <c r="Q597" i="29"/>
  <c r="P597" i="29"/>
  <c r="N597" i="29"/>
  <c r="O597" i="29"/>
  <c r="M597" i="29"/>
  <c r="L597" i="29"/>
  <c r="J597" i="29"/>
  <c r="I597" i="29"/>
  <c r="H597" i="29"/>
  <c r="K597" i="29"/>
  <c r="G597" i="29"/>
  <c r="F597" i="29"/>
  <c r="U601" i="29"/>
  <c r="V601" i="29"/>
  <c r="T601" i="29"/>
  <c r="S601" i="29"/>
  <c r="R601" i="29"/>
  <c r="Q601" i="29"/>
  <c r="P601" i="29"/>
  <c r="N601" i="29"/>
  <c r="O601" i="29"/>
  <c r="M601" i="29"/>
  <c r="L601" i="29"/>
  <c r="K601" i="29"/>
  <c r="J601" i="29"/>
  <c r="I601" i="29"/>
  <c r="H601" i="29"/>
  <c r="G601" i="29"/>
  <c r="F601" i="29"/>
  <c r="V605" i="29"/>
  <c r="U605" i="29"/>
  <c r="T605" i="29"/>
  <c r="S605" i="29"/>
  <c r="R605" i="29"/>
  <c r="Q605" i="29"/>
  <c r="P605" i="29"/>
  <c r="O605" i="29"/>
  <c r="L605" i="29"/>
  <c r="N605" i="29"/>
  <c r="M605" i="29"/>
  <c r="J605" i="29"/>
  <c r="I605" i="29"/>
  <c r="H605" i="29"/>
  <c r="K605" i="29"/>
  <c r="G605" i="29"/>
  <c r="F605" i="29"/>
  <c r="V629" i="29"/>
  <c r="U629" i="29"/>
  <c r="T629" i="29"/>
  <c r="S629" i="29"/>
  <c r="R629" i="29"/>
  <c r="Q629" i="29"/>
  <c r="P629" i="29"/>
  <c r="N629" i="29"/>
  <c r="O629" i="29"/>
  <c r="M629" i="29"/>
  <c r="L629" i="29"/>
  <c r="J629" i="29"/>
  <c r="I629" i="29"/>
  <c r="H629" i="29"/>
  <c r="K629" i="29"/>
  <c r="G629" i="29"/>
  <c r="F629" i="29"/>
  <c r="U633" i="29"/>
  <c r="V633" i="29"/>
  <c r="T633" i="29"/>
  <c r="S633" i="29"/>
  <c r="R633" i="29"/>
  <c r="Q633" i="29"/>
  <c r="P633" i="29"/>
  <c r="N633" i="29"/>
  <c r="O633" i="29"/>
  <c r="M633" i="29"/>
  <c r="L633" i="29"/>
  <c r="K633" i="29"/>
  <c r="J633" i="29"/>
  <c r="I633" i="29"/>
  <c r="H633" i="29"/>
  <c r="G633" i="29"/>
  <c r="F633" i="29"/>
  <c r="V637" i="29"/>
  <c r="U637" i="29"/>
  <c r="T637" i="29"/>
  <c r="S637" i="29"/>
  <c r="R637" i="29"/>
  <c r="Q637" i="29"/>
  <c r="P637" i="29"/>
  <c r="O637" i="29"/>
  <c r="N637" i="29"/>
  <c r="L637" i="29"/>
  <c r="M637" i="29"/>
  <c r="J637" i="29"/>
  <c r="I637" i="29"/>
  <c r="H637" i="29"/>
  <c r="K637" i="29"/>
  <c r="G637" i="29"/>
  <c r="F637" i="29"/>
  <c r="U641" i="29"/>
  <c r="V641" i="29"/>
  <c r="T641" i="29"/>
  <c r="S641" i="29"/>
  <c r="R641" i="29"/>
  <c r="Q641" i="29"/>
  <c r="P641" i="29"/>
  <c r="O641" i="29"/>
  <c r="M641" i="29"/>
  <c r="N641" i="29"/>
  <c r="L641" i="29"/>
  <c r="K641" i="29"/>
  <c r="J641" i="29"/>
  <c r="I641" i="29"/>
  <c r="H641" i="29"/>
  <c r="G641" i="29"/>
  <c r="F641" i="29"/>
  <c r="V645" i="29"/>
  <c r="U645" i="29"/>
  <c r="T645" i="29"/>
  <c r="S645" i="29"/>
  <c r="R645" i="29"/>
  <c r="Q645" i="29"/>
  <c r="P645" i="29"/>
  <c r="N645" i="29"/>
  <c r="O645" i="29"/>
  <c r="M645" i="29"/>
  <c r="L645" i="29"/>
  <c r="J645" i="29"/>
  <c r="I645" i="29"/>
  <c r="H645" i="29"/>
  <c r="K645" i="29"/>
  <c r="G645" i="29"/>
  <c r="F645" i="29"/>
  <c r="U649" i="29"/>
  <c r="V649" i="29"/>
  <c r="T649" i="29"/>
  <c r="S649" i="29"/>
  <c r="R649" i="29"/>
  <c r="Q649" i="29"/>
  <c r="P649" i="29"/>
  <c r="N649" i="29"/>
  <c r="O649" i="29"/>
  <c r="M649" i="29"/>
  <c r="L649" i="29"/>
  <c r="K649" i="29"/>
  <c r="J649" i="29"/>
  <c r="I649" i="29"/>
  <c r="H649" i="29"/>
  <c r="G649" i="29"/>
  <c r="F649" i="29"/>
  <c r="V653" i="29"/>
  <c r="U653" i="29"/>
  <c r="T653" i="29"/>
  <c r="S653" i="29"/>
  <c r="R653" i="29"/>
  <c r="Q653" i="29"/>
  <c r="P653" i="29"/>
  <c r="O653" i="29"/>
  <c r="M653" i="29"/>
  <c r="N653" i="29"/>
  <c r="L653" i="29"/>
  <c r="J653" i="29"/>
  <c r="I653" i="29"/>
  <c r="H653" i="29"/>
  <c r="K653" i="29"/>
  <c r="G653" i="29"/>
  <c r="F653" i="29"/>
  <c r="U657" i="29"/>
  <c r="V657" i="29"/>
  <c r="T657" i="29"/>
  <c r="S657" i="29"/>
  <c r="R657" i="29"/>
  <c r="Q657" i="29"/>
  <c r="P657" i="29"/>
  <c r="O657" i="29"/>
  <c r="M657" i="29"/>
  <c r="N657" i="29"/>
  <c r="L657" i="29"/>
  <c r="K657" i="29"/>
  <c r="J657" i="29"/>
  <c r="I657" i="29"/>
  <c r="H657" i="29"/>
  <c r="G657" i="29"/>
  <c r="F657" i="29"/>
  <c r="V661" i="29"/>
  <c r="U661" i="29"/>
  <c r="T661" i="29"/>
  <c r="S661" i="29"/>
  <c r="R661" i="29"/>
  <c r="Q661" i="29"/>
  <c r="P661" i="29"/>
  <c r="N661" i="29"/>
  <c r="O661" i="29"/>
  <c r="M661" i="29"/>
  <c r="L661" i="29"/>
  <c r="J661" i="29"/>
  <c r="I661" i="29"/>
  <c r="H661" i="29"/>
  <c r="K661" i="29"/>
  <c r="G661" i="29"/>
  <c r="F661" i="29"/>
  <c r="U665" i="29"/>
  <c r="V665" i="29"/>
  <c r="T665" i="29"/>
  <c r="S665" i="29"/>
  <c r="R665" i="29"/>
  <c r="Q665" i="29"/>
  <c r="P665" i="29"/>
  <c r="N665" i="29"/>
  <c r="O665" i="29"/>
  <c r="M665" i="29"/>
  <c r="L665" i="29"/>
  <c r="K665" i="29"/>
  <c r="J665" i="29"/>
  <c r="I665" i="29"/>
  <c r="H665" i="29"/>
  <c r="G665" i="29"/>
  <c r="F665" i="29"/>
  <c r="V669" i="29"/>
  <c r="U669" i="29"/>
  <c r="T669" i="29"/>
  <c r="S669" i="29"/>
  <c r="R669" i="29"/>
  <c r="Q669" i="29"/>
  <c r="P669" i="29"/>
  <c r="O669" i="29"/>
  <c r="L669" i="29"/>
  <c r="N669" i="29"/>
  <c r="M669" i="29"/>
  <c r="J669" i="29"/>
  <c r="I669" i="29"/>
  <c r="H669" i="29"/>
  <c r="K669" i="29"/>
  <c r="G669" i="29"/>
  <c r="F669" i="29"/>
  <c r="U673" i="29"/>
  <c r="V673" i="29"/>
  <c r="T673" i="29"/>
  <c r="S673" i="29"/>
  <c r="R673" i="29"/>
  <c r="Q673" i="29"/>
  <c r="P673" i="29"/>
  <c r="O673" i="29"/>
  <c r="M673" i="29"/>
  <c r="N673" i="29"/>
  <c r="L673" i="29"/>
  <c r="K673" i="29"/>
  <c r="J673" i="29"/>
  <c r="I673" i="29"/>
  <c r="H673" i="29"/>
  <c r="G673" i="29"/>
  <c r="F673" i="29"/>
  <c r="V677" i="29"/>
  <c r="U677" i="29"/>
  <c r="T677" i="29"/>
  <c r="S677" i="29"/>
  <c r="R677" i="29"/>
  <c r="Q677" i="29"/>
  <c r="P677" i="29"/>
  <c r="N677" i="29"/>
  <c r="O677" i="29"/>
  <c r="M677" i="29"/>
  <c r="L677" i="29"/>
  <c r="J677" i="29"/>
  <c r="I677" i="29"/>
  <c r="H677" i="29"/>
  <c r="K677" i="29"/>
  <c r="G677" i="29"/>
  <c r="F677" i="29"/>
  <c r="U681" i="29"/>
  <c r="V681" i="29"/>
  <c r="T681" i="29"/>
  <c r="S681" i="29"/>
  <c r="R681" i="29"/>
  <c r="Q681" i="29"/>
  <c r="P681" i="29"/>
  <c r="N681" i="29"/>
  <c r="O681" i="29"/>
  <c r="M681" i="29"/>
  <c r="L681" i="29"/>
  <c r="K681" i="29"/>
  <c r="J681" i="29"/>
  <c r="I681" i="29"/>
  <c r="H681" i="29"/>
  <c r="G681" i="29"/>
  <c r="F681" i="29"/>
  <c r="V685" i="29"/>
  <c r="U685" i="29"/>
  <c r="T685" i="29"/>
  <c r="S685" i="29"/>
  <c r="R685" i="29"/>
  <c r="Q685" i="29"/>
  <c r="P685" i="29"/>
  <c r="O685" i="29"/>
  <c r="N685" i="29"/>
  <c r="M685" i="29"/>
  <c r="L685" i="29"/>
  <c r="J685" i="29"/>
  <c r="I685" i="29"/>
  <c r="H685" i="29"/>
  <c r="K685" i="29"/>
  <c r="G685" i="29"/>
  <c r="F685" i="29"/>
  <c r="V689" i="29"/>
  <c r="U689" i="29"/>
  <c r="T689" i="29"/>
  <c r="S689" i="29"/>
  <c r="R689" i="29"/>
  <c r="Q689" i="29"/>
  <c r="P689" i="29"/>
  <c r="O689" i="29"/>
  <c r="M689" i="29"/>
  <c r="N689" i="29"/>
  <c r="L689" i="29"/>
  <c r="K689" i="29"/>
  <c r="J689" i="29"/>
  <c r="I689" i="29"/>
  <c r="H689" i="29"/>
  <c r="G689" i="29"/>
  <c r="F689" i="29"/>
  <c r="V693" i="29"/>
  <c r="U693" i="29"/>
  <c r="T693" i="29"/>
  <c r="S693" i="29"/>
  <c r="R693" i="29"/>
  <c r="Q693" i="29"/>
  <c r="P693" i="29"/>
  <c r="N693" i="29"/>
  <c r="O693" i="29"/>
  <c r="M693" i="29"/>
  <c r="L693" i="29"/>
  <c r="J693" i="29"/>
  <c r="I693" i="29"/>
  <c r="H693" i="29"/>
  <c r="K693" i="29"/>
  <c r="G693" i="29"/>
  <c r="F693" i="29"/>
  <c r="V697" i="29"/>
  <c r="U697" i="29"/>
  <c r="T697" i="29"/>
  <c r="S697" i="29"/>
  <c r="R697" i="29"/>
  <c r="Q697" i="29"/>
  <c r="P697" i="29"/>
  <c r="N697" i="29"/>
  <c r="O697" i="29"/>
  <c r="M697" i="29"/>
  <c r="L697" i="29"/>
  <c r="K697" i="29"/>
  <c r="J697" i="29"/>
  <c r="I697" i="29"/>
  <c r="H697" i="29"/>
  <c r="G697" i="29"/>
  <c r="F697" i="29"/>
  <c r="V701" i="29"/>
  <c r="U701" i="29"/>
  <c r="T701" i="29"/>
  <c r="S701" i="29"/>
  <c r="R701" i="29"/>
  <c r="Q701" i="29"/>
  <c r="P701" i="29"/>
  <c r="O701" i="29"/>
  <c r="N701" i="29"/>
  <c r="L701" i="29"/>
  <c r="M701" i="29"/>
  <c r="J701" i="29"/>
  <c r="I701" i="29"/>
  <c r="H701" i="29"/>
  <c r="K701" i="29"/>
  <c r="G701" i="29"/>
  <c r="F701" i="29"/>
  <c r="V705" i="29"/>
  <c r="U705" i="29"/>
  <c r="T705" i="29"/>
  <c r="S705" i="29"/>
  <c r="R705" i="29"/>
  <c r="Q705" i="29"/>
  <c r="P705" i="29"/>
  <c r="O705" i="29"/>
  <c r="M705" i="29"/>
  <c r="N705" i="29"/>
  <c r="L705" i="29"/>
  <c r="K705" i="29"/>
  <c r="J705" i="29"/>
  <c r="I705" i="29"/>
  <c r="H705" i="29"/>
  <c r="G705" i="29"/>
  <c r="F705" i="29"/>
  <c r="V709" i="29"/>
  <c r="U709" i="29"/>
  <c r="T709" i="29"/>
  <c r="S709" i="29"/>
  <c r="R709" i="29"/>
  <c r="Q709" i="29"/>
  <c r="P709" i="29"/>
  <c r="N709" i="29"/>
  <c r="O709" i="29"/>
  <c r="M709" i="29"/>
  <c r="L709" i="29"/>
  <c r="J709" i="29"/>
  <c r="I709" i="29"/>
  <c r="H709" i="29"/>
  <c r="K709" i="29"/>
  <c r="G709" i="29"/>
  <c r="F709" i="29"/>
  <c r="V713" i="29"/>
  <c r="U713" i="29"/>
  <c r="T713" i="29"/>
  <c r="S713" i="29"/>
  <c r="R713" i="29"/>
  <c r="Q713" i="29"/>
  <c r="P713" i="29"/>
  <c r="N713" i="29"/>
  <c r="O713" i="29"/>
  <c r="M713" i="29"/>
  <c r="L713" i="29"/>
  <c r="K713" i="29"/>
  <c r="J713" i="29"/>
  <c r="I713" i="29"/>
  <c r="H713" i="29"/>
  <c r="G713" i="29"/>
  <c r="F713" i="29"/>
  <c r="V717" i="29"/>
  <c r="U717" i="29"/>
  <c r="T717" i="29"/>
  <c r="S717" i="29"/>
  <c r="R717" i="29"/>
  <c r="Q717" i="29"/>
  <c r="P717" i="29"/>
  <c r="O717" i="29"/>
  <c r="M717" i="29"/>
  <c r="N717" i="29"/>
  <c r="L717" i="29"/>
  <c r="J717" i="29"/>
  <c r="I717" i="29"/>
  <c r="H717" i="29"/>
  <c r="K717" i="29"/>
  <c r="G717" i="29"/>
  <c r="F717" i="29"/>
  <c r="V721" i="29"/>
  <c r="U721" i="29"/>
  <c r="T721" i="29"/>
  <c r="S721" i="29"/>
  <c r="R721" i="29"/>
  <c r="Q721" i="29"/>
  <c r="P721" i="29"/>
  <c r="O721" i="29"/>
  <c r="M721" i="29"/>
  <c r="N721" i="29"/>
  <c r="L721" i="29"/>
  <c r="K721" i="29"/>
  <c r="J721" i="29"/>
  <c r="I721" i="29"/>
  <c r="H721" i="29"/>
  <c r="G721" i="29"/>
  <c r="F721" i="29"/>
  <c r="V314" i="29"/>
  <c r="U314" i="29"/>
  <c r="T314" i="29"/>
  <c r="S314" i="29"/>
  <c r="R314" i="29"/>
  <c r="Q314" i="29"/>
  <c r="P314" i="29"/>
  <c r="O314" i="29"/>
  <c r="N314" i="29"/>
  <c r="M314" i="29"/>
  <c r="L314" i="29"/>
  <c r="K314" i="29"/>
  <c r="G314" i="29"/>
  <c r="J314" i="29"/>
  <c r="I314" i="29"/>
  <c r="F314" i="29"/>
  <c r="H314" i="29"/>
  <c r="U322" i="29"/>
  <c r="V322" i="29"/>
  <c r="T322" i="29"/>
  <c r="S322" i="29"/>
  <c r="R322" i="29"/>
  <c r="Q322" i="29"/>
  <c r="P322" i="29"/>
  <c r="O322" i="29"/>
  <c r="N322" i="29"/>
  <c r="M322" i="29"/>
  <c r="L322" i="29"/>
  <c r="K322" i="29"/>
  <c r="G322" i="29"/>
  <c r="J322" i="29"/>
  <c r="I322" i="29"/>
  <c r="F322" i="29"/>
  <c r="H322" i="29"/>
  <c r="V326" i="29"/>
  <c r="U326" i="29"/>
  <c r="T326" i="29"/>
  <c r="S326" i="29"/>
  <c r="R326" i="29"/>
  <c r="Q326" i="29"/>
  <c r="P326" i="29"/>
  <c r="O326" i="29"/>
  <c r="N326" i="29"/>
  <c r="M326" i="29"/>
  <c r="L326" i="29"/>
  <c r="K326" i="29"/>
  <c r="G326" i="29"/>
  <c r="J326" i="29"/>
  <c r="I326" i="29"/>
  <c r="H326" i="29"/>
  <c r="F326" i="29"/>
  <c r="V330" i="29"/>
  <c r="U330" i="29"/>
  <c r="T330" i="29"/>
  <c r="S330" i="29"/>
  <c r="R330" i="29"/>
  <c r="Q330" i="29"/>
  <c r="P330" i="29"/>
  <c r="O330" i="29"/>
  <c r="N330" i="29"/>
  <c r="M330" i="29"/>
  <c r="L330" i="29"/>
  <c r="K330" i="29"/>
  <c r="G330" i="29"/>
  <c r="J330" i="29"/>
  <c r="I330" i="29"/>
  <c r="F330" i="29"/>
  <c r="H330" i="29"/>
  <c r="U334" i="29"/>
  <c r="V334" i="29"/>
  <c r="T334" i="29"/>
  <c r="S334" i="29"/>
  <c r="R334" i="29"/>
  <c r="Q334" i="29"/>
  <c r="P334" i="29"/>
  <c r="O334" i="29"/>
  <c r="N334" i="29"/>
  <c r="M334" i="29"/>
  <c r="L334" i="29"/>
  <c r="K334" i="29"/>
  <c r="G334" i="29"/>
  <c r="J334" i="29"/>
  <c r="I334" i="29"/>
  <c r="F334" i="29"/>
  <c r="H334" i="29"/>
  <c r="U338" i="29"/>
  <c r="V338" i="29"/>
  <c r="T338" i="29"/>
  <c r="S338" i="29"/>
  <c r="R338" i="29"/>
  <c r="Q338" i="29"/>
  <c r="P338" i="29"/>
  <c r="O338" i="29"/>
  <c r="N338" i="29"/>
  <c r="M338" i="29"/>
  <c r="L338" i="29"/>
  <c r="K338" i="29"/>
  <c r="G338" i="29"/>
  <c r="J338" i="29"/>
  <c r="I338" i="29"/>
  <c r="F338" i="29"/>
  <c r="H338" i="29"/>
  <c r="V342" i="29"/>
  <c r="U342" i="29"/>
  <c r="T342" i="29"/>
  <c r="S342" i="29"/>
  <c r="R342" i="29"/>
  <c r="Q342" i="29"/>
  <c r="P342" i="29"/>
  <c r="O342" i="29"/>
  <c r="N342" i="29"/>
  <c r="M342" i="29"/>
  <c r="L342" i="29"/>
  <c r="K342" i="29"/>
  <c r="G342" i="29"/>
  <c r="J342" i="29"/>
  <c r="I342" i="29"/>
  <c r="H342" i="29"/>
  <c r="F342" i="29"/>
  <c r="V346" i="29"/>
  <c r="U346" i="29"/>
  <c r="T346" i="29"/>
  <c r="S346" i="29"/>
  <c r="R346" i="29"/>
  <c r="Q346" i="29"/>
  <c r="P346" i="29"/>
  <c r="O346" i="29"/>
  <c r="N346" i="29"/>
  <c r="M346" i="29"/>
  <c r="L346" i="29"/>
  <c r="K346" i="29"/>
  <c r="G346" i="29"/>
  <c r="J346" i="29"/>
  <c r="I346" i="29"/>
  <c r="F346" i="29"/>
  <c r="H346" i="29"/>
  <c r="V350" i="29"/>
  <c r="U350" i="29"/>
  <c r="T350" i="29"/>
  <c r="S350" i="29"/>
  <c r="R350" i="29"/>
  <c r="Q350" i="29"/>
  <c r="P350" i="29"/>
  <c r="O350" i="29"/>
  <c r="N350" i="29"/>
  <c r="M350" i="29"/>
  <c r="L350" i="29"/>
  <c r="K350" i="29"/>
  <c r="G350" i="29"/>
  <c r="J350" i="29"/>
  <c r="I350" i="29"/>
  <c r="F350" i="29"/>
  <c r="H350" i="29"/>
  <c r="V354" i="29"/>
  <c r="U354" i="29"/>
  <c r="T354" i="29"/>
  <c r="S354" i="29"/>
  <c r="R354" i="29"/>
  <c r="Q354" i="29"/>
  <c r="P354" i="29"/>
  <c r="O354" i="29"/>
  <c r="N354" i="29"/>
  <c r="M354" i="29"/>
  <c r="L354" i="29"/>
  <c r="K354" i="29"/>
  <c r="G354" i="29"/>
  <c r="J354" i="29"/>
  <c r="I354" i="29"/>
  <c r="F354" i="29"/>
  <c r="H354" i="29"/>
  <c r="V358" i="29"/>
  <c r="U358" i="29"/>
  <c r="T358" i="29"/>
  <c r="S358" i="29"/>
  <c r="R358" i="29"/>
  <c r="Q358" i="29"/>
  <c r="P358" i="29"/>
  <c r="O358" i="29"/>
  <c r="N358" i="29"/>
  <c r="M358" i="29"/>
  <c r="L358" i="29"/>
  <c r="K358" i="29"/>
  <c r="G358" i="29"/>
  <c r="J358" i="29"/>
  <c r="I358" i="29"/>
  <c r="H358" i="29"/>
  <c r="F358" i="29"/>
  <c r="V362" i="29"/>
  <c r="U362" i="29"/>
  <c r="T362" i="29"/>
  <c r="S362" i="29"/>
  <c r="R362" i="29"/>
  <c r="Q362" i="29"/>
  <c r="P362" i="29"/>
  <c r="O362" i="29"/>
  <c r="N362" i="29"/>
  <c r="M362" i="29"/>
  <c r="L362" i="29"/>
  <c r="K362" i="29"/>
  <c r="G362" i="29"/>
  <c r="J362" i="29"/>
  <c r="I362" i="29"/>
  <c r="F362" i="29"/>
  <c r="H362" i="29"/>
  <c r="V366" i="29"/>
  <c r="U366" i="29"/>
  <c r="T366" i="29"/>
  <c r="S366" i="29"/>
  <c r="R366" i="29"/>
  <c r="Q366" i="29"/>
  <c r="P366" i="29"/>
  <c r="O366" i="29"/>
  <c r="N366" i="29"/>
  <c r="M366" i="29"/>
  <c r="L366" i="29"/>
  <c r="K366" i="29"/>
  <c r="G366" i="29"/>
  <c r="J366" i="29"/>
  <c r="I366" i="29"/>
  <c r="F366" i="29"/>
  <c r="H366" i="29"/>
  <c r="V370" i="29"/>
  <c r="U370" i="29"/>
  <c r="T370" i="29"/>
  <c r="S370" i="29"/>
  <c r="R370" i="29"/>
  <c r="Q370" i="29"/>
  <c r="P370" i="29"/>
  <c r="O370" i="29"/>
  <c r="N370" i="29"/>
  <c r="M370" i="29"/>
  <c r="L370" i="29"/>
  <c r="K370" i="29"/>
  <c r="G370" i="29"/>
  <c r="J370" i="29"/>
  <c r="I370" i="29"/>
  <c r="F370" i="29"/>
  <c r="H370" i="29"/>
  <c r="V374" i="29"/>
  <c r="U374" i="29"/>
  <c r="T374" i="29"/>
  <c r="S374" i="29"/>
  <c r="R374" i="29"/>
  <c r="Q374" i="29"/>
  <c r="P374" i="29"/>
  <c r="O374" i="29"/>
  <c r="N374" i="29"/>
  <c r="M374" i="29"/>
  <c r="L374" i="29"/>
  <c r="K374" i="29"/>
  <c r="G374" i="29"/>
  <c r="J374" i="29"/>
  <c r="I374" i="29"/>
  <c r="H374" i="29"/>
  <c r="F374" i="29"/>
  <c r="V378" i="29"/>
  <c r="U378" i="29"/>
  <c r="T378" i="29"/>
  <c r="S378" i="29"/>
  <c r="R378" i="29"/>
  <c r="Q378" i="29"/>
  <c r="P378" i="29"/>
  <c r="O378" i="29"/>
  <c r="N378" i="29"/>
  <c r="M378" i="29"/>
  <c r="L378" i="29"/>
  <c r="K378" i="29"/>
  <c r="G378" i="29"/>
  <c r="J378" i="29"/>
  <c r="I378" i="29"/>
  <c r="F378" i="29"/>
  <c r="H378" i="29"/>
  <c r="V382" i="29"/>
  <c r="U382" i="29"/>
  <c r="T382" i="29"/>
  <c r="S382" i="29"/>
  <c r="R382" i="29"/>
  <c r="Q382" i="29"/>
  <c r="P382" i="29"/>
  <c r="O382" i="29"/>
  <c r="N382" i="29"/>
  <c r="M382" i="29"/>
  <c r="L382" i="29"/>
  <c r="K382" i="29"/>
  <c r="G382" i="29"/>
  <c r="J382" i="29"/>
  <c r="I382" i="29"/>
  <c r="F382" i="29"/>
  <c r="H382" i="29"/>
  <c r="V386" i="29"/>
  <c r="U386" i="29"/>
  <c r="T386" i="29"/>
  <c r="S386" i="29"/>
  <c r="R386" i="29"/>
  <c r="Q386" i="29"/>
  <c r="P386" i="29"/>
  <c r="O386" i="29"/>
  <c r="N386" i="29"/>
  <c r="M386" i="29"/>
  <c r="L386" i="29"/>
  <c r="K386" i="29"/>
  <c r="G386" i="29"/>
  <c r="J386" i="29"/>
  <c r="I386" i="29"/>
  <c r="F386" i="29"/>
  <c r="H386" i="29"/>
  <c r="V390" i="29"/>
  <c r="U390" i="29"/>
  <c r="T390" i="29"/>
  <c r="S390" i="29"/>
  <c r="R390" i="29"/>
  <c r="Q390" i="29"/>
  <c r="P390" i="29"/>
  <c r="O390" i="29"/>
  <c r="N390" i="29"/>
  <c r="M390" i="29"/>
  <c r="L390" i="29"/>
  <c r="K390" i="29"/>
  <c r="G390" i="29"/>
  <c r="J390" i="29"/>
  <c r="I390" i="29"/>
  <c r="H390" i="29"/>
  <c r="F390" i="29"/>
  <c r="V394" i="29"/>
  <c r="U394" i="29"/>
  <c r="T394" i="29"/>
  <c r="S394" i="29"/>
  <c r="R394" i="29"/>
  <c r="Q394" i="29"/>
  <c r="P394" i="29"/>
  <c r="O394" i="29"/>
  <c r="N394" i="29"/>
  <c r="M394" i="29"/>
  <c r="L394" i="29"/>
  <c r="K394" i="29"/>
  <c r="G394" i="29"/>
  <c r="J394" i="29"/>
  <c r="I394" i="29"/>
  <c r="F394" i="29"/>
  <c r="H394" i="29"/>
  <c r="V398" i="29"/>
  <c r="U398" i="29"/>
  <c r="T398" i="29"/>
  <c r="S398" i="29"/>
  <c r="R398" i="29"/>
  <c r="Q398" i="29"/>
  <c r="P398" i="29"/>
  <c r="O398" i="29"/>
  <c r="N398" i="29"/>
  <c r="M398" i="29"/>
  <c r="L398" i="29"/>
  <c r="K398" i="29"/>
  <c r="G398" i="29"/>
  <c r="J398" i="29"/>
  <c r="I398" i="29"/>
  <c r="F398" i="29"/>
  <c r="H398" i="29"/>
  <c r="V402" i="29"/>
  <c r="U402" i="29"/>
  <c r="T402" i="29"/>
  <c r="S402" i="29"/>
  <c r="R402" i="29"/>
  <c r="Q402" i="29"/>
  <c r="P402" i="29"/>
  <c r="O402" i="29"/>
  <c r="N402" i="29"/>
  <c r="M402" i="29"/>
  <c r="L402" i="29"/>
  <c r="K402" i="29"/>
  <c r="J402" i="29"/>
  <c r="I402" i="29"/>
  <c r="G402" i="29"/>
  <c r="F402" i="29"/>
  <c r="H402" i="29"/>
  <c r="V406" i="29"/>
  <c r="U406" i="29"/>
  <c r="T406" i="29"/>
  <c r="S406" i="29"/>
  <c r="R406" i="29"/>
  <c r="Q406" i="29"/>
  <c r="P406" i="29"/>
  <c r="O406" i="29"/>
  <c r="N406" i="29"/>
  <c r="M406" i="29"/>
  <c r="L406" i="29"/>
  <c r="K406" i="29"/>
  <c r="J406" i="29"/>
  <c r="I406" i="29"/>
  <c r="H406" i="29"/>
  <c r="G406" i="29"/>
  <c r="F406" i="29"/>
  <c r="V410" i="29"/>
  <c r="U410" i="29"/>
  <c r="T410" i="29"/>
  <c r="S410" i="29"/>
  <c r="R410" i="29"/>
  <c r="Q410" i="29"/>
  <c r="P410" i="29"/>
  <c r="O410" i="29"/>
  <c r="N410" i="29"/>
  <c r="M410" i="29"/>
  <c r="L410" i="29"/>
  <c r="K410" i="29"/>
  <c r="J410" i="29"/>
  <c r="I410" i="29"/>
  <c r="G410" i="29"/>
  <c r="F410" i="29"/>
  <c r="H410" i="29"/>
  <c r="V414" i="29"/>
  <c r="U414" i="29"/>
  <c r="T414" i="29"/>
  <c r="S414" i="29"/>
  <c r="R414" i="29"/>
  <c r="Q414" i="29"/>
  <c r="P414" i="29"/>
  <c r="O414" i="29"/>
  <c r="N414" i="29"/>
  <c r="M414" i="29"/>
  <c r="L414" i="29"/>
  <c r="K414" i="29"/>
  <c r="J414" i="29"/>
  <c r="I414" i="29"/>
  <c r="G414" i="29"/>
  <c r="F414" i="29"/>
  <c r="H414" i="29"/>
  <c r="V418" i="29"/>
  <c r="U418" i="29"/>
  <c r="T418" i="29"/>
  <c r="S418" i="29"/>
  <c r="R418" i="29"/>
  <c r="Q418" i="29"/>
  <c r="P418" i="29"/>
  <c r="O418" i="29"/>
  <c r="N418" i="29"/>
  <c r="M418" i="29"/>
  <c r="L418" i="29"/>
  <c r="K418" i="29"/>
  <c r="J418" i="29"/>
  <c r="I418" i="29"/>
  <c r="G418" i="29"/>
  <c r="F418" i="29"/>
  <c r="H418" i="29"/>
  <c r="V422" i="29"/>
  <c r="U422" i="29"/>
  <c r="T422" i="29"/>
  <c r="S422" i="29"/>
  <c r="R422" i="29"/>
  <c r="Q422" i="29"/>
  <c r="P422" i="29"/>
  <c r="O422" i="29"/>
  <c r="N422" i="29"/>
  <c r="M422" i="29"/>
  <c r="L422" i="29"/>
  <c r="K422" i="29"/>
  <c r="J422" i="29"/>
  <c r="I422" i="29"/>
  <c r="H422" i="29"/>
  <c r="G422" i="29"/>
  <c r="F422" i="29"/>
  <c r="V426" i="29"/>
  <c r="U426" i="29"/>
  <c r="T426" i="29"/>
  <c r="S426" i="29"/>
  <c r="R426" i="29"/>
  <c r="Q426" i="29"/>
  <c r="P426" i="29"/>
  <c r="O426" i="29"/>
  <c r="N426" i="29"/>
  <c r="M426" i="29"/>
  <c r="L426" i="29"/>
  <c r="K426" i="29"/>
  <c r="J426" i="29"/>
  <c r="I426" i="29"/>
  <c r="G426" i="29"/>
  <c r="F426" i="29"/>
  <c r="H426" i="29"/>
  <c r="V430" i="29"/>
  <c r="U430" i="29"/>
  <c r="T430" i="29"/>
  <c r="S430" i="29"/>
  <c r="R430" i="29"/>
  <c r="Q430" i="29"/>
  <c r="P430" i="29"/>
  <c r="O430" i="29"/>
  <c r="N430" i="29"/>
  <c r="M430" i="29"/>
  <c r="L430" i="29"/>
  <c r="K430" i="29"/>
  <c r="J430" i="29"/>
  <c r="I430" i="29"/>
  <c r="G430" i="29"/>
  <c r="F430" i="29"/>
  <c r="H430" i="29"/>
  <c r="V434" i="29"/>
  <c r="U434" i="29"/>
  <c r="T434" i="29"/>
  <c r="S434" i="29"/>
  <c r="R434" i="29"/>
  <c r="Q434" i="29"/>
  <c r="P434" i="29"/>
  <c r="O434" i="29"/>
  <c r="N434" i="29"/>
  <c r="M434" i="29"/>
  <c r="L434" i="29"/>
  <c r="K434" i="29"/>
  <c r="J434" i="29"/>
  <c r="I434" i="29"/>
  <c r="G434" i="29"/>
  <c r="F434" i="29"/>
  <c r="H434" i="29"/>
  <c r="V438" i="29"/>
  <c r="U438" i="29"/>
  <c r="T438" i="29"/>
  <c r="S438" i="29"/>
  <c r="R438" i="29"/>
  <c r="Q438" i="29"/>
  <c r="P438" i="29"/>
  <c r="O438" i="29"/>
  <c r="N438" i="29"/>
  <c r="M438" i="29"/>
  <c r="L438" i="29"/>
  <c r="K438" i="29"/>
  <c r="J438" i="29"/>
  <c r="I438" i="29"/>
  <c r="H438" i="29"/>
  <c r="G438" i="29"/>
  <c r="F438" i="29"/>
  <c r="V442" i="29"/>
  <c r="U442" i="29"/>
  <c r="T442" i="29"/>
  <c r="S442" i="29"/>
  <c r="R442" i="29"/>
  <c r="Q442" i="29"/>
  <c r="P442" i="29"/>
  <c r="O442" i="29"/>
  <c r="N442" i="29"/>
  <c r="M442" i="29"/>
  <c r="L442" i="29"/>
  <c r="K442" i="29"/>
  <c r="J442" i="29"/>
  <c r="I442" i="29"/>
  <c r="G442" i="29"/>
  <c r="F442" i="29"/>
  <c r="H442" i="29"/>
  <c r="V446" i="29"/>
  <c r="U446" i="29"/>
  <c r="T446" i="29"/>
  <c r="S446" i="29"/>
  <c r="R446" i="29"/>
  <c r="Q446" i="29"/>
  <c r="P446" i="29"/>
  <c r="O446" i="29"/>
  <c r="N446" i="29"/>
  <c r="M446" i="29"/>
  <c r="L446" i="29"/>
  <c r="K446" i="29"/>
  <c r="J446" i="29"/>
  <c r="I446" i="29"/>
  <c r="G446" i="29"/>
  <c r="F446" i="29"/>
  <c r="H446" i="29"/>
  <c r="V450" i="29"/>
  <c r="U450" i="29"/>
  <c r="T450" i="29"/>
  <c r="S450" i="29"/>
  <c r="R450" i="29"/>
  <c r="Q450" i="29"/>
  <c r="P450" i="29"/>
  <c r="O450" i="29"/>
  <c r="N450" i="29"/>
  <c r="M450" i="29"/>
  <c r="L450" i="29"/>
  <c r="K450" i="29"/>
  <c r="J450" i="29"/>
  <c r="I450" i="29"/>
  <c r="G450" i="29"/>
  <c r="F450" i="29"/>
  <c r="H450" i="29"/>
  <c r="V454" i="29"/>
  <c r="U454" i="29"/>
  <c r="T454" i="29"/>
  <c r="S454" i="29"/>
  <c r="R454" i="29"/>
  <c r="Q454" i="29"/>
  <c r="P454" i="29"/>
  <c r="O454" i="29"/>
  <c r="N454" i="29"/>
  <c r="M454" i="29"/>
  <c r="L454" i="29"/>
  <c r="K454" i="29"/>
  <c r="J454" i="29"/>
  <c r="I454" i="29"/>
  <c r="H454" i="29"/>
  <c r="G454" i="29"/>
  <c r="F454" i="29"/>
  <c r="V458" i="29"/>
  <c r="U458" i="29"/>
  <c r="T458" i="29"/>
  <c r="S458" i="29"/>
  <c r="R458" i="29"/>
  <c r="Q458" i="29"/>
  <c r="P458" i="29"/>
  <c r="O458" i="29"/>
  <c r="N458" i="29"/>
  <c r="M458" i="29"/>
  <c r="L458" i="29"/>
  <c r="K458" i="29"/>
  <c r="J458" i="29"/>
  <c r="I458" i="29"/>
  <c r="G458" i="29"/>
  <c r="F458" i="29"/>
  <c r="H458" i="29"/>
  <c r="V462" i="29"/>
  <c r="U462" i="29"/>
  <c r="T462" i="29"/>
  <c r="S462" i="29"/>
  <c r="R462" i="29"/>
  <c r="Q462" i="29"/>
  <c r="P462" i="29"/>
  <c r="O462" i="29"/>
  <c r="N462" i="29"/>
  <c r="M462" i="29"/>
  <c r="L462" i="29"/>
  <c r="K462" i="29"/>
  <c r="J462" i="29"/>
  <c r="I462" i="29"/>
  <c r="G462" i="29"/>
  <c r="F462" i="29"/>
  <c r="H462" i="29"/>
  <c r="V466" i="29"/>
  <c r="U466" i="29"/>
  <c r="T466" i="29"/>
  <c r="S466" i="29"/>
  <c r="R466" i="29"/>
  <c r="Q466" i="29"/>
  <c r="P466" i="29"/>
  <c r="O466" i="29"/>
  <c r="N466" i="29"/>
  <c r="M466" i="29"/>
  <c r="L466" i="29"/>
  <c r="K466" i="29"/>
  <c r="J466" i="29"/>
  <c r="I466" i="29"/>
  <c r="G466" i="29"/>
  <c r="F466" i="29"/>
  <c r="H466" i="29"/>
  <c r="V470" i="29"/>
  <c r="U470" i="29"/>
  <c r="T470" i="29"/>
  <c r="S470" i="29"/>
  <c r="R470" i="29"/>
  <c r="Q470" i="29"/>
  <c r="P470" i="29"/>
  <c r="O470" i="29"/>
  <c r="N470" i="29"/>
  <c r="M470" i="29"/>
  <c r="L470" i="29"/>
  <c r="K470" i="29"/>
  <c r="J470" i="29"/>
  <c r="I470" i="29"/>
  <c r="H470" i="29"/>
  <c r="G470" i="29"/>
  <c r="F470" i="29"/>
  <c r="V474" i="29"/>
  <c r="U474" i="29"/>
  <c r="T474" i="29"/>
  <c r="S474" i="29"/>
  <c r="R474" i="29"/>
  <c r="Q474" i="29"/>
  <c r="P474" i="29"/>
  <c r="O474" i="29"/>
  <c r="N474" i="29"/>
  <c r="M474" i="29"/>
  <c r="L474" i="29"/>
  <c r="K474" i="29"/>
  <c r="J474" i="29"/>
  <c r="I474" i="29"/>
  <c r="G474" i="29"/>
  <c r="F474" i="29"/>
  <c r="H474" i="29"/>
  <c r="V479" i="29"/>
  <c r="U479" i="29"/>
  <c r="T479" i="29"/>
  <c r="S479" i="29"/>
  <c r="Q479" i="29"/>
  <c r="R479" i="29"/>
  <c r="P479" i="29"/>
  <c r="O479" i="29"/>
  <c r="N479" i="29"/>
  <c r="M479" i="29"/>
  <c r="K479" i="29"/>
  <c r="L479" i="29"/>
  <c r="J479" i="29"/>
  <c r="I479" i="29"/>
  <c r="H479" i="29"/>
  <c r="G479" i="29"/>
  <c r="F479" i="29"/>
  <c r="V482" i="29"/>
  <c r="U482" i="29"/>
  <c r="T482" i="29"/>
  <c r="S482" i="29"/>
  <c r="R482" i="29"/>
  <c r="Q482" i="29"/>
  <c r="P482" i="29"/>
  <c r="O482" i="29"/>
  <c r="N482" i="29"/>
  <c r="M482" i="29"/>
  <c r="L482" i="29"/>
  <c r="K482" i="29"/>
  <c r="J482" i="29"/>
  <c r="I482" i="29"/>
  <c r="G482" i="29"/>
  <c r="F482" i="29"/>
  <c r="H482" i="29"/>
  <c r="V486" i="29"/>
  <c r="U486" i="29"/>
  <c r="T486" i="29"/>
  <c r="S486" i="29"/>
  <c r="R486" i="29"/>
  <c r="Q486" i="29"/>
  <c r="P486" i="29"/>
  <c r="O486" i="29"/>
  <c r="N486" i="29"/>
  <c r="M486" i="29"/>
  <c r="L486" i="29"/>
  <c r="K486" i="29"/>
  <c r="J486" i="29"/>
  <c r="I486" i="29"/>
  <c r="H486" i="29"/>
  <c r="G486" i="29"/>
  <c r="F486" i="29"/>
  <c r="V490" i="29"/>
  <c r="U490" i="29"/>
  <c r="T490" i="29"/>
  <c r="S490" i="29"/>
  <c r="R490" i="29"/>
  <c r="Q490" i="29"/>
  <c r="P490" i="29"/>
  <c r="O490" i="29"/>
  <c r="N490" i="29"/>
  <c r="M490" i="29"/>
  <c r="L490" i="29"/>
  <c r="K490" i="29"/>
  <c r="J490" i="29"/>
  <c r="I490" i="29"/>
  <c r="G490" i="29"/>
  <c r="F490" i="29"/>
  <c r="H490" i="29"/>
  <c r="V494" i="29"/>
  <c r="U494" i="29"/>
  <c r="T494" i="29"/>
  <c r="S494" i="29"/>
  <c r="R494" i="29"/>
  <c r="Q494" i="29"/>
  <c r="P494" i="29"/>
  <c r="O494" i="29"/>
  <c r="N494" i="29"/>
  <c r="M494" i="29"/>
  <c r="L494" i="29"/>
  <c r="K494" i="29"/>
  <c r="J494" i="29"/>
  <c r="I494" i="29"/>
  <c r="G494" i="29"/>
  <c r="F494" i="29"/>
  <c r="H494" i="29"/>
  <c r="V498" i="29"/>
  <c r="U498" i="29"/>
  <c r="T498" i="29"/>
  <c r="S498" i="29"/>
  <c r="R498" i="29"/>
  <c r="Q498" i="29"/>
  <c r="P498" i="29"/>
  <c r="O498" i="29"/>
  <c r="N498" i="29"/>
  <c r="M498" i="29"/>
  <c r="L498" i="29"/>
  <c r="K498" i="29"/>
  <c r="J498" i="29"/>
  <c r="I498" i="29"/>
  <c r="G498" i="29"/>
  <c r="F498" i="29"/>
  <c r="H498" i="29"/>
  <c r="V502" i="29"/>
  <c r="U502" i="29"/>
  <c r="T502" i="29"/>
  <c r="S502" i="29"/>
  <c r="R502" i="29"/>
  <c r="Q502" i="29"/>
  <c r="P502" i="29"/>
  <c r="O502" i="29"/>
  <c r="N502" i="29"/>
  <c r="M502" i="29"/>
  <c r="L502" i="29"/>
  <c r="K502" i="29"/>
  <c r="J502" i="29"/>
  <c r="I502" i="29"/>
  <c r="H502" i="29"/>
  <c r="G502" i="29"/>
  <c r="F502" i="29"/>
  <c r="V506" i="29"/>
  <c r="U506" i="29"/>
  <c r="T506" i="29"/>
  <c r="S506" i="29"/>
  <c r="R506" i="29"/>
  <c r="Q506" i="29"/>
  <c r="P506" i="29"/>
  <c r="O506" i="29"/>
  <c r="N506" i="29"/>
  <c r="M506" i="29"/>
  <c r="L506" i="29"/>
  <c r="K506" i="29"/>
  <c r="J506" i="29"/>
  <c r="I506" i="29"/>
  <c r="G506" i="29"/>
  <c r="F506" i="29"/>
  <c r="H506" i="29"/>
  <c r="V510" i="29"/>
  <c r="U510" i="29"/>
  <c r="T510" i="29"/>
  <c r="S510" i="29"/>
  <c r="R510" i="29"/>
  <c r="Q510" i="29"/>
  <c r="P510" i="29"/>
  <c r="O510" i="29"/>
  <c r="N510" i="29"/>
  <c r="M510" i="29"/>
  <c r="L510" i="29"/>
  <c r="K510" i="29"/>
  <c r="J510" i="29"/>
  <c r="I510" i="29"/>
  <c r="G510" i="29"/>
  <c r="F510" i="29"/>
  <c r="H510" i="29"/>
  <c r="V514" i="29"/>
  <c r="U514" i="29"/>
  <c r="T514" i="29"/>
  <c r="S514" i="29"/>
  <c r="R514" i="29"/>
  <c r="Q514" i="29"/>
  <c r="P514" i="29"/>
  <c r="O514" i="29"/>
  <c r="N514" i="29"/>
  <c r="M514" i="29"/>
  <c r="L514" i="29"/>
  <c r="K514" i="29"/>
  <c r="J514" i="29"/>
  <c r="I514" i="29"/>
  <c r="G514" i="29"/>
  <c r="F514" i="29"/>
  <c r="H514" i="29"/>
  <c r="V518" i="29"/>
  <c r="U518" i="29"/>
  <c r="T518" i="29"/>
  <c r="S518" i="29"/>
  <c r="R518" i="29"/>
  <c r="Q518" i="29"/>
  <c r="P518" i="29"/>
  <c r="O518" i="29"/>
  <c r="N518" i="29"/>
  <c r="M518" i="29"/>
  <c r="L518" i="29"/>
  <c r="K518" i="29"/>
  <c r="J518" i="29"/>
  <c r="I518" i="29"/>
  <c r="H518" i="29"/>
  <c r="G518" i="29"/>
  <c r="F518" i="29"/>
  <c r="V522" i="29"/>
  <c r="U522" i="29"/>
  <c r="T522" i="29"/>
  <c r="S522" i="29"/>
  <c r="R522" i="29"/>
  <c r="Q522" i="29"/>
  <c r="P522" i="29"/>
  <c r="O522" i="29"/>
  <c r="N522" i="29"/>
  <c r="M522" i="29"/>
  <c r="L522" i="29"/>
  <c r="K522" i="29"/>
  <c r="J522" i="29"/>
  <c r="I522" i="29"/>
  <c r="G522" i="29"/>
  <c r="F522" i="29"/>
  <c r="H522" i="29"/>
  <c r="V526" i="29"/>
  <c r="U526" i="29"/>
  <c r="T526" i="29"/>
  <c r="S526" i="29"/>
  <c r="R526" i="29"/>
  <c r="Q526" i="29"/>
  <c r="P526" i="29"/>
  <c r="O526" i="29"/>
  <c r="N526" i="29"/>
  <c r="M526" i="29"/>
  <c r="L526" i="29"/>
  <c r="K526" i="29"/>
  <c r="J526" i="29"/>
  <c r="I526" i="29"/>
  <c r="G526" i="29"/>
  <c r="F526" i="29"/>
  <c r="H526" i="29"/>
  <c r="V530" i="29"/>
  <c r="U530" i="29"/>
  <c r="T530" i="29"/>
  <c r="S530" i="29"/>
  <c r="R530" i="29"/>
  <c r="Q530" i="29"/>
  <c r="P530" i="29"/>
  <c r="O530" i="29"/>
  <c r="N530" i="29"/>
  <c r="M530" i="29"/>
  <c r="L530" i="29"/>
  <c r="K530" i="29"/>
  <c r="J530" i="29"/>
  <c r="I530" i="29"/>
  <c r="G530" i="29"/>
  <c r="F530" i="29"/>
  <c r="H530" i="29"/>
  <c r="V534" i="29"/>
  <c r="U534" i="29"/>
  <c r="T534" i="29"/>
  <c r="S534" i="29"/>
  <c r="R534" i="29"/>
  <c r="Q534" i="29"/>
  <c r="P534" i="29"/>
  <c r="O534" i="29"/>
  <c r="N534" i="29"/>
  <c r="M534" i="29"/>
  <c r="L534" i="29"/>
  <c r="K534" i="29"/>
  <c r="J534" i="29"/>
  <c r="I534" i="29"/>
  <c r="H534" i="29"/>
  <c r="G534" i="29"/>
  <c r="F534" i="29"/>
  <c r="V538" i="29"/>
  <c r="U538" i="29"/>
  <c r="T538" i="29"/>
  <c r="S538" i="29"/>
  <c r="R538" i="29"/>
  <c r="P538" i="29"/>
  <c r="Q538" i="29"/>
  <c r="O538" i="29"/>
  <c r="N538" i="29"/>
  <c r="M538" i="29"/>
  <c r="L538" i="29"/>
  <c r="K538" i="29"/>
  <c r="J538" i="29"/>
  <c r="I538" i="29"/>
  <c r="G538" i="29"/>
  <c r="F538" i="29"/>
  <c r="H538" i="29"/>
  <c r="V607" i="29"/>
  <c r="U607" i="29"/>
  <c r="T607" i="29"/>
  <c r="S607" i="29"/>
  <c r="R607" i="29"/>
  <c r="Q607" i="29"/>
  <c r="P607" i="29"/>
  <c r="O607" i="29"/>
  <c r="N607" i="29"/>
  <c r="M607" i="29"/>
  <c r="L607" i="29"/>
  <c r="K607" i="29"/>
  <c r="J607" i="29"/>
  <c r="I607" i="29"/>
  <c r="H607" i="29"/>
  <c r="G607" i="29"/>
  <c r="F607" i="29"/>
  <c r="V611" i="29"/>
  <c r="U611" i="29"/>
  <c r="T611" i="29"/>
  <c r="Q611" i="29"/>
  <c r="S611" i="29"/>
  <c r="P611" i="29"/>
  <c r="R611" i="29"/>
  <c r="O611" i="29"/>
  <c r="N611" i="29"/>
  <c r="M611" i="29"/>
  <c r="L611" i="29"/>
  <c r="K611" i="29"/>
  <c r="J611" i="29"/>
  <c r="I611" i="29"/>
  <c r="H611" i="29"/>
  <c r="G611" i="29"/>
  <c r="F611" i="29"/>
  <c r="V615" i="29"/>
  <c r="U615" i="29"/>
  <c r="S615" i="29"/>
  <c r="T615" i="29"/>
  <c r="R615" i="29"/>
  <c r="Q615" i="29"/>
  <c r="P615" i="29"/>
  <c r="O615" i="29"/>
  <c r="N615" i="29"/>
  <c r="M615" i="29"/>
  <c r="L615" i="29"/>
  <c r="K615" i="29"/>
  <c r="J615" i="29"/>
  <c r="I615" i="29"/>
  <c r="H615" i="29"/>
  <c r="G615" i="29"/>
  <c r="F615" i="29"/>
  <c r="V619" i="29"/>
  <c r="U619" i="29"/>
  <c r="S619" i="29"/>
  <c r="Q619" i="29"/>
  <c r="T619" i="29"/>
  <c r="R619" i="29"/>
  <c r="P619" i="29"/>
  <c r="O619" i="29"/>
  <c r="N619" i="29"/>
  <c r="M619" i="29"/>
  <c r="L619" i="29"/>
  <c r="K619" i="29"/>
  <c r="J619" i="29"/>
  <c r="I619" i="29"/>
  <c r="H619" i="29"/>
  <c r="G619" i="29"/>
  <c r="F619" i="29"/>
  <c r="V623" i="29"/>
  <c r="U623" i="29"/>
  <c r="T623" i="29"/>
  <c r="S623" i="29"/>
  <c r="R623" i="29"/>
  <c r="Q623" i="29"/>
  <c r="P623" i="29"/>
  <c r="O623" i="29"/>
  <c r="N623" i="29"/>
  <c r="M623" i="29"/>
  <c r="L623" i="29"/>
  <c r="K623" i="29"/>
  <c r="J623" i="29"/>
  <c r="I623" i="29"/>
  <c r="H623" i="29"/>
  <c r="G623" i="29"/>
  <c r="F623" i="29"/>
  <c r="V627" i="29"/>
  <c r="U627" i="29"/>
  <c r="T627" i="29"/>
  <c r="S627" i="29"/>
  <c r="Q627" i="29"/>
  <c r="R627" i="29"/>
  <c r="P627" i="29"/>
  <c r="O627" i="29"/>
  <c r="N627" i="29"/>
  <c r="M627" i="29"/>
  <c r="L627" i="29"/>
  <c r="K627" i="29"/>
  <c r="J627" i="29"/>
  <c r="I627" i="29"/>
  <c r="H627" i="29"/>
  <c r="G627" i="29"/>
  <c r="F627" i="29"/>
  <c r="V311" i="29"/>
  <c r="U311" i="29"/>
  <c r="T311" i="29"/>
  <c r="S311" i="29"/>
  <c r="R311" i="29"/>
  <c r="Q311" i="29"/>
  <c r="P311" i="29"/>
  <c r="O311" i="29"/>
  <c r="N311" i="29"/>
  <c r="M311" i="29"/>
  <c r="L311" i="29"/>
  <c r="K311" i="29"/>
  <c r="J311" i="29"/>
  <c r="I311" i="29"/>
  <c r="H311" i="29"/>
  <c r="F311" i="29"/>
  <c r="G311" i="29"/>
  <c r="V323" i="29"/>
  <c r="U323" i="29"/>
  <c r="T323" i="29"/>
  <c r="S323" i="29"/>
  <c r="Q323" i="29"/>
  <c r="R323" i="29"/>
  <c r="P323" i="29"/>
  <c r="O323" i="29"/>
  <c r="N323" i="29"/>
  <c r="M323" i="29"/>
  <c r="L323" i="29"/>
  <c r="K323" i="29"/>
  <c r="J323" i="29"/>
  <c r="I323" i="29"/>
  <c r="H323" i="29"/>
  <c r="G323" i="29"/>
  <c r="F323" i="29"/>
  <c r="V335" i="29"/>
  <c r="U335" i="29"/>
  <c r="T335" i="29"/>
  <c r="S335" i="29"/>
  <c r="Q335" i="29"/>
  <c r="R335" i="29"/>
  <c r="P335" i="29"/>
  <c r="O335" i="29"/>
  <c r="N335" i="29"/>
  <c r="M335" i="29"/>
  <c r="L335" i="29"/>
  <c r="K335" i="29"/>
  <c r="J335" i="29"/>
  <c r="I335" i="29"/>
  <c r="H335" i="29"/>
  <c r="F335" i="29"/>
  <c r="G335" i="29"/>
  <c r="V347" i="29"/>
  <c r="U347" i="29"/>
  <c r="T347" i="29"/>
  <c r="S347" i="29"/>
  <c r="R347" i="29"/>
  <c r="Q347" i="29"/>
  <c r="P347" i="29"/>
  <c r="O347" i="29"/>
  <c r="N347" i="29"/>
  <c r="M347" i="29"/>
  <c r="L347" i="29"/>
  <c r="K347" i="29"/>
  <c r="J347" i="29"/>
  <c r="I347" i="29"/>
  <c r="H347" i="29"/>
  <c r="G347" i="29"/>
  <c r="F347" i="29"/>
  <c r="V359" i="29"/>
  <c r="U359" i="29"/>
  <c r="T359" i="29"/>
  <c r="S359" i="29"/>
  <c r="R359" i="29"/>
  <c r="Q359" i="29"/>
  <c r="P359" i="29"/>
  <c r="O359" i="29"/>
  <c r="N359" i="29"/>
  <c r="M359" i="29"/>
  <c r="L359" i="29"/>
  <c r="K359" i="29"/>
  <c r="J359" i="29"/>
  <c r="I359" i="29"/>
  <c r="H359" i="29"/>
  <c r="F359" i="29"/>
  <c r="G359" i="29"/>
  <c r="V367" i="29"/>
  <c r="U367" i="29"/>
  <c r="T367" i="29"/>
  <c r="S367" i="29"/>
  <c r="Q367" i="29"/>
  <c r="R367" i="29"/>
  <c r="P367" i="29"/>
  <c r="O367" i="29"/>
  <c r="N367" i="29"/>
  <c r="M367" i="29"/>
  <c r="L367" i="29"/>
  <c r="K367" i="29"/>
  <c r="J367" i="29"/>
  <c r="I367" i="29"/>
  <c r="H367" i="29"/>
  <c r="F367" i="29"/>
  <c r="G367" i="29"/>
  <c r="V375" i="29"/>
  <c r="U375" i="29"/>
  <c r="T375" i="29"/>
  <c r="S375" i="29"/>
  <c r="R375" i="29"/>
  <c r="Q375" i="29"/>
  <c r="P375" i="29"/>
  <c r="O375" i="29"/>
  <c r="N375" i="29"/>
  <c r="M375" i="29"/>
  <c r="L375" i="29"/>
  <c r="K375" i="29"/>
  <c r="J375" i="29"/>
  <c r="I375" i="29"/>
  <c r="H375" i="29"/>
  <c r="F375" i="29"/>
  <c r="G375" i="29"/>
  <c r="V379" i="29"/>
  <c r="U379" i="29"/>
  <c r="S379" i="29"/>
  <c r="T379" i="29"/>
  <c r="R379" i="29"/>
  <c r="P379" i="29"/>
  <c r="Q379" i="29"/>
  <c r="O379" i="29"/>
  <c r="N379" i="29"/>
  <c r="M379" i="29"/>
  <c r="L379" i="29"/>
  <c r="K379" i="29"/>
  <c r="J379" i="29"/>
  <c r="I379" i="29"/>
  <c r="H379" i="29"/>
  <c r="G379" i="29"/>
  <c r="F379" i="29"/>
  <c r="V383" i="29"/>
  <c r="U383" i="29"/>
  <c r="T383" i="29"/>
  <c r="S383" i="29"/>
  <c r="Q383" i="29"/>
  <c r="R383" i="29"/>
  <c r="P383" i="29"/>
  <c r="O383" i="29"/>
  <c r="N383" i="29"/>
  <c r="M383" i="29"/>
  <c r="L383" i="29"/>
  <c r="K383" i="29"/>
  <c r="J383" i="29"/>
  <c r="I383" i="29"/>
  <c r="H383" i="29"/>
  <c r="F383" i="29"/>
  <c r="G383" i="29"/>
  <c r="V387" i="29"/>
  <c r="U387" i="29"/>
  <c r="T387" i="29"/>
  <c r="S387" i="29"/>
  <c r="Q387" i="29"/>
  <c r="R387" i="29"/>
  <c r="P387" i="29"/>
  <c r="O387" i="29"/>
  <c r="N387" i="29"/>
  <c r="M387" i="29"/>
  <c r="L387" i="29"/>
  <c r="K387" i="29"/>
  <c r="J387" i="29"/>
  <c r="I387" i="29"/>
  <c r="H387" i="29"/>
  <c r="G387" i="29"/>
  <c r="F387" i="29"/>
  <c r="V391" i="29"/>
  <c r="U391" i="29"/>
  <c r="T391" i="29"/>
  <c r="S391" i="29"/>
  <c r="R391" i="29"/>
  <c r="Q391" i="29"/>
  <c r="P391" i="29"/>
  <c r="O391" i="29"/>
  <c r="N391" i="29"/>
  <c r="M391" i="29"/>
  <c r="L391" i="29"/>
  <c r="K391" i="29"/>
  <c r="J391" i="29"/>
  <c r="I391" i="29"/>
  <c r="H391" i="29"/>
  <c r="F391" i="29"/>
  <c r="G391" i="29"/>
  <c r="V395" i="29"/>
  <c r="U395" i="29"/>
  <c r="S395" i="29"/>
  <c r="T395" i="29"/>
  <c r="R395" i="29"/>
  <c r="Q395" i="29"/>
  <c r="P395" i="29"/>
  <c r="O395" i="29"/>
  <c r="N395" i="29"/>
  <c r="M395" i="29"/>
  <c r="L395" i="29"/>
  <c r="K395" i="29"/>
  <c r="J395" i="29"/>
  <c r="I395" i="29"/>
  <c r="H395" i="29"/>
  <c r="G395" i="29"/>
  <c r="F395" i="29"/>
  <c r="V399" i="29"/>
  <c r="U399" i="29"/>
  <c r="T399" i="29"/>
  <c r="S399" i="29"/>
  <c r="Q399" i="29"/>
  <c r="R399" i="29"/>
  <c r="P399" i="29"/>
  <c r="O399" i="29"/>
  <c r="N399" i="29"/>
  <c r="M399" i="29"/>
  <c r="L399" i="29"/>
  <c r="K399" i="29"/>
  <c r="J399" i="29"/>
  <c r="I399" i="29"/>
  <c r="H399" i="29"/>
  <c r="F399" i="29"/>
  <c r="G399" i="29"/>
  <c r="V403" i="29"/>
  <c r="U403" i="29"/>
  <c r="T403" i="29"/>
  <c r="Q403" i="29"/>
  <c r="S403" i="29"/>
  <c r="R403" i="29"/>
  <c r="P403" i="29"/>
  <c r="O403" i="29"/>
  <c r="N403" i="29"/>
  <c r="M403" i="29"/>
  <c r="L403" i="29"/>
  <c r="K403" i="29"/>
  <c r="J403" i="29"/>
  <c r="I403" i="29"/>
  <c r="H403" i="29"/>
  <c r="G403" i="29"/>
  <c r="F403" i="29"/>
  <c r="V407" i="29"/>
  <c r="U407" i="29"/>
  <c r="T407" i="29"/>
  <c r="S407" i="29"/>
  <c r="R407" i="29"/>
  <c r="Q407" i="29"/>
  <c r="P407" i="29"/>
  <c r="O407" i="29"/>
  <c r="N407" i="29"/>
  <c r="M407" i="29"/>
  <c r="L407" i="29"/>
  <c r="K407" i="29"/>
  <c r="J407" i="29"/>
  <c r="I407" i="29"/>
  <c r="H407" i="29"/>
  <c r="G407" i="29"/>
  <c r="F407" i="29"/>
  <c r="V411" i="29"/>
  <c r="U411" i="29"/>
  <c r="T411" i="29"/>
  <c r="S411" i="29"/>
  <c r="R411" i="29"/>
  <c r="Q411" i="29"/>
  <c r="P411" i="29"/>
  <c r="O411" i="29"/>
  <c r="N411" i="29"/>
  <c r="M411" i="29"/>
  <c r="L411" i="29"/>
  <c r="K411" i="29"/>
  <c r="J411" i="29"/>
  <c r="I411" i="29"/>
  <c r="H411" i="29"/>
  <c r="G411" i="29"/>
  <c r="F411" i="29"/>
  <c r="V415" i="29"/>
  <c r="U415" i="29"/>
  <c r="T415" i="29"/>
  <c r="S415" i="29"/>
  <c r="Q415" i="29"/>
  <c r="R415" i="29"/>
  <c r="P415" i="29"/>
  <c r="O415" i="29"/>
  <c r="N415" i="29"/>
  <c r="M415" i="29"/>
  <c r="L415" i="29"/>
  <c r="K415" i="29"/>
  <c r="J415" i="29"/>
  <c r="I415" i="29"/>
  <c r="H415" i="29"/>
  <c r="G415" i="29"/>
  <c r="F415" i="29"/>
  <c r="V419" i="29"/>
  <c r="U419" i="29"/>
  <c r="T419" i="29"/>
  <c r="Q419" i="29"/>
  <c r="S419" i="29"/>
  <c r="R419" i="29"/>
  <c r="P419" i="29"/>
  <c r="O419" i="29"/>
  <c r="N419" i="29"/>
  <c r="M419" i="29"/>
  <c r="L419" i="29"/>
  <c r="K419" i="29"/>
  <c r="J419" i="29"/>
  <c r="I419" i="29"/>
  <c r="H419" i="29"/>
  <c r="G419" i="29"/>
  <c r="F419" i="29"/>
  <c r="V424" i="29"/>
  <c r="T424" i="29"/>
  <c r="U424" i="29"/>
  <c r="S424" i="29"/>
  <c r="R424" i="29"/>
  <c r="Q424" i="29"/>
  <c r="P424" i="29"/>
  <c r="O424" i="29"/>
  <c r="N424" i="29"/>
  <c r="M424" i="29"/>
  <c r="L424" i="29"/>
  <c r="K424" i="29"/>
  <c r="J424" i="29"/>
  <c r="I424" i="29"/>
  <c r="H424" i="29"/>
  <c r="G424" i="29"/>
  <c r="F424" i="29"/>
  <c r="V427" i="29"/>
  <c r="U427" i="29"/>
  <c r="T427" i="29"/>
  <c r="S427" i="29"/>
  <c r="R427" i="29"/>
  <c r="P427" i="29"/>
  <c r="Q427" i="29"/>
  <c r="O427" i="29"/>
  <c r="N427" i="29"/>
  <c r="M427" i="29"/>
  <c r="L427" i="29"/>
  <c r="K427" i="29"/>
  <c r="J427" i="29"/>
  <c r="I427" i="29"/>
  <c r="H427" i="29"/>
  <c r="G427" i="29"/>
  <c r="F427" i="29"/>
  <c r="V431" i="29"/>
  <c r="U431" i="29"/>
  <c r="T431" i="29"/>
  <c r="S431" i="29"/>
  <c r="Q431" i="29"/>
  <c r="R431" i="29"/>
  <c r="P431" i="29"/>
  <c r="O431" i="29"/>
  <c r="N431" i="29"/>
  <c r="M431" i="29"/>
  <c r="L431" i="29"/>
  <c r="K431" i="29"/>
  <c r="J431" i="29"/>
  <c r="I431" i="29"/>
  <c r="H431" i="29"/>
  <c r="G431" i="29"/>
  <c r="F431" i="29"/>
  <c r="V435" i="29"/>
  <c r="U435" i="29"/>
  <c r="T435" i="29"/>
  <c r="S435" i="29"/>
  <c r="Q435" i="29"/>
  <c r="R435" i="29"/>
  <c r="P435" i="29"/>
  <c r="O435" i="29"/>
  <c r="N435" i="29"/>
  <c r="M435" i="29"/>
  <c r="L435" i="29"/>
  <c r="K435" i="29"/>
  <c r="J435" i="29"/>
  <c r="I435" i="29"/>
  <c r="H435" i="29"/>
  <c r="G435" i="29"/>
  <c r="F435" i="29"/>
  <c r="V439" i="29"/>
  <c r="U439" i="29"/>
  <c r="T439" i="29"/>
  <c r="S439" i="29"/>
  <c r="R439" i="29"/>
  <c r="Q439" i="29"/>
  <c r="P439" i="29"/>
  <c r="O439" i="29"/>
  <c r="N439" i="29"/>
  <c r="M439" i="29"/>
  <c r="K439" i="29"/>
  <c r="L439" i="29"/>
  <c r="J439" i="29"/>
  <c r="I439" i="29"/>
  <c r="H439" i="29"/>
  <c r="G439" i="29"/>
  <c r="F439" i="29"/>
  <c r="V443" i="29"/>
  <c r="U443" i="29"/>
  <c r="S443" i="29"/>
  <c r="T443" i="29"/>
  <c r="R443" i="29"/>
  <c r="Q443" i="29"/>
  <c r="P443" i="29"/>
  <c r="O443" i="29"/>
  <c r="N443" i="29"/>
  <c r="M443" i="29"/>
  <c r="K443" i="29"/>
  <c r="L443" i="29"/>
  <c r="J443" i="29"/>
  <c r="I443" i="29"/>
  <c r="H443" i="29"/>
  <c r="G443" i="29"/>
  <c r="F443" i="29"/>
  <c r="V447" i="29"/>
  <c r="U447" i="29"/>
  <c r="T447" i="29"/>
  <c r="S447" i="29"/>
  <c r="Q447" i="29"/>
  <c r="R447" i="29"/>
  <c r="P447" i="29"/>
  <c r="O447" i="29"/>
  <c r="N447" i="29"/>
  <c r="M447" i="29"/>
  <c r="K447" i="29"/>
  <c r="L447" i="29"/>
  <c r="J447" i="29"/>
  <c r="I447" i="29"/>
  <c r="H447" i="29"/>
  <c r="G447" i="29"/>
  <c r="F447" i="29"/>
  <c r="V451" i="29"/>
  <c r="U451" i="29"/>
  <c r="T451" i="29"/>
  <c r="S451" i="29"/>
  <c r="Q451" i="29"/>
  <c r="R451" i="29"/>
  <c r="P451" i="29"/>
  <c r="O451" i="29"/>
  <c r="N451" i="29"/>
  <c r="M451" i="29"/>
  <c r="K451" i="29"/>
  <c r="L451" i="29"/>
  <c r="J451" i="29"/>
  <c r="I451" i="29"/>
  <c r="H451" i="29"/>
  <c r="G451" i="29"/>
  <c r="F451" i="29"/>
  <c r="V455" i="29"/>
  <c r="U455" i="29"/>
  <c r="T455" i="29"/>
  <c r="S455" i="29"/>
  <c r="R455" i="29"/>
  <c r="Q455" i="29"/>
  <c r="P455" i="29"/>
  <c r="O455" i="29"/>
  <c r="N455" i="29"/>
  <c r="M455" i="29"/>
  <c r="K455" i="29"/>
  <c r="L455" i="29"/>
  <c r="J455" i="29"/>
  <c r="I455" i="29"/>
  <c r="H455" i="29"/>
  <c r="G455" i="29"/>
  <c r="F455" i="29"/>
  <c r="V459" i="29"/>
  <c r="U459" i="29"/>
  <c r="S459" i="29"/>
  <c r="T459" i="29"/>
  <c r="R459" i="29"/>
  <c r="Q459" i="29"/>
  <c r="P459" i="29"/>
  <c r="O459" i="29"/>
  <c r="N459" i="29"/>
  <c r="M459" i="29"/>
  <c r="K459" i="29"/>
  <c r="L459" i="29"/>
  <c r="J459" i="29"/>
  <c r="I459" i="29"/>
  <c r="H459" i="29"/>
  <c r="G459" i="29"/>
  <c r="F459" i="29"/>
  <c r="V463" i="29"/>
  <c r="U463" i="29"/>
  <c r="T463" i="29"/>
  <c r="S463" i="29"/>
  <c r="Q463" i="29"/>
  <c r="R463" i="29"/>
  <c r="P463" i="29"/>
  <c r="O463" i="29"/>
  <c r="N463" i="29"/>
  <c r="M463" i="29"/>
  <c r="K463" i="29"/>
  <c r="L463" i="29"/>
  <c r="J463" i="29"/>
  <c r="I463" i="29"/>
  <c r="H463" i="29"/>
  <c r="G463" i="29"/>
  <c r="F463" i="29"/>
  <c r="V467" i="29"/>
  <c r="U467" i="29"/>
  <c r="T467" i="29"/>
  <c r="Q467" i="29"/>
  <c r="S467" i="29"/>
  <c r="P467" i="29"/>
  <c r="R467" i="29"/>
  <c r="O467" i="29"/>
  <c r="N467" i="29"/>
  <c r="M467" i="29"/>
  <c r="K467" i="29"/>
  <c r="L467" i="29"/>
  <c r="J467" i="29"/>
  <c r="I467" i="29"/>
  <c r="H467" i="29"/>
  <c r="G467" i="29"/>
  <c r="F467" i="29"/>
  <c r="V471" i="29"/>
  <c r="U471" i="29"/>
  <c r="T471" i="29"/>
  <c r="S471" i="29"/>
  <c r="R471" i="29"/>
  <c r="Q471" i="29"/>
  <c r="P471" i="29"/>
  <c r="O471" i="29"/>
  <c r="N471" i="29"/>
  <c r="M471" i="29"/>
  <c r="K471" i="29"/>
  <c r="L471" i="29"/>
  <c r="J471" i="29"/>
  <c r="I471" i="29"/>
  <c r="H471" i="29"/>
  <c r="G471" i="29"/>
  <c r="F471" i="29"/>
  <c r="V475" i="29"/>
  <c r="U475" i="29"/>
  <c r="T475" i="29"/>
  <c r="S475" i="29"/>
  <c r="R475" i="29"/>
  <c r="P475" i="29"/>
  <c r="Q475" i="29"/>
  <c r="O475" i="29"/>
  <c r="N475" i="29"/>
  <c r="M475" i="29"/>
  <c r="K475" i="29"/>
  <c r="L475" i="29"/>
  <c r="J475" i="29"/>
  <c r="I475" i="29"/>
  <c r="H475" i="29"/>
  <c r="G475" i="29"/>
  <c r="F475" i="29"/>
  <c r="V478" i="29"/>
  <c r="U478" i="29"/>
  <c r="T478" i="29"/>
  <c r="S478" i="29"/>
  <c r="R478" i="29"/>
  <c r="Q478" i="29"/>
  <c r="P478" i="29"/>
  <c r="O478" i="29"/>
  <c r="N478" i="29"/>
  <c r="M478" i="29"/>
  <c r="L478" i="29"/>
  <c r="K478" i="29"/>
  <c r="J478" i="29"/>
  <c r="I478" i="29"/>
  <c r="G478" i="29"/>
  <c r="F478" i="29"/>
  <c r="H478" i="29"/>
  <c r="V483" i="29"/>
  <c r="U483" i="29"/>
  <c r="T483" i="29"/>
  <c r="Q483" i="29"/>
  <c r="S483" i="29"/>
  <c r="R483" i="29"/>
  <c r="P483" i="29"/>
  <c r="O483" i="29"/>
  <c r="N483" i="29"/>
  <c r="M483" i="29"/>
  <c r="L483" i="29"/>
  <c r="K483" i="29"/>
  <c r="J483" i="29"/>
  <c r="I483" i="29"/>
  <c r="H483" i="29"/>
  <c r="G483" i="29"/>
  <c r="F483" i="29"/>
  <c r="V487" i="29"/>
  <c r="U487" i="29"/>
  <c r="T487" i="29"/>
  <c r="S487" i="29"/>
  <c r="R487" i="29"/>
  <c r="Q487" i="29"/>
  <c r="P487" i="29"/>
  <c r="O487" i="29"/>
  <c r="N487" i="29"/>
  <c r="M487" i="29"/>
  <c r="L487" i="29"/>
  <c r="K487" i="29"/>
  <c r="J487" i="29"/>
  <c r="I487" i="29"/>
  <c r="H487" i="29"/>
  <c r="G487" i="29"/>
  <c r="F487" i="29"/>
  <c r="V491" i="29"/>
  <c r="U491" i="29"/>
  <c r="T491" i="29"/>
  <c r="S491" i="29"/>
  <c r="R491" i="29"/>
  <c r="Q491" i="29"/>
  <c r="P491" i="29"/>
  <c r="O491" i="29"/>
  <c r="N491" i="29"/>
  <c r="M491" i="29"/>
  <c r="L491" i="29"/>
  <c r="K491" i="29"/>
  <c r="J491" i="29"/>
  <c r="I491" i="29"/>
  <c r="H491" i="29"/>
  <c r="G491" i="29"/>
  <c r="F491" i="29"/>
  <c r="V495" i="29"/>
  <c r="U495" i="29"/>
  <c r="T495" i="29"/>
  <c r="S495" i="29"/>
  <c r="Q495" i="29"/>
  <c r="R495" i="29"/>
  <c r="P495" i="29"/>
  <c r="O495" i="29"/>
  <c r="N495" i="29"/>
  <c r="M495" i="29"/>
  <c r="L495" i="29"/>
  <c r="K495" i="29"/>
  <c r="J495" i="29"/>
  <c r="I495" i="29"/>
  <c r="H495" i="29"/>
  <c r="G495" i="29"/>
  <c r="F495" i="29"/>
  <c r="V499" i="29"/>
  <c r="U499" i="29"/>
  <c r="T499" i="29"/>
  <c r="S499" i="29"/>
  <c r="Q499" i="29"/>
  <c r="R499" i="29"/>
  <c r="P499" i="29"/>
  <c r="O499" i="29"/>
  <c r="N499" i="29"/>
  <c r="M499" i="29"/>
  <c r="L499" i="29"/>
  <c r="K499" i="29"/>
  <c r="J499" i="29"/>
  <c r="I499" i="29"/>
  <c r="H499" i="29"/>
  <c r="G499" i="29"/>
  <c r="F499" i="29"/>
  <c r="V503" i="29"/>
  <c r="U503" i="29"/>
  <c r="T503" i="29"/>
  <c r="S503" i="29"/>
  <c r="R503" i="29"/>
  <c r="Q503" i="29"/>
  <c r="P503" i="29"/>
  <c r="O503" i="29"/>
  <c r="N503" i="29"/>
  <c r="M503" i="29"/>
  <c r="L503" i="29"/>
  <c r="K503" i="29"/>
  <c r="J503" i="29"/>
  <c r="I503" i="29"/>
  <c r="H503" i="29"/>
  <c r="G503" i="29"/>
  <c r="F503" i="29"/>
  <c r="V507" i="29"/>
  <c r="U507" i="29"/>
  <c r="S507" i="29"/>
  <c r="T507" i="29"/>
  <c r="R507" i="29"/>
  <c r="P507" i="29"/>
  <c r="Q507" i="29"/>
  <c r="O507" i="29"/>
  <c r="N507" i="29"/>
  <c r="M507" i="29"/>
  <c r="L507" i="29"/>
  <c r="K507" i="29"/>
  <c r="J507" i="29"/>
  <c r="I507" i="29"/>
  <c r="H507" i="29"/>
  <c r="G507" i="29"/>
  <c r="F507" i="29"/>
  <c r="V511" i="29"/>
  <c r="U511" i="29"/>
  <c r="T511" i="29"/>
  <c r="S511" i="29"/>
  <c r="Q511" i="29"/>
  <c r="R511" i="29"/>
  <c r="P511" i="29"/>
  <c r="O511" i="29"/>
  <c r="N511" i="29"/>
  <c r="M511" i="29"/>
  <c r="L511" i="29"/>
  <c r="K511" i="29"/>
  <c r="J511" i="29"/>
  <c r="I511" i="29"/>
  <c r="H511" i="29"/>
  <c r="G511" i="29"/>
  <c r="F511" i="29"/>
  <c r="V515" i="29"/>
  <c r="U515" i="29"/>
  <c r="T515" i="29"/>
  <c r="S515" i="29"/>
  <c r="Q515" i="29"/>
  <c r="R515" i="29"/>
  <c r="P515" i="29"/>
  <c r="O515" i="29"/>
  <c r="N515" i="29"/>
  <c r="M515" i="29"/>
  <c r="L515" i="29"/>
  <c r="K515" i="29"/>
  <c r="J515" i="29"/>
  <c r="I515" i="29"/>
  <c r="H515" i="29"/>
  <c r="G515" i="29"/>
  <c r="F515" i="29"/>
  <c r="V519" i="29"/>
  <c r="U519" i="29"/>
  <c r="T519" i="29"/>
  <c r="S519" i="29"/>
  <c r="R519" i="29"/>
  <c r="Q519" i="29"/>
  <c r="P519" i="29"/>
  <c r="O519" i="29"/>
  <c r="N519" i="29"/>
  <c r="M519" i="29"/>
  <c r="L519" i="29"/>
  <c r="K519" i="29"/>
  <c r="J519" i="29"/>
  <c r="I519" i="29"/>
  <c r="H519" i="29"/>
  <c r="G519" i="29"/>
  <c r="F519" i="29"/>
  <c r="V523" i="29"/>
  <c r="U523" i="29"/>
  <c r="S523" i="29"/>
  <c r="R523" i="29"/>
  <c r="T523" i="29"/>
  <c r="Q523" i="29"/>
  <c r="P523" i="29"/>
  <c r="O523" i="29"/>
  <c r="N523" i="29"/>
  <c r="M523" i="29"/>
  <c r="L523" i="29"/>
  <c r="K523" i="29"/>
  <c r="J523" i="29"/>
  <c r="I523" i="29"/>
  <c r="H523" i="29"/>
  <c r="G523" i="29"/>
  <c r="F523" i="29"/>
  <c r="V527" i="29"/>
  <c r="U527" i="29"/>
  <c r="T527" i="29"/>
  <c r="S527" i="29"/>
  <c r="Q527" i="29"/>
  <c r="R527" i="29"/>
  <c r="P527" i="29"/>
  <c r="O527" i="29"/>
  <c r="N527" i="29"/>
  <c r="M527" i="29"/>
  <c r="L527" i="29"/>
  <c r="K527" i="29"/>
  <c r="J527" i="29"/>
  <c r="I527" i="29"/>
  <c r="H527" i="29"/>
  <c r="G527" i="29"/>
  <c r="F527" i="29"/>
  <c r="V531" i="29"/>
  <c r="U531" i="29"/>
  <c r="T531" i="29"/>
  <c r="S531" i="29"/>
  <c r="Q531" i="29"/>
  <c r="P531" i="29"/>
  <c r="R531" i="29"/>
  <c r="O531" i="29"/>
  <c r="N531" i="29"/>
  <c r="M531" i="29"/>
  <c r="L531" i="29"/>
  <c r="K531" i="29"/>
  <c r="J531" i="29"/>
  <c r="I531" i="29"/>
  <c r="H531" i="29"/>
  <c r="G531" i="29"/>
  <c r="F531" i="29"/>
  <c r="V535" i="29"/>
  <c r="U535" i="29"/>
  <c r="T535" i="29"/>
  <c r="S535" i="29"/>
  <c r="R535" i="29"/>
  <c r="Q535" i="29"/>
  <c r="P535" i="29"/>
  <c r="O535" i="29"/>
  <c r="N535" i="29"/>
  <c r="M535" i="29"/>
  <c r="L535" i="29"/>
  <c r="K535" i="29"/>
  <c r="J535" i="29"/>
  <c r="I535" i="29"/>
  <c r="H535" i="29"/>
  <c r="G535" i="29"/>
  <c r="F535" i="29"/>
  <c r="V539" i="29"/>
  <c r="U539" i="29"/>
  <c r="T539" i="29"/>
  <c r="S539" i="29"/>
  <c r="Q539" i="29"/>
  <c r="R539" i="29"/>
  <c r="P539" i="29"/>
  <c r="O539" i="29"/>
  <c r="N539" i="29"/>
  <c r="M539" i="29"/>
  <c r="L539" i="29"/>
  <c r="K539" i="29"/>
  <c r="J539" i="29"/>
  <c r="I539" i="29"/>
  <c r="H539" i="29"/>
  <c r="G539" i="29"/>
  <c r="F539" i="29"/>
  <c r="V543" i="29"/>
  <c r="U543" i="29"/>
  <c r="T543" i="29"/>
  <c r="S543" i="29"/>
  <c r="R543" i="29"/>
  <c r="P543" i="29"/>
  <c r="Q543" i="29"/>
  <c r="O543" i="29"/>
  <c r="N543" i="29"/>
  <c r="M543" i="29"/>
  <c r="L543" i="29"/>
  <c r="K543" i="29"/>
  <c r="J543" i="29"/>
  <c r="I543" i="29"/>
  <c r="H543" i="29"/>
  <c r="G543" i="29"/>
  <c r="F543" i="29"/>
  <c r="V547" i="29"/>
  <c r="U547" i="29"/>
  <c r="T547" i="29"/>
  <c r="Q547" i="29"/>
  <c r="S547" i="29"/>
  <c r="P547" i="29"/>
  <c r="R547" i="29"/>
  <c r="O547" i="29"/>
  <c r="N547" i="29"/>
  <c r="M547" i="29"/>
  <c r="L547" i="29"/>
  <c r="K547" i="29"/>
  <c r="J547" i="29"/>
  <c r="I547" i="29"/>
  <c r="H547" i="29"/>
  <c r="G547" i="29"/>
  <c r="F547" i="29"/>
  <c r="V551" i="29"/>
  <c r="U551" i="29"/>
  <c r="T551" i="29"/>
  <c r="S551" i="29"/>
  <c r="R551" i="29"/>
  <c r="Q551" i="29"/>
  <c r="P551" i="29"/>
  <c r="O551" i="29"/>
  <c r="N551" i="29"/>
  <c r="M551" i="29"/>
  <c r="L551" i="29"/>
  <c r="K551" i="29"/>
  <c r="J551" i="29"/>
  <c r="I551" i="29"/>
  <c r="H551" i="29"/>
  <c r="G551" i="29"/>
  <c r="F551" i="29"/>
  <c r="V555" i="29"/>
  <c r="U555" i="29"/>
  <c r="T555" i="29"/>
  <c r="S555" i="29"/>
  <c r="Q555" i="29"/>
  <c r="R555" i="29"/>
  <c r="P555" i="29"/>
  <c r="O555" i="29"/>
  <c r="N555" i="29"/>
  <c r="M555" i="29"/>
  <c r="L555" i="29"/>
  <c r="K555" i="29"/>
  <c r="J555" i="29"/>
  <c r="I555" i="29"/>
  <c r="H555" i="29"/>
  <c r="G555" i="29"/>
  <c r="F555" i="29"/>
  <c r="V559" i="29"/>
  <c r="U559" i="29"/>
  <c r="T559" i="29"/>
  <c r="S559" i="29"/>
  <c r="R559" i="29"/>
  <c r="P559" i="29"/>
  <c r="Q559" i="29"/>
  <c r="O559" i="29"/>
  <c r="N559" i="29"/>
  <c r="M559" i="29"/>
  <c r="L559" i="29"/>
  <c r="K559" i="29"/>
  <c r="J559" i="29"/>
  <c r="I559" i="29"/>
  <c r="H559" i="29"/>
  <c r="G559" i="29"/>
  <c r="F559" i="29"/>
  <c r="V563" i="29"/>
  <c r="U563" i="29"/>
  <c r="T563" i="29"/>
  <c r="S563" i="29"/>
  <c r="Q563" i="29"/>
  <c r="R563" i="29"/>
  <c r="P563" i="29"/>
  <c r="O563" i="29"/>
  <c r="N563" i="29"/>
  <c r="M563" i="29"/>
  <c r="L563" i="29"/>
  <c r="K563" i="29"/>
  <c r="J563" i="29"/>
  <c r="I563" i="29"/>
  <c r="H563" i="29"/>
  <c r="G563" i="29"/>
  <c r="F563" i="29"/>
  <c r="V567" i="29"/>
  <c r="U567" i="29"/>
  <c r="T567" i="29"/>
  <c r="S567" i="29"/>
  <c r="R567" i="29"/>
  <c r="Q567" i="29"/>
  <c r="P567" i="29"/>
  <c r="O567" i="29"/>
  <c r="N567" i="29"/>
  <c r="M567" i="29"/>
  <c r="L567" i="29"/>
  <c r="K567" i="29"/>
  <c r="J567" i="29"/>
  <c r="I567" i="29"/>
  <c r="H567" i="29"/>
  <c r="G567" i="29"/>
  <c r="F567" i="29"/>
  <c r="V571" i="29"/>
  <c r="U571" i="29"/>
  <c r="S571" i="29"/>
  <c r="T571" i="29"/>
  <c r="Q571" i="29"/>
  <c r="R571" i="29"/>
  <c r="P571" i="29"/>
  <c r="O571" i="29"/>
  <c r="N571" i="29"/>
  <c r="M571" i="29"/>
  <c r="L571" i="29"/>
  <c r="K571" i="29"/>
  <c r="J571" i="29"/>
  <c r="I571" i="29"/>
  <c r="H571" i="29"/>
  <c r="G571" i="29"/>
  <c r="F571" i="29"/>
  <c r="V575" i="29"/>
  <c r="U575" i="29"/>
  <c r="T575" i="29"/>
  <c r="S575" i="29"/>
  <c r="R575" i="29"/>
  <c r="Q575" i="29"/>
  <c r="P575" i="29"/>
  <c r="O575" i="29"/>
  <c r="N575" i="29"/>
  <c r="M575" i="29"/>
  <c r="L575" i="29"/>
  <c r="K575" i="29"/>
  <c r="J575" i="29"/>
  <c r="I575" i="29"/>
  <c r="H575" i="29"/>
  <c r="G575" i="29"/>
  <c r="F575" i="29"/>
  <c r="V579" i="29"/>
  <c r="U579" i="29"/>
  <c r="T579" i="29"/>
  <c r="S579" i="29"/>
  <c r="Q579" i="29"/>
  <c r="R579" i="29"/>
  <c r="P579" i="29"/>
  <c r="O579" i="29"/>
  <c r="N579" i="29"/>
  <c r="M579" i="29"/>
  <c r="L579" i="29"/>
  <c r="K579" i="29"/>
  <c r="J579" i="29"/>
  <c r="I579" i="29"/>
  <c r="H579" i="29"/>
  <c r="G579" i="29"/>
  <c r="F579" i="29"/>
  <c r="V583" i="29"/>
  <c r="U583" i="29"/>
  <c r="T583" i="29"/>
  <c r="S583" i="29"/>
  <c r="R583" i="29"/>
  <c r="Q583" i="29"/>
  <c r="P583" i="29"/>
  <c r="O583" i="29"/>
  <c r="N583" i="29"/>
  <c r="M583" i="29"/>
  <c r="L583" i="29"/>
  <c r="K583" i="29"/>
  <c r="J583" i="29"/>
  <c r="I583" i="29"/>
  <c r="H583" i="29"/>
  <c r="G583" i="29"/>
  <c r="F583" i="29"/>
  <c r="V587" i="29"/>
  <c r="U587" i="29"/>
  <c r="T587" i="29"/>
  <c r="S587" i="29"/>
  <c r="Q587" i="29"/>
  <c r="R587" i="29"/>
  <c r="P587" i="29"/>
  <c r="O587" i="29"/>
  <c r="N587" i="29"/>
  <c r="M587" i="29"/>
  <c r="L587" i="29"/>
  <c r="K587" i="29"/>
  <c r="J587" i="29"/>
  <c r="I587" i="29"/>
  <c r="H587" i="29"/>
  <c r="G587" i="29"/>
  <c r="F587" i="29"/>
  <c r="V591" i="29"/>
  <c r="U591" i="29"/>
  <c r="T591" i="29"/>
  <c r="S591" i="29"/>
  <c r="R591" i="29"/>
  <c r="Q591" i="29"/>
  <c r="P591" i="29"/>
  <c r="O591" i="29"/>
  <c r="N591" i="29"/>
  <c r="M591" i="29"/>
  <c r="L591" i="29"/>
  <c r="K591" i="29"/>
  <c r="J591" i="29"/>
  <c r="I591" i="29"/>
  <c r="H591" i="29"/>
  <c r="G591" i="29"/>
  <c r="F591" i="29"/>
  <c r="V595" i="29"/>
  <c r="U595" i="29"/>
  <c r="T595" i="29"/>
  <c r="S595" i="29"/>
  <c r="Q595" i="29"/>
  <c r="P595" i="29"/>
  <c r="R595" i="29"/>
  <c r="O595" i="29"/>
  <c r="N595" i="29"/>
  <c r="M595" i="29"/>
  <c r="L595" i="29"/>
  <c r="K595" i="29"/>
  <c r="J595" i="29"/>
  <c r="I595" i="29"/>
  <c r="H595" i="29"/>
  <c r="G595" i="29"/>
  <c r="F595" i="29"/>
  <c r="V599" i="29"/>
  <c r="U599" i="29"/>
  <c r="S599" i="29"/>
  <c r="T599" i="29"/>
  <c r="R599" i="29"/>
  <c r="Q599" i="29"/>
  <c r="P599" i="29"/>
  <c r="O599" i="29"/>
  <c r="N599" i="29"/>
  <c r="M599" i="29"/>
  <c r="L599" i="29"/>
  <c r="K599" i="29"/>
  <c r="J599" i="29"/>
  <c r="I599" i="29"/>
  <c r="H599" i="29"/>
  <c r="G599" i="29"/>
  <c r="F599" i="29"/>
  <c r="V603" i="29"/>
  <c r="U603" i="29"/>
  <c r="S603" i="29"/>
  <c r="T603" i="29"/>
  <c r="Q603" i="29"/>
  <c r="R603" i="29"/>
  <c r="P603" i="29"/>
  <c r="O603" i="29"/>
  <c r="N603" i="29"/>
  <c r="M603" i="29"/>
  <c r="L603" i="29"/>
  <c r="K603" i="29"/>
  <c r="J603" i="29"/>
  <c r="I603" i="29"/>
  <c r="H603" i="29"/>
  <c r="G603" i="29"/>
  <c r="F603" i="29"/>
  <c r="V608" i="29"/>
  <c r="U608" i="29"/>
  <c r="T608" i="29"/>
  <c r="S608" i="29"/>
  <c r="R608" i="29"/>
  <c r="Q608" i="29"/>
  <c r="P608" i="29"/>
  <c r="O608" i="29"/>
  <c r="N608" i="29"/>
  <c r="M608" i="29"/>
  <c r="L608" i="29"/>
  <c r="K608" i="29"/>
  <c r="J608" i="29"/>
  <c r="I608" i="29"/>
  <c r="H608" i="29"/>
  <c r="G608" i="29"/>
  <c r="F608" i="29"/>
  <c r="U612" i="29"/>
  <c r="V612" i="29"/>
  <c r="T612" i="29"/>
  <c r="S612" i="29"/>
  <c r="R612" i="29"/>
  <c r="Q612" i="29"/>
  <c r="P612" i="29"/>
  <c r="O612" i="29"/>
  <c r="N612" i="29"/>
  <c r="M612" i="29"/>
  <c r="L612" i="29"/>
  <c r="K612" i="29"/>
  <c r="J612" i="29"/>
  <c r="I612" i="29"/>
  <c r="H612" i="29"/>
  <c r="G612" i="29"/>
  <c r="F612" i="29"/>
  <c r="V616" i="29"/>
  <c r="U616" i="29"/>
  <c r="T616" i="29"/>
  <c r="S616" i="29"/>
  <c r="R616" i="29"/>
  <c r="Q616" i="29"/>
  <c r="P616" i="29"/>
  <c r="O616" i="29"/>
  <c r="N616" i="29"/>
  <c r="M616" i="29"/>
  <c r="L616" i="29"/>
  <c r="K616" i="29"/>
  <c r="J616" i="29"/>
  <c r="I616" i="29"/>
  <c r="H616" i="29"/>
  <c r="G616" i="29"/>
  <c r="F616" i="29"/>
  <c r="U620" i="29"/>
  <c r="T620" i="29"/>
  <c r="S620" i="29"/>
  <c r="V620" i="29"/>
  <c r="R620" i="29"/>
  <c r="Q620" i="29"/>
  <c r="P620" i="29"/>
  <c r="O620" i="29"/>
  <c r="N620" i="29"/>
  <c r="M620" i="29"/>
  <c r="L620" i="29"/>
  <c r="K620" i="29"/>
  <c r="J620" i="29"/>
  <c r="I620" i="29"/>
  <c r="H620" i="29"/>
  <c r="G620" i="29"/>
  <c r="F620" i="29"/>
  <c r="V624" i="29"/>
  <c r="U624" i="29"/>
  <c r="T624" i="29"/>
  <c r="S624" i="29"/>
  <c r="R624" i="29"/>
  <c r="Q624" i="29"/>
  <c r="P624" i="29"/>
  <c r="O624" i="29"/>
  <c r="N624" i="29"/>
  <c r="M624" i="29"/>
  <c r="L624" i="29"/>
  <c r="K624" i="29"/>
  <c r="J624" i="29"/>
  <c r="I624" i="29"/>
  <c r="H624" i="29"/>
  <c r="G624" i="29"/>
  <c r="F624" i="29"/>
  <c r="V628" i="29"/>
  <c r="U628" i="29"/>
  <c r="T628" i="29"/>
  <c r="S628" i="29"/>
  <c r="R628" i="29"/>
  <c r="Q628" i="29"/>
  <c r="P628" i="29"/>
  <c r="O628" i="29"/>
  <c r="N628" i="29"/>
  <c r="M628" i="29"/>
  <c r="L628" i="29"/>
  <c r="K628" i="29"/>
  <c r="J628" i="29"/>
  <c r="I628" i="29"/>
  <c r="H628" i="29"/>
  <c r="G628" i="29"/>
  <c r="F628" i="29"/>
  <c r="V631" i="29"/>
  <c r="U631" i="29"/>
  <c r="S631" i="29"/>
  <c r="T631" i="29"/>
  <c r="R631" i="29"/>
  <c r="Q631" i="29"/>
  <c r="P631" i="29"/>
  <c r="O631" i="29"/>
  <c r="N631" i="29"/>
  <c r="M631" i="29"/>
  <c r="L631" i="29"/>
  <c r="K631" i="29"/>
  <c r="J631" i="29"/>
  <c r="I631" i="29"/>
  <c r="H631" i="29"/>
  <c r="G631" i="29"/>
  <c r="F631" i="29"/>
  <c r="V635" i="29"/>
  <c r="U635" i="29"/>
  <c r="S635" i="29"/>
  <c r="Q635" i="29"/>
  <c r="R635" i="29"/>
  <c r="T635" i="29"/>
  <c r="P635" i="29"/>
  <c r="O635" i="29"/>
  <c r="N635" i="29"/>
  <c r="M635" i="29"/>
  <c r="L635" i="29"/>
  <c r="K635" i="29"/>
  <c r="J635" i="29"/>
  <c r="I635" i="29"/>
  <c r="H635" i="29"/>
  <c r="G635" i="29"/>
  <c r="F635" i="29"/>
  <c r="V639" i="29"/>
  <c r="U639" i="29"/>
  <c r="T639" i="29"/>
  <c r="S639" i="29"/>
  <c r="R639" i="29"/>
  <c r="Q639" i="29"/>
  <c r="P639" i="29"/>
  <c r="O639" i="29"/>
  <c r="N639" i="29"/>
  <c r="M639" i="29"/>
  <c r="L639" i="29"/>
  <c r="K639" i="29"/>
  <c r="J639" i="29"/>
  <c r="I639" i="29"/>
  <c r="H639" i="29"/>
  <c r="G639" i="29"/>
  <c r="F639" i="29"/>
  <c r="V643" i="29"/>
  <c r="U643" i="29"/>
  <c r="T643" i="29"/>
  <c r="S643" i="29"/>
  <c r="Q643" i="29"/>
  <c r="P643" i="29"/>
  <c r="R643" i="29"/>
  <c r="O643" i="29"/>
  <c r="N643" i="29"/>
  <c r="M643" i="29"/>
  <c r="L643" i="29"/>
  <c r="K643" i="29"/>
  <c r="J643" i="29"/>
  <c r="I643" i="29"/>
  <c r="H643" i="29"/>
  <c r="G643" i="29"/>
  <c r="F643" i="29"/>
  <c r="V647" i="29"/>
  <c r="U647" i="29"/>
  <c r="S647" i="29"/>
  <c r="T647" i="29"/>
  <c r="R647" i="29"/>
  <c r="Q647" i="29"/>
  <c r="P647" i="29"/>
  <c r="O647" i="29"/>
  <c r="N647" i="29"/>
  <c r="M647" i="29"/>
  <c r="L647" i="29"/>
  <c r="K647" i="29"/>
  <c r="J647" i="29"/>
  <c r="I647" i="29"/>
  <c r="H647" i="29"/>
  <c r="G647" i="29"/>
  <c r="F647" i="29"/>
  <c r="V651" i="29"/>
  <c r="U651" i="29"/>
  <c r="S651" i="29"/>
  <c r="Q651" i="29"/>
  <c r="R651" i="29"/>
  <c r="T651" i="29"/>
  <c r="P651" i="29"/>
  <c r="O651" i="29"/>
  <c r="N651" i="29"/>
  <c r="M651" i="29"/>
  <c r="L651" i="29"/>
  <c r="K651" i="29"/>
  <c r="J651" i="29"/>
  <c r="I651" i="29"/>
  <c r="H651" i="29"/>
  <c r="G651" i="29"/>
  <c r="F651" i="29"/>
  <c r="V655" i="29"/>
  <c r="U655" i="29"/>
  <c r="T655" i="29"/>
  <c r="S655" i="29"/>
  <c r="R655" i="29"/>
  <c r="Q655" i="29"/>
  <c r="P655" i="29"/>
  <c r="O655" i="29"/>
  <c r="N655" i="29"/>
  <c r="M655" i="29"/>
  <c r="L655" i="29"/>
  <c r="K655" i="29"/>
  <c r="J655" i="29"/>
  <c r="I655" i="29"/>
  <c r="H655" i="29"/>
  <c r="G655" i="29"/>
  <c r="F655" i="29"/>
  <c r="V659" i="29"/>
  <c r="U659" i="29"/>
  <c r="T659" i="29"/>
  <c r="S659" i="29"/>
  <c r="Q659" i="29"/>
  <c r="P659" i="29"/>
  <c r="R659" i="29"/>
  <c r="O659" i="29"/>
  <c r="N659" i="29"/>
  <c r="M659" i="29"/>
  <c r="L659" i="29"/>
  <c r="K659" i="29"/>
  <c r="J659" i="29"/>
  <c r="I659" i="29"/>
  <c r="H659" i="29"/>
  <c r="G659" i="29"/>
  <c r="F659" i="29"/>
  <c r="V663" i="29"/>
  <c r="U663" i="29"/>
  <c r="S663" i="29"/>
  <c r="T663" i="29"/>
  <c r="R663" i="29"/>
  <c r="Q663" i="29"/>
  <c r="P663" i="29"/>
  <c r="O663" i="29"/>
  <c r="N663" i="29"/>
  <c r="M663" i="29"/>
  <c r="L663" i="29"/>
  <c r="K663" i="29"/>
  <c r="J663" i="29"/>
  <c r="I663" i="29"/>
  <c r="H663" i="29"/>
  <c r="G663" i="29"/>
  <c r="F663" i="29"/>
  <c r="V667" i="29"/>
  <c r="U667" i="29"/>
  <c r="S667" i="29"/>
  <c r="T667" i="29"/>
  <c r="Q667" i="29"/>
  <c r="R667" i="29"/>
  <c r="P667" i="29"/>
  <c r="O667" i="29"/>
  <c r="N667" i="29"/>
  <c r="M667" i="29"/>
  <c r="L667" i="29"/>
  <c r="K667" i="29"/>
  <c r="J667" i="29"/>
  <c r="I667" i="29"/>
  <c r="H667" i="29"/>
  <c r="G667" i="29"/>
  <c r="F667" i="29"/>
  <c r="V671" i="29"/>
  <c r="U671" i="29"/>
  <c r="T671" i="29"/>
  <c r="S671" i="29"/>
  <c r="R671" i="29"/>
  <c r="Q671" i="29"/>
  <c r="P671" i="29"/>
  <c r="O671" i="29"/>
  <c r="N671" i="29"/>
  <c r="M671" i="29"/>
  <c r="L671" i="29"/>
  <c r="K671" i="29"/>
  <c r="J671" i="29"/>
  <c r="I671" i="29"/>
  <c r="H671" i="29"/>
  <c r="G671" i="29"/>
  <c r="F671" i="29"/>
  <c r="V675" i="29"/>
  <c r="U675" i="29"/>
  <c r="T675" i="29"/>
  <c r="Q675" i="29"/>
  <c r="S675" i="29"/>
  <c r="P675" i="29"/>
  <c r="R675" i="29"/>
  <c r="O675" i="29"/>
  <c r="N675" i="29"/>
  <c r="M675" i="29"/>
  <c r="L675" i="29"/>
  <c r="K675" i="29"/>
  <c r="J675" i="29"/>
  <c r="I675" i="29"/>
  <c r="H675" i="29"/>
  <c r="G675" i="29"/>
  <c r="F675" i="29"/>
  <c r="V679" i="29"/>
  <c r="U679" i="29"/>
  <c r="S679" i="29"/>
  <c r="T679" i="29"/>
  <c r="R679" i="29"/>
  <c r="Q679" i="29"/>
  <c r="P679" i="29"/>
  <c r="O679" i="29"/>
  <c r="N679" i="29"/>
  <c r="M679" i="29"/>
  <c r="L679" i="29"/>
  <c r="K679" i="29"/>
  <c r="J679" i="29"/>
  <c r="I679" i="29"/>
  <c r="H679" i="29"/>
  <c r="G679" i="29"/>
  <c r="F679" i="29"/>
  <c r="V683" i="29"/>
  <c r="U683" i="29"/>
  <c r="S683" i="29"/>
  <c r="Q683" i="29"/>
  <c r="T683" i="29"/>
  <c r="R683" i="29"/>
  <c r="P683" i="29"/>
  <c r="O683" i="29"/>
  <c r="N683" i="29"/>
  <c r="M683" i="29"/>
  <c r="L683" i="29"/>
  <c r="K683" i="29"/>
  <c r="J683" i="29"/>
  <c r="I683" i="29"/>
  <c r="H683" i="29"/>
  <c r="G683" i="29"/>
  <c r="F683" i="29"/>
  <c r="V687" i="29"/>
  <c r="U687" i="29"/>
  <c r="T687" i="29"/>
  <c r="S687" i="29"/>
  <c r="R687" i="29"/>
  <c r="P687" i="29"/>
  <c r="Q687" i="29"/>
  <c r="O687" i="29"/>
  <c r="N687" i="29"/>
  <c r="M687" i="29"/>
  <c r="L687" i="29"/>
  <c r="K687" i="29"/>
  <c r="J687" i="29"/>
  <c r="I687" i="29"/>
  <c r="H687" i="29"/>
  <c r="G687" i="29"/>
  <c r="F687" i="29"/>
  <c r="V691" i="29"/>
  <c r="U691" i="29"/>
  <c r="T691" i="29"/>
  <c r="S691" i="29"/>
  <c r="Q691" i="29"/>
  <c r="R691" i="29"/>
  <c r="P691" i="29"/>
  <c r="O691" i="29"/>
  <c r="N691" i="29"/>
  <c r="M691" i="29"/>
  <c r="L691" i="29"/>
  <c r="K691" i="29"/>
  <c r="J691" i="29"/>
  <c r="I691" i="29"/>
  <c r="H691" i="29"/>
  <c r="G691" i="29"/>
  <c r="F691" i="29"/>
  <c r="V695" i="29"/>
  <c r="U695" i="29"/>
  <c r="S695" i="29"/>
  <c r="T695" i="29"/>
  <c r="R695" i="29"/>
  <c r="Q695" i="29"/>
  <c r="P695" i="29"/>
  <c r="O695" i="29"/>
  <c r="N695" i="29"/>
  <c r="M695" i="29"/>
  <c r="L695" i="29"/>
  <c r="K695" i="29"/>
  <c r="J695" i="29"/>
  <c r="I695" i="29"/>
  <c r="H695" i="29"/>
  <c r="G695" i="29"/>
  <c r="F695" i="29"/>
  <c r="V699" i="29"/>
  <c r="U699" i="29"/>
  <c r="S699" i="29"/>
  <c r="Q699" i="29"/>
  <c r="R699" i="29"/>
  <c r="T699" i="29"/>
  <c r="P699" i="29"/>
  <c r="O699" i="29"/>
  <c r="N699" i="29"/>
  <c r="M699" i="29"/>
  <c r="L699" i="29"/>
  <c r="K699" i="29"/>
  <c r="J699" i="29"/>
  <c r="I699" i="29"/>
  <c r="H699" i="29"/>
  <c r="G699" i="29"/>
  <c r="F699" i="29"/>
  <c r="V703" i="29"/>
  <c r="U703" i="29"/>
  <c r="T703" i="29"/>
  <c r="S703" i="29"/>
  <c r="R703" i="29"/>
  <c r="Q703" i="29"/>
  <c r="P703" i="29"/>
  <c r="O703" i="29"/>
  <c r="N703" i="29"/>
  <c r="M703" i="29"/>
  <c r="L703" i="29"/>
  <c r="K703" i="29"/>
  <c r="J703" i="29"/>
  <c r="I703" i="29"/>
  <c r="H703" i="29"/>
  <c r="G703" i="29"/>
  <c r="F703" i="29"/>
  <c r="V707" i="29"/>
  <c r="U707" i="29"/>
  <c r="T707" i="29"/>
  <c r="S707" i="29"/>
  <c r="Q707" i="29"/>
  <c r="R707" i="29"/>
  <c r="P707" i="29"/>
  <c r="O707" i="29"/>
  <c r="N707" i="29"/>
  <c r="M707" i="29"/>
  <c r="L707" i="29"/>
  <c r="K707" i="29"/>
  <c r="J707" i="29"/>
  <c r="I707" i="29"/>
  <c r="H707" i="29"/>
  <c r="G707" i="29"/>
  <c r="F707" i="29"/>
  <c r="V711" i="29"/>
  <c r="U711" i="29"/>
  <c r="S711" i="29"/>
  <c r="T711" i="29"/>
  <c r="R711" i="29"/>
  <c r="Q711" i="29"/>
  <c r="P711" i="29"/>
  <c r="O711" i="29"/>
  <c r="N711" i="29"/>
  <c r="M711" i="29"/>
  <c r="L711" i="29"/>
  <c r="K711" i="29"/>
  <c r="J711" i="29"/>
  <c r="I711" i="29"/>
  <c r="H711" i="29"/>
  <c r="G711" i="29"/>
  <c r="F711" i="29"/>
  <c r="V715" i="29"/>
  <c r="U715" i="29"/>
  <c r="S715" i="29"/>
  <c r="Q715" i="29"/>
  <c r="R715" i="29"/>
  <c r="T715" i="29"/>
  <c r="P715" i="29"/>
  <c r="O715" i="29"/>
  <c r="N715" i="29"/>
  <c r="M715" i="29"/>
  <c r="L715" i="29"/>
  <c r="K715" i="29"/>
  <c r="J715" i="29"/>
  <c r="I715" i="29"/>
  <c r="H715" i="29"/>
  <c r="G715" i="29"/>
  <c r="F715" i="29"/>
  <c r="V719" i="29"/>
  <c r="U719" i="29"/>
  <c r="T719" i="29"/>
  <c r="S719" i="29"/>
  <c r="R719" i="29"/>
  <c r="Q719" i="29"/>
  <c r="P719" i="29"/>
  <c r="O719" i="29"/>
  <c r="N719" i="29"/>
  <c r="M719" i="29"/>
  <c r="L719" i="29"/>
  <c r="K719" i="29"/>
  <c r="J719" i="29"/>
  <c r="I719" i="29"/>
  <c r="H719" i="29"/>
  <c r="G719" i="29"/>
  <c r="F719" i="29"/>
  <c r="V723" i="29"/>
  <c r="U723" i="29"/>
  <c r="T723" i="29"/>
  <c r="S723" i="29"/>
  <c r="Q723" i="29"/>
  <c r="P723" i="29"/>
  <c r="R723" i="29"/>
  <c r="O723" i="29"/>
  <c r="N723" i="29"/>
  <c r="M723" i="29"/>
  <c r="L723" i="29"/>
  <c r="K723" i="29"/>
  <c r="J723" i="29"/>
  <c r="I723" i="29"/>
  <c r="H723" i="29"/>
  <c r="G723" i="29"/>
  <c r="F723" i="29"/>
  <c r="V306" i="29"/>
  <c r="U306" i="29"/>
  <c r="T306" i="29"/>
  <c r="S306" i="29"/>
  <c r="R306" i="29"/>
  <c r="Q306" i="29"/>
  <c r="P306" i="29"/>
  <c r="O306" i="29"/>
  <c r="N306" i="29"/>
  <c r="M306" i="29"/>
  <c r="L306" i="29"/>
  <c r="K306" i="29"/>
  <c r="G306" i="29"/>
  <c r="J306" i="29"/>
  <c r="I306" i="29"/>
  <c r="F306" i="29"/>
  <c r="H306" i="29"/>
  <c r="V318" i="29"/>
  <c r="U318" i="29"/>
  <c r="T318" i="29"/>
  <c r="S318" i="29"/>
  <c r="R318" i="29"/>
  <c r="Q318" i="29"/>
  <c r="P318" i="29"/>
  <c r="O318" i="29"/>
  <c r="N318" i="29"/>
  <c r="M318" i="29"/>
  <c r="L318" i="29"/>
  <c r="K318" i="29"/>
  <c r="G318" i="29"/>
  <c r="J318" i="29"/>
  <c r="I318" i="29"/>
  <c r="F318" i="29"/>
  <c r="H318" i="29"/>
  <c r="V315" i="29"/>
  <c r="U315" i="29"/>
  <c r="S315" i="29"/>
  <c r="T315" i="29"/>
  <c r="R315" i="29"/>
  <c r="Q315" i="29"/>
  <c r="P315" i="29"/>
  <c r="O315" i="29"/>
  <c r="N315" i="29"/>
  <c r="M315" i="29"/>
  <c r="L315" i="29"/>
  <c r="K315" i="29"/>
  <c r="J315" i="29"/>
  <c r="I315" i="29"/>
  <c r="H315" i="29"/>
  <c r="G315" i="29"/>
  <c r="F315" i="29"/>
  <c r="V327" i="29"/>
  <c r="U327" i="29"/>
  <c r="T327" i="29"/>
  <c r="S327" i="29"/>
  <c r="R327" i="29"/>
  <c r="Q327" i="29"/>
  <c r="P327" i="29"/>
  <c r="O327" i="29"/>
  <c r="N327" i="29"/>
  <c r="M327" i="29"/>
  <c r="L327" i="29"/>
  <c r="K327" i="29"/>
  <c r="J327" i="29"/>
  <c r="I327" i="29"/>
  <c r="H327" i="29"/>
  <c r="F327" i="29"/>
  <c r="G327" i="29"/>
  <c r="V339" i="29"/>
  <c r="U339" i="29"/>
  <c r="T339" i="29"/>
  <c r="Q339" i="29"/>
  <c r="S339" i="29"/>
  <c r="R339" i="29"/>
  <c r="P339" i="29"/>
  <c r="O339" i="29"/>
  <c r="N339" i="29"/>
  <c r="M339" i="29"/>
  <c r="L339" i="29"/>
  <c r="K339" i="29"/>
  <c r="J339" i="29"/>
  <c r="I339" i="29"/>
  <c r="H339" i="29"/>
  <c r="G339" i="29"/>
  <c r="F339" i="29"/>
  <c r="V351" i="29"/>
  <c r="U351" i="29"/>
  <c r="T351" i="29"/>
  <c r="S351" i="29"/>
  <c r="Q351" i="29"/>
  <c r="R351" i="29"/>
  <c r="P351" i="29"/>
  <c r="O351" i="29"/>
  <c r="N351" i="29"/>
  <c r="M351" i="29"/>
  <c r="L351" i="29"/>
  <c r="K351" i="29"/>
  <c r="J351" i="29"/>
  <c r="I351" i="29"/>
  <c r="H351" i="29"/>
  <c r="F351" i="29"/>
  <c r="G351" i="29"/>
  <c r="V363" i="29"/>
  <c r="U363" i="29"/>
  <c r="T363" i="29"/>
  <c r="S363" i="29"/>
  <c r="R363" i="29"/>
  <c r="P363" i="29"/>
  <c r="Q363" i="29"/>
  <c r="O363" i="29"/>
  <c r="N363" i="29"/>
  <c r="M363" i="29"/>
  <c r="L363" i="29"/>
  <c r="K363" i="29"/>
  <c r="J363" i="29"/>
  <c r="I363" i="29"/>
  <c r="H363" i="29"/>
  <c r="G363" i="29"/>
  <c r="F363" i="29"/>
  <c r="V308" i="29"/>
  <c r="U308" i="29"/>
  <c r="T308" i="29"/>
  <c r="S308" i="29"/>
  <c r="R308" i="29"/>
  <c r="Q308" i="29"/>
  <c r="P308" i="29"/>
  <c r="O308" i="29"/>
  <c r="N308" i="29"/>
  <c r="M308" i="29"/>
  <c r="L308" i="29"/>
  <c r="K308" i="29"/>
  <c r="J308" i="29"/>
  <c r="I308" i="29"/>
  <c r="H308" i="29"/>
  <c r="G308" i="29"/>
  <c r="F308" i="29"/>
  <c r="V320" i="29"/>
  <c r="U320" i="29"/>
  <c r="T320" i="29"/>
  <c r="S320" i="29"/>
  <c r="R320" i="29"/>
  <c r="Q320" i="29"/>
  <c r="P320" i="29"/>
  <c r="O320" i="29"/>
  <c r="N320" i="29"/>
  <c r="M320" i="29"/>
  <c r="L320" i="29"/>
  <c r="K320" i="29"/>
  <c r="J320" i="29"/>
  <c r="I320" i="29"/>
  <c r="H320" i="29"/>
  <c r="G320" i="29"/>
  <c r="F320" i="29"/>
  <c r="V332" i="29"/>
  <c r="T332" i="29"/>
  <c r="U332" i="29"/>
  <c r="S332" i="29"/>
  <c r="R332" i="29"/>
  <c r="Q332" i="29"/>
  <c r="P332" i="29"/>
  <c r="O332" i="29"/>
  <c r="N332" i="29"/>
  <c r="M332" i="29"/>
  <c r="L332" i="29"/>
  <c r="K332" i="29"/>
  <c r="J332" i="29"/>
  <c r="I332" i="29"/>
  <c r="H332" i="29"/>
  <c r="G332" i="29"/>
  <c r="F332" i="29"/>
  <c r="V340" i="29"/>
  <c r="U340" i="29"/>
  <c r="T340" i="29"/>
  <c r="S340" i="29"/>
  <c r="R340" i="29"/>
  <c r="Q340" i="29"/>
  <c r="P340" i="29"/>
  <c r="O340" i="29"/>
  <c r="N340" i="29"/>
  <c r="M340" i="29"/>
  <c r="L340" i="29"/>
  <c r="K340" i="29"/>
  <c r="J340" i="29"/>
  <c r="I340" i="29"/>
  <c r="H340" i="29"/>
  <c r="G340" i="29"/>
  <c r="F340" i="29"/>
  <c r="V348" i="29"/>
  <c r="U348" i="29"/>
  <c r="T348" i="29"/>
  <c r="S348" i="29"/>
  <c r="R348" i="29"/>
  <c r="Q348" i="29"/>
  <c r="P348" i="29"/>
  <c r="O348" i="29"/>
  <c r="N348" i="29"/>
  <c r="M348" i="29"/>
  <c r="L348" i="29"/>
  <c r="K348" i="29"/>
  <c r="J348" i="29"/>
  <c r="I348" i="29"/>
  <c r="H348" i="29"/>
  <c r="G348" i="29"/>
  <c r="F348" i="29"/>
  <c r="V360" i="29"/>
  <c r="T360" i="29"/>
  <c r="U360" i="29"/>
  <c r="S360" i="29"/>
  <c r="R360" i="29"/>
  <c r="Q360" i="29"/>
  <c r="P360" i="29"/>
  <c r="O360" i="29"/>
  <c r="N360" i="29"/>
  <c r="M360" i="29"/>
  <c r="L360" i="29"/>
  <c r="K360" i="29"/>
  <c r="J360" i="29"/>
  <c r="I360" i="29"/>
  <c r="H360" i="29"/>
  <c r="G360" i="29"/>
  <c r="F360" i="29"/>
  <c r="V368" i="29"/>
  <c r="T368" i="29"/>
  <c r="U368" i="29"/>
  <c r="S368" i="29"/>
  <c r="R368" i="29"/>
  <c r="Q368" i="29"/>
  <c r="P368" i="29"/>
  <c r="O368" i="29"/>
  <c r="N368" i="29"/>
  <c r="M368" i="29"/>
  <c r="L368" i="29"/>
  <c r="K368" i="29"/>
  <c r="J368" i="29"/>
  <c r="I368" i="29"/>
  <c r="H368" i="29"/>
  <c r="G368" i="29"/>
  <c r="F368" i="29"/>
  <c r="V376" i="29"/>
  <c r="T376" i="29"/>
  <c r="U376" i="29"/>
  <c r="S376" i="29"/>
  <c r="R376" i="29"/>
  <c r="Q376" i="29"/>
  <c r="P376" i="29"/>
  <c r="O376" i="29"/>
  <c r="N376" i="29"/>
  <c r="M376" i="29"/>
  <c r="L376" i="29"/>
  <c r="K376" i="29"/>
  <c r="J376" i="29"/>
  <c r="I376" i="29"/>
  <c r="H376" i="29"/>
  <c r="G376" i="29"/>
  <c r="F376" i="29"/>
  <c r="V384" i="29"/>
  <c r="U384" i="29"/>
  <c r="T384" i="29"/>
  <c r="S384" i="29"/>
  <c r="R384" i="29"/>
  <c r="Q384" i="29"/>
  <c r="P384" i="29"/>
  <c r="O384" i="29"/>
  <c r="N384" i="29"/>
  <c r="M384" i="29"/>
  <c r="L384" i="29"/>
  <c r="K384" i="29"/>
  <c r="J384" i="29"/>
  <c r="I384" i="29"/>
  <c r="H384" i="29"/>
  <c r="G384" i="29"/>
  <c r="F384" i="29"/>
  <c r="V392" i="29"/>
  <c r="T392" i="29"/>
  <c r="U392" i="29"/>
  <c r="S392" i="29"/>
  <c r="R392" i="29"/>
  <c r="Q392" i="29"/>
  <c r="P392" i="29"/>
  <c r="O392" i="29"/>
  <c r="N392" i="29"/>
  <c r="M392" i="29"/>
  <c r="L392" i="29"/>
  <c r="K392" i="29"/>
  <c r="J392" i="29"/>
  <c r="I392" i="29"/>
  <c r="H392" i="29"/>
  <c r="G392" i="29"/>
  <c r="F392" i="29"/>
  <c r="V400" i="29"/>
  <c r="T400" i="29"/>
  <c r="U400" i="29"/>
  <c r="S400" i="29"/>
  <c r="R400" i="29"/>
  <c r="Q400" i="29"/>
  <c r="P400" i="29"/>
  <c r="O400" i="29"/>
  <c r="N400" i="29"/>
  <c r="M400" i="29"/>
  <c r="L400" i="29"/>
  <c r="K400" i="29"/>
  <c r="J400" i="29"/>
  <c r="I400" i="29"/>
  <c r="H400" i="29"/>
  <c r="G400" i="29"/>
  <c r="F400" i="29"/>
  <c r="T408" i="29"/>
  <c r="S408" i="29"/>
  <c r="V408" i="29"/>
  <c r="U408" i="29"/>
  <c r="R408" i="29"/>
  <c r="Q408" i="29"/>
  <c r="P408" i="29"/>
  <c r="O408" i="29"/>
  <c r="N408" i="29"/>
  <c r="M408" i="29"/>
  <c r="L408" i="29"/>
  <c r="K408" i="29"/>
  <c r="J408" i="29"/>
  <c r="I408" i="29"/>
  <c r="H408" i="29"/>
  <c r="G408" i="29"/>
  <c r="F408" i="29"/>
  <c r="V412" i="29"/>
  <c r="U412" i="29"/>
  <c r="T412" i="29"/>
  <c r="S412" i="29"/>
  <c r="R412" i="29"/>
  <c r="Q412" i="29"/>
  <c r="P412" i="29"/>
  <c r="O412" i="29"/>
  <c r="N412" i="29"/>
  <c r="M412" i="29"/>
  <c r="L412" i="29"/>
  <c r="K412" i="29"/>
  <c r="J412" i="29"/>
  <c r="I412" i="29"/>
  <c r="H412" i="29"/>
  <c r="G412" i="29"/>
  <c r="F412" i="29"/>
  <c r="V420" i="29"/>
  <c r="U420" i="29"/>
  <c r="T420" i="29"/>
  <c r="S420" i="29"/>
  <c r="R420" i="29"/>
  <c r="Q420" i="29"/>
  <c r="P420" i="29"/>
  <c r="O420" i="29"/>
  <c r="N420" i="29"/>
  <c r="M420" i="29"/>
  <c r="L420" i="29"/>
  <c r="K420" i="29"/>
  <c r="J420" i="29"/>
  <c r="I420" i="29"/>
  <c r="H420" i="29"/>
  <c r="G420" i="29"/>
  <c r="F420" i="29"/>
  <c r="V423" i="29"/>
  <c r="U423" i="29"/>
  <c r="T423" i="29"/>
  <c r="S423" i="29"/>
  <c r="R423" i="29"/>
  <c r="Q423" i="29"/>
  <c r="P423" i="29"/>
  <c r="O423" i="29"/>
  <c r="N423" i="29"/>
  <c r="M423" i="29"/>
  <c r="L423" i="29"/>
  <c r="K423" i="29"/>
  <c r="J423" i="29"/>
  <c r="I423" i="29"/>
  <c r="H423" i="29"/>
  <c r="G423" i="29"/>
  <c r="F423" i="29"/>
  <c r="V428" i="29"/>
  <c r="U428" i="29"/>
  <c r="T428" i="29"/>
  <c r="S428" i="29"/>
  <c r="R428" i="29"/>
  <c r="Q428" i="29"/>
  <c r="P428" i="29"/>
  <c r="O428" i="29"/>
  <c r="N428" i="29"/>
  <c r="M428" i="29"/>
  <c r="L428" i="29"/>
  <c r="K428" i="29"/>
  <c r="J428" i="29"/>
  <c r="I428" i="29"/>
  <c r="H428" i="29"/>
  <c r="G428" i="29"/>
  <c r="F428" i="29"/>
  <c r="V436" i="29"/>
  <c r="U436" i="29"/>
  <c r="T436" i="29"/>
  <c r="S436" i="29"/>
  <c r="R436" i="29"/>
  <c r="Q436" i="29"/>
  <c r="P436" i="29"/>
  <c r="O436" i="29"/>
  <c r="N436" i="29"/>
  <c r="M436" i="29"/>
  <c r="L436" i="29"/>
  <c r="K436" i="29"/>
  <c r="J436" i="29"/>
  <c r="I436" i="29"/>
  <c r="H436" i="29"/>
  <c r="G436" i="29"/>
  <c r="F436" i="29"/>
  <c r="V440" i="29"/>
  <c r="T440" i="29"/>
  <c r="S440" i="29"/>
  <c r="U440" i="29"/>
  <c r="R440" i="29"/>
  <c r="Q440" i="29"/>
  <c r="P440" i="29"/>
  <c r="O440" i="29"/>
  <c r="N440" i="29"/>
  <c r="M440" i="29"/>
  <c r="L440" i="29"/>
  <c r="K440" i="29"/>
  <c r="J440" i="29"/>
  <c r="I440" i="29"/>
  <c r="H440" i="29"/>
  <c r="G440" i="29"/>
  <c r="F440" i="29"/>
  <c r="V444" i="29"/>
  <c r="U444" i="29"/>
  <c r="T444" i="29"/>
  <c r="S444" i="29"/>
  <c r="R444" i="29"/>
  <c r="Q444" i="29"/>
  <c r="P444" i="29"/>
  <c r="O444" i="29"/>
  <c r="N444" i="29"/>
  <c r="M444" i="29"/>
  <c r="L444" i="29"/>
  <c r="K444" i="29"/>
  <c r="J444" i="29"/>
  <c r="I444" i="29"/>
  <c r="H444" i="29"/>
  <c r="G444" i="29"/>
  <c r="F444" i="29"/>
  <c r="V448" i="29"/>
  <c r="U448" i="29"/>
  <c r="T448" i="29"/>
  <c r="S448" i="29"/>
  <c r="R448" i="29"/>
  <c r="Q448" i="29"/>
  <c r="P448" i="29"/>
  <c r="O448" i="29"/>
  <c r="N448" i="29"/>
  <c r="M448" i="29"/>
  <c r="L448" i="29"/>
  <c r="K448" i="29"/>
  <c r="J448" i="29"/>
  <c r="I448" i="29"/>
  <c r="H448" i="29"/>
  <c r="G448" i="29"/>
  <c r="F448" i="29"/>
  <c r="V452" i="29"/>
  <c r="U452" i="29"/>
  <c r="T452" i="29"/>
  <c r="S452" i="29"/>
  <c r="R452" i="29"/>
  <c r="Q452" i="29"/>
  <c r="P452" i="29"/>
  <c r="O452" i="29"/>
  <c r="N452" i="29"/>
  <c r="M452" i="29"/>
  <c r="L452" i="29"/>
  <c r="K452" i="29"/>
  <c r="J452" i="29"/>
  <c r="I452" i="29"/>
  <c r="H452" i="29"/>
  <c r="G452" i="29"/>
  <c r="F452" i="29"/>
  <c r="V456" i="29"/>
  <c r="T456" i="29"/>
  <c r="U456" i="29"/>
  <c r="S456" i="29"/>
  <c r="R456" i="29"/>
  <c r="Q456" i="29"/>
  <c r="P456" i="29"/>
  <c r="O456" i="29"/>
  <c r="N456" i="29"/>
  <c r="M456" i="29"/>
  <c r="L456" i="29"/>
  <c r="K456" i="29"/>
  <c r="J456" i="29"/>
  <c r="I456" i="29"/>
  <c r="H456" i="29"/>
  <c r="G456" i="29"/>
  <c r="F456" i="29"/>
  <c r="V460" i="29"/>
  <c r="U460" i="29"/>
  <c r="T460" i="29"/>
  <c r="S460" i="29"/>
  <c r="R460" i="29"/>
  <c r="Q460" i="29"/>
  <c r="P460" i="29"/>
  <c r="O460" i="29"/>
  <c r="N460" i="29"/>
  <c r="M460" i="29"/>
  <c r="L460" i="29"/>
  <c r="K460" i="29"/>
  <c r="J460" i="29"/>
  <c r="I460" i="29"/>
  <c r="H460" i="29"/>
  <c r="G460" i="29"/>
  <c r="F460" i="29"/>
  <c r="V464" i="29"/>
  <c r="T464" i="29"/>
  <c r="U464" i="29"/>
  <c r="S464" i="29"/>
  <c r="R464" i="29"/>
  <c r="Q464" i="29"/>
  <c r="P464" i="29"/>
  <c r="O464" i="29"/>
  <c r="N464" i="29"/>
  <c r="M464" i="29"/>
  <c r="L464" i="29"/>
  <c r="K464" i="29"/>
  <c r="J464" i="29"/>
  <c r="I464" i="29"/>
  <c r="H464" i="29"/>
  <c r="G464" i="29"/>
  <c r="F464" i="29"/>
  <c r="V468" i="29"/>
  <c r="U468" i="29"/>
  <c r="T468" i="29"/>
  <c r="S468" i="29"/>
  <c r="R468" i="29"/>
  <c r="Q468" i="29"/>
  <c r="P468" i="29"/>
  <c r="O468" i="29"/>
  <c r="N468" i="29"/>
  <c r="M468" i="29"/>
  <c r="L468" i="29"/>
  <c r="K468" i="29"/>
  <c r="J468" i="29"/>
  <c r="I468" i="29"/>
  <c r="H468" i="29"/>
  <c r="G468" i="29"/>
  <c r="F468" i="29"/>
  <c r="V472" i="29"/>
  <c r="T472" i="29"/>
  <c r="S472" i="29"/>
  <c r="R472" i="29"/>
  <c r="Q472" i="29"/>
  <c r="P472" i="29"/>
  <c r="U472" i="29"/>
  <c r="O472" i="29"/>
  <c r="N472" i="29"/>
  <c r="M472" i="29"/>
  <c r="L472" i="29"/>
  <c r="K472" i="29"/>
  <c r="J472" i="29"/>
  <c r="I472" i="29"/>
  <c r="H472" i="29"/>
  <c r="G472" i="29"/>
  <c r="F472" i="29"/>
  <c r="V476" i="29"/>
  <c r="U476" i="29"/>
  <c r="T476" i="29"/>
  <c r="S476" i="29"/>
  <c r="R476" i="29"/>
  <c r="Q476" i="29"/>
  <c r="P476" i="29"/>
  <c r="O476" i="29"/>
  <c r="N476" i="29"/>
  <c r="M476" i="29"/>
  <c r="L476" i="29"/>
  <c r="K476" i="29"/>
  <c r="J476" i="29"/>
  <c r="I476" i="29"/>
  <c r="H476" i="29"/>
  <c r="G476" i="29"/>
  <c r="F476" i="29"/>
  <c r="V480" i="29"/>
  <c r="U480" i="29"/>
  <c r="T480" i="29"/>
  <c r="S480" i="29"/>
  <c r="R480" i="29"/>
  <c r="Q480" i="29"/>
  <c r="P480" i="29"/>
  <c r="O480" i="29"/>
  <c r="N480" i="29"/>
  <c r="M480" i="29"/>
  <c r="L480" i="29"/>
  <c r="K480" i="29"/>
  <c r="J480" i="29"/>
  <c r="I480" i="29"/>
  <c r="H480" i="29"/>
  <c r="G480" i="29"/>
  <c r="F480" i="29"/>
  <c r="V484" i="29"/>
  <c r="U484" i="29"/>
  <c r="T484" i="29"/>
  <c r="S484" i="29"/>
  <c r="R484" i="29"/>
  <c r="Q484" i="29"/>
  <c r="P484" i="29"/>
  <c r="O484" i="29"/>
  <c r="N484" i="29"/>
  <c r="M484" i="29"/>
  <c r="L484" i="29"/>
  <c r="K484" i="29"/>
  <c r="J484" i="29"/>
  <c r="I484" i="29"/>
  <c r="H484" i="29"/>
  <c r="G484" i="29"/>
  <c r="F484" i="29"/>
  <c r="V488" i="29"/>
  <c r="T488" i="29"/>
  <c r="U488" i="29"/>
  <c r="S488" i="29"/>
  <c r="R488" i="29"/>
  <c r="Q488" i="29"/>
  <c r="P488" i="29"/>
  <c r="O488" i="29"/>
  <c r="N488" i="29"/>
  <c r="M488" i="29"/>
  <c r="L488" i="29"/>
  <c r="K488" i="29"/>
  <c r="J488" i="29"/>
  <c r="I488" i="29"/>
  <c r="H488" i="29"/>
  <c r="G488" i="29"/>
  <c r="F488" i="29"/>
  <c r="V492" i="29"/>
  <c r="U492" i="29"/>
  <c r="T492" i="29"/>
  <c r="S492" i="29"/>
  <c r="R492" i="29"/>
  <c r="Q492" i="29"/>
  <c r="P492" i="29"/>
  <c r="O492" i="29"/>
  <c r="N492" i="29"/>
  <c r="M492" i="29"/>
  <c r="L492" i="29"/>
  <c r="K492" i="29"/>
  <c r="J492" i="29"/>
  <c r="I492" i="29"/>
  <c r="H492" i="29"/>
  <c r="G492" i="29"/>
  <c r="F492" i="29"/>
  <c r="V496" i="29"/>
  <c r="T496" i="29"/>
  <c r="U496" i="29"/>
  <c r="S496" i="29"/>
  <c r="R496" i="29"/>
  <c r="Q496" i="29"/>
  <c r="P496" i="29"/>
  <c r="O496" i="29"/>
  <c r="N496" i="29"/>
  <c r="M496" i="29"/>
  <c r="L496" i="29"/>
  <c r="K496" i="29"/>
  <c r="J496" i="29"/>
  <c r="I496" i="29"/>
  <c r="H496" i="29"/>
  <c r="G496" i="29"/>
  <c r="F496" i="29"/>
  <c r="V500" i="29"/>
  <c r="U500" i="29"/>
  <c r="T500" i="29"/>
  <c r="S500" i="29"/>
  <c r="R500" i="29"/>
  <c r="Q500" i="29"/>
  <c r="P500" i="29"/>
  <c r="O500" i="29"/>
  <c r="N500" i="29"/>
  <c r="M500" i="29"/>
  <c r="L500" i="29"/>
  <c r="K500" i="29"/>
  <c r="J500" i="29"/>
  <c r="I500" i="29"/>
  <c r="H500" i="29"/>
  <c r="G500" i="29"/>
  <c r="F500" i="29"/>
  <c r="V504" i="29"/>
  <c r="T504" i="29"/>
  <c r="U504" i="29"/>
  <c r="S504" i="29"/>
  <c r="R504" i="29"/>
  <c r="Q504" i="29"/>
  <c r="P504" i="29"/>
  <c r="O504" i="29"/>
  <c r="N504" i="29"/>
  <c r="M504" i="29"/>
  <c r="L504" i="29"/>
  <c r="K504" i="29"/>
  <c r="J504" i="29"/>
  <c r="I504" i="29"/>
  <c r="H504" i="29"/>
  <c r="G504" i="29"/>
  <c r="F504" i="29"/>
  <c r="V508" i="29"/>
  <c r="U508" i="29"/>
  <c r="T508" i="29"/>
  <c r="S508" i="29"/>
  <c r="R508" i="29"/>
  <c r="Q508" i="29"/>
  <c r="P508" i="29"/>
  <c r="O508" i="29"/>
  <c r="N508" i="29"/>
  <c r="M508" i="29"/>
  <c r="L508" i="29"/>
  <c r="K508" i="29"/>
  <c r="J508" i="29"/>
  <c r="I508" i="29"/>
  <c r="H508" i="29"/>
  <c r="G508" i="29"/>
  <c r="F508" i="29"/>
  <c r="V512" i="29"/>
  <c r="U512" i="29"/>
  <c r="T512" i="29"/>
  <c r="S512" i="29"/>
  <c r="R512" i="29"/>
  <c r="Q512" i="29"/>
  <c r="P512" i="29"/>
  <c r="O512" i="29"/>
  <c r="N512" i="29"/>
  <c r="M512" i="29"/>
  <c r="L512" i="29"/>
  <c r="K512" i="29"/>
  <c r="J512" i="29"/>
  <c r="I512" i="29"/>
  <c r="H512" i="29"/>
  <c r="G512" i="29"/>
  <c r="F512" i="29"/>
  <c r="V516" i="29"/>
  <c r="U516" i="29"/>
  <c r="T516" i="29"/>
  <c r="S516" i="29"/>
  <c r="R516" i="29"/>
  <c r="Q516" i="29"/>
  <c r="P516" i="29"/>
  <c r="O516" i="29"/>
  <c r="N516" i="29"/>
  <c r="M516" i="29"/>
  <c r="L516" i="29"/>
  <c r="K516" i="29"/>
  <c r="J516" i="29"/>
  <c r="I516" i="29"/>
  <c r="H516" i="29"/>
  <c r="G516" i="29"/>
  <c r="F516" i="29"/>
  <c r="V520" i="29"/>
  <c r="T520" i="29"/>
  <c r="U520" i="29"/>
  <c r="S520" i="29"/>
  <c r="R520" i="29"/>
  <c r="Q520" i="29"/>
  <c r="P520" i="29"/>
  <c r="O520" i="29"/>
  <c r="N520" i="29"/>
  <c r="M520" i="29"/>
  <c r="L520" i="29"/>
  <c r="K520" i="29"/>
  <c r="J520" i="29"/>
  <c r="I520" i="29"/>
  <c r="H520" i="29"/>
  <c r="G520" i="29"/>
  <c r="F520" i="29"/>
  <c r="V524" i="29"/>
  <c r="U524" i="29"/>
  <c r="T524" i="29"/>
  <c r="S524" i="29"/>
  <c r="R524" i="29"/>
  <c r="Q524" i="29"/>
  <c r="P524" i="29"/>
  <c r="O524" i="29"/>
  <c r="N524" i="29"/>
  <c r="M524" i="29"/>
  <c r="L524" i="29"/>
  <c r="K524" i="29"/>
  <c r="J524" i="29"/>
  <c r="I524" i="29"/>
  <c r="H524" i="29"/>
  <c r="G524" i="29"/>
  <c r="F524" i="29"/>
  <c r="V528" i="29"/>
  <c r="T528" i="29"/>
  <c r="U528" i="29"/>
  <c r="S528" i="29"/>
  <c r="R528" i="29"/>
  <c r="Q528" i="29"/>
  <c r="P528" i="29"/>
  <c r="O528" i="29"/>
  <c r="N528" i="29"/>
  <c r="M528" i="29"/>
  <c r="L528" i="29"/>
  <c r="K528" i="29"/>
  <c r="J528" i="29"/>
  <c r="I528" i="29"/>
  <c r="H528" i="29"/>
  <c r="G528" i="29"/>
  <c r="F528" i="29"/>
  <c r="V532" i="29"/>
  <c r="U532" i="29"/>
  <c r="T532" i="29"/>
  <c r="S532" i="29"/>
  <c r="R532" i="29"/>
  <c r="Q532" i="29"/>
  <c r="P532" i="29"/>
  <c r="O532" i="29"/>
  <c r="N532" i="29"/>
  <c r="M532" i="29"/>
  <c r="L532" i="29"/>
  <c r="K532" i="29"/>
  <c r="J532" i="29"/>
  <c r="I532" i="29"/>
  <c r="H532" i="29"/>
  <c r="G532" i="29"/>
  <c r="F532" i="29"/>
  <c r="T536" i="29"/>
  <c r="V536" i="29"/>
  <c r="S536" i="29"/>
  <c r="U536" i="29"/>
  <c r="R536" i="29"/>
  <c r="Q536" i="29"/>
  <c r="P536" i="29"/>
  <c r="O536" i="29"/>
  <c r="N536" i="29"/>
  <c r="M536" i="29"/>
  <c r="L536" i="29"/>
  <c r="K536" i="29"/>
  <c r="J536" i="29"/>
  <c r="I536" i="29"/>
  <c r="H536" i="29"/>
  <c r="G536" i="29"/>
  <c r="F536" i="29"/>
  <c r="V540" i="29"/>
  <c r="U540" i="29"/>
  <c r="T540" i="29"/>
  <c r="S540" i="29"/>
  <c r="R540" i="29"/>
  <c r="Q540" i="29"/>
  <c r="P540" i="29"/>
  <c r="O540" i="29"/>
  <c r="N540" i="29"/>
  <c r="M540" i="29"/>
  <c r="L540" i="29"/>
  <c r="K540" i="29"/>
  <c r="J540" i="29"/>
  <c r="I540" i="29"/>
  <c r="H540" i="29"/>
  <c r="G540" i="29"/>
  <c r="F540" i="29"/>
  <c r="V544" i="29"/>
  <c r="U544" i="29"/>
  <c r="T544" i="29"/>
  <c r="S544" i="29"/>
  <c r="R544" i="29"/>
  <c r="Q544" i="29"/>
  <c r="P544" i="29"/>
  <c r="O544" i="29"/>
  <c r="N544" i="29"/>
  <c r="M544" i="29"/>
  <c r="L544" i="29"/>
  <c r="K544" i="29"/>
  <c r="J544" i="29"/>
  <c r="I544" i="29"/>
  <c r="H544" i="29"/>
  <c r="G544" i="29"/>
  <c r="F544" i="29"/>
  <c r="V548" i="29"/>
  <c r="U548" i="29"/>
  <c r="T548" i="29"/>
  <c r="S548" i="29"/>
  <c r="R548" i="29"/>
  <c r="Q548" i="29"/>
  <c r="P548" i="29"/>
  <c r="O548" i="29"/>
  <c r="N548" i="29"/>
  <c r="M548" i="29"/>
  <c r="L548" i="29"/>
  <c r="K548" i="29"/>
  <c r="J548" i="29"/>
  <c r="I548" i="29"/>
  <c r="H548" i="29"/>
  <c r="G548" i="29"/>
  <c r="F548" i="29"/>
  <c r="V552" i="29"/>
  <c r="T552" i="29"/>
  <c r="U552" i="29"/>
  <c r="S552" i="29"/>
  <c r="R552" i="29"/>
  <c r="Q552" i="29"/>
  <c r="P552" i="29"/>
  <c r="O552" i="29"/>
  <c r="N552" i="29"/>
  <c r="M552" i="29"/>
  <c r="L552" i="29"/>
  <c r="K552" i="29"/>
  <c r="J552" i="29"/>
  <c r="I552" i="29"/>
  <c r="H552" i="29"/>
  <c r="G552" i="29"/>
  <c r="F552" i="29"/>
  <c r="V556" i="29"/>
  <c r="U556" i="29"/>
  <c r="T556" i="29"/>
  <c r="S556" i="29"/>
  <c r="R556" i="29"/>
  <c r="Q556" i="29"/>
  <c r="P556" i="29"/>
  <c r="O556" i="29"/>
  <c r="N556" i="29"/>
  <c r="M556" i="29"/>
  <c r="L556" i="29"/>
  <c r="K556" i="29"/>
  <c r="J556" i="29"/>
  <c r="I556" i="29"/>
  <c r="H556" i="29"/>
  <c r="G556" i="29"/>
  <c r="F556" i="29"/>
  <c r="V560" i="29"/>
  <c r="T560" i="29"/>
  <c r="U560" i="29"/>
  <c r="S560" i="29"/>
  <c r="R560" i="29"/>
  <c r="Q560" i="29"/>
  <c r="P560" i="29"/>
  <c r="O560" i="29"/>
  <c r="N560" i="29"/>
  <c r="M560" i="29"/>
  <c r="L560" i="29"/>
  <c r="K560" i="29"/>
  <c r="J560" i="29"/>
  <c r="I560" i="29"/>
  <c r="H560" i="29"/>
  <c r="G560" i="29"/>
  <c r="F560" i="29"/>
  <c r="V564" i="29"/>
  <c r="U564" i="29"/>
  <c r="T564" i="29"/>
  <c r="S564" i="29"/>
  <c r="R564" i="29"/>
  <c r="Q564" i="29"/>
  <c r="P564" i="29"/>
  <c r="O564" i="29"/>
  <c r="N564" i="29"/>
  <c r="M564" i="29"/>
  <c r="L564" i="29"/>
  <c r="K564" i="29"/>
  <c r="J564" i="29"/>
  <c r="I564" i="29"/>
  <c r="H564" i="29"/>
  <c r="G564" i="29"/>
  <c r="F564" i="29"/>
  <c r="V568" i="29"/>
  <c r="T568" i="29"/>
  <c r="S568" i="29"/>
  <c r="U568" i="29"/>
  <c r="R568" i="29"/>
  <c r="Q568" i="29"/>
  <c r="P568" i="29"/>
  <c r="O568" i="29"/>
  <c r="N568" i="29"/>
  <c r="M568" i="29"/>
  <c r="L568" i="29"/>
  <c r="K568" i="29"/>
  <c r="J568" i="29"/>
  <c r="I568" i="29"/>
  <c r="H568" i="29"/>
  <c r="G568" i="29"/>
  <c r="F568" i="29"/>
  <c r="V572" i="29"/>
  <c r="U572" i="29"/>
  <c r="T572" i="29"/>
  <c r="S572" i="29"/>
  <c r="R572" i="29"/>
  <c r="Q572" i="29"/>
  <c r="P572" i="29"/>
  <c r="O572" i="29"/>
  <c r="N572" i="29"/>
  <c r="M572" i="29"/>
  <c r="L572" i="29"/>
  <c r="K572" i="29"/>
  <c r="J572" i="29"/>
  <c r="I572" i="29"/>
  <c r="H572" i="29"/>
  <c r="G572" i="29"/>
  <c r="F572" i="29"/>
  <c r="V576" i="29"/>
  <c r="U576" i="29"/>
  <c r="T576" i="29"/>
  <c r="S576" i="29"/>
  <c r="R576" i="29"/>
  <c r="Q576" i="29"/>
  <c r="P576" i="29"/>
  <c r="O576" i="29"/>
  <c r="N576" i="29"/>
  <c r="M576" i="29"/>
  <c r="L576" i="29"/>
  <c r="K576" i="29"/>
  <c r="J576" i="29"/>
  <c r="I576" i="29"/>
  <c r="H576" i="29"/>
  <c r="G576" i="29"/>
  <c r="F576" i="29"/>
  <c r="U580" i="29"/>
  <c r="V580" i="29"/>
  <c r="T580" i="29"/>
  <c r="S580" i="29"/>
  <c r="R580" i="29"/>
  <c r="Q580" i="29"/>
  <c r="P580" i="29"/>
  <c r="O580" i="29"/>
  <c r="N580" i="29"/>
  <c r="M580" i="29"/>
  <c r="L580" i="29"/>
  <c r="K580" i="29"/>
  <c r="J580" i="29"/>
  <c r="I580" i="29"/>
  <c r="H580" i="29"/>
  <c r="G580" i="29"/>
  <c r="F580" i="29"/>
  <c r="V584" i="29"/>
  <c r="T584" i="29"/>
  <c r="U584" i="29"/>
  <c r="S584" i="29"/>
  <c r="R584" i="29"/>
  <c r="Q584" i="29"/>
  <c r="P584" i="29"/>
  <c r="O584" i="29"/>
  <c r="N584" i="29"/>
  <c r="M584" i="29"/>
  <c r="L584" i="29"/>
  <c r="K584" i="29"/>
  <c r="J584" i="29"/>
  <c r="I584" i="29"/>
  <c r="H584" i="29"/>
  <c r="G584" i="29"/>
  <c r="F584" i="29"/>
  <c r="U588" i="29"/>
  <c r="T588" i="29"/>
  <c r="V588" i="29"/>
  <c r="S588" i="29"/>
  <c r="R588" i="29"/>
  <c r="Q588" i="29"/>
  <c r="P588" i="29"/>
  <c r="O588" i="29"/>
  <c r="N588" i="29"/>
  <c r="M588" i="29"/>
  <c r="L588" i="29"/>
  <c r="K588" i="29"/>
  <c r="J588" i="29"/>
  <c r="I588" i="29"/>
  <c r="H588" i="29"/>
  <c r="G588" i="29"/>
  <c r="F588" i="29"/>
  <c r="V592" i="29"/>
  <c r="U592" i="29"/>
  <c r="T592" i="29"/>
  <c r="S592" i="29"/>
  <c r="R592" i="29"/>
  <c r="Q592" i="29"/>
  <c r="P592" i="29"/>
  <c r="O592" i="29"/>
  <c r="N592" i="29"/>
  <c r="M592" i="29"/>
  <c r="L592" i="29"/>
  <c r="K592" i="29"/>
  <c r="J592" i="29"/>
  <c r="I592" i="29"/>
  <c r="H592" i="29"/>
  <c r="G592" i="29"/>
  <c r="F592" i="29"/>
  <c r="V596" i="29"/>
  <c r="U596" i="29"/>
  <c r="T596" i="29"/>
  <c r="S596" i="29"/>
  <c r="R596" i="29"/>
  <c r="Q596" i="29"/>
  <c r="P596" i="29"/>
  <c r="O596" i="29"/>
  <c r="N596" i="29"/>
  <c r="M596" i="29"/>
  <c r="L596" i="29"/>
  <c r="K596" i="29"/>
  <c r="J596" i="29"/>
  <c r="I596" i="29"/>
  <c r="H596" i="29"/>
  <c r="G596" i="29"/>
  <c r="F596" i="29"/>
  <c r="V600" i="29"/>
  <c r="T600" i="29"/>
  <c r="S600" i="29"/>
  <c r="U600" i="29"/>
  <c r="R600" i="29"/>
  <c r="Q600" i="29"/>
  <c r="P600" i="29"/>
  <c r="O600" i="29"/>
  <c r="N600" i="29"/>
  <c r="M600" i="29"/>
  <c r="L600" i="29"/>
  <c r="K600" i="29"/>
  <c r="J600" i="29"/>
  <c r="I600" i="29"/>
  <c r="H600" i="29"/>
  <c r="G600" i="29"/>
  <c r="F600" i="29"/>
  <c r="V604" i="29"/>
  <c r="U604" i="29"/>
  <c r="T604" i="29"/>
  <c r="S604" i="29"/>
  <c r="R604" i="29"/>
  <c r="Q604" i="29"/>
  <c r="P604" i="29"/>
  <c r="O604" i="29"/>
  <c r="N604" i="29"/>
  <c r="M604" i="29"/>
  <c r="L604" i="29"/>
  <c r="K604" i="29"/>
  <c r="J604" i="29"/>
  <c r="I604" i="29"/>
  <c r="H604" i="29"/>
  <c r="G604" i="29"/>
  <c r="F604" i="29"/>
  <c r="U609" i="29"/>
  <c r="V609" i="29"/>
  <c r="T609" i="29"/>
  <c r="S609" i="29"/>
  <c r="R609" i="29"/>
  <c r="Q609" i="29"/>
  <c r="P609" i="29"/>
  <c r="O609" i="29"/>
  <c r="M609" i="29"/>
  <c r="N609" i="29"/>
  <c r="L609" i="29"/>
  <c r="K609" i="29"/>
  <c r="J609" i="29"/>
  <c r="I609" i="29"/>
  <c r="H609" i="29"/>
  <c r="G609" i="29"/>
  <c r="F609" i="29"/>
  <c r="V613" i="29"/>
  <c r="U613" i="29"/>
  <c r="T613" i="29"/>
  <c r="S613" i="29"/>
  <c r="R613" i="29"/>
  <c r="Q613" i="29"/>
  <c r="P613" i="29"/>
  <c r="N613" i="29"/>
  <c r="O613" i="29"/>
  <c r="M613" i="29"/>
  <c r="L613" i="29"/>
  <c r="J613" i="29"/>
  <c r="I613" i="29"/>
  <c r="H613" i="29"/>
  <c r="K613" i="29"/>
  <c r="G613" i="29"/>
  <c r="F613" i="29"/>
  <c r="U617" i="29"/>
  <c r="V617" i="29"/>
  <c r="T617" i="29"/>
  <c r="S617" i="29"/>
  <c r="R617" i="29"/>
  <c r="Q617" i="29"/>
  <c r="P617" i="29"/>
  <c r="N617" i="29"/>
  <c r="O617" i="29"/>
  <c r="M617" i="29"/>
  <c r="L617" i="29"/>
  <c r="K617" i="29"/>
  <c r="J617" i="29"/>
  <c r="I617" i="29"/>
  <c r="H617" i="29"/>
  <c r="G617" i="29"/>
  <c r="F617" i="29"/>
  <c r="V621" i="29"/>
  <c r="U621" i="29"/>
  <c r="T621" i="29"/>
  <c r="S621" i="29"/>
  <c r="R621" i="29"/>
  <c r="Q621" i="29"/>
  <c r="P621" i="29"/>
  <c r="O621" i="29"/>
  <c r="N621" i="29"/>
  <c r="M621" i="29"/>
  <c r="L621" i="29"/>
  <c r="J621" i="29"/>
  <c r="I621" i="29"/>
  <c r="H621" i="29"/>
  <c r="K621" i="29"/>
  <c r="G621" i="29"/>
  <c r="F621" i="29"/>
  <c r="U625" i="29"/>
  <c r="V625" i="29"/>
  <c r="T625" i="29"/>
  <c r="S625" i="29"/>
  <c r="R625" i="29"/>
  <c r="Q625" i="29"/>
  <c r="P625" i="29"/>
  <c r="O625" i="29"/>
  <c r="M625" i="29"/>
  <c r="N625" i="29"/>
  <c r="L625" i="29"/>
  <c r="K625" i="29"/>
  <c r="J625" i="29"/>
  <c r="I625" i="29"/>
  <c r="H625" i="29"/>
  <c r="G625" i="29"/>
  <c r="F625" i="29"/>
  <c r="V632" i="29"/>
  <c r="U632" i="29"/>
  <c r="T632" i="29"/>
  <c r="S632" i="29"/>
  <c r="R632" i="29"/>
  <c r="Q632" i="29"/>
  <c r="P632" i="29"/>
  <c r="O632" i="29"/>
  <c r="N632" i="29"/>
  <c r="M632" i="29"/>
  <c r="L632" i="29"/>
  <c r="K632" i="29"/>
  <c r="J632" i="29"/>
  <c r="I632" i="29"/>
  <c r="H632" i="29"/>
  <c r="G632" i="29"/>
  <c r="F632" i="29"/>
  <c r="V636" i="29"/>
  <c r="U636" i="29"/>
  <c r="T636" i="29"/>
  <c r="S636" i="29"/>
  <c r="R636" i="29"/>
  <c r="Q636" i="29"/>
  <c r="P636" i="29"/>
  <c r="O636" i="29"/>
  <c r="N636" i="29"/>
  <c r="M636" i="29"/>
  <c r="L636" i="29"/>
  <c r="K636" i="29"/>
  <c r="J636" i="29"/>
  <c r="I636" i="29"/>
  <c r="H636" i="29"/>
  <c r="G636" i="29"/>
  <c r="F636" i="29"/>
  <c r="V640" i="29"/>
  <c r="U640" i="29"/>
  <c r="T640" i="29"/>
  <c r="S640" i="29"/>
  <c r="R640" i="29"/>
  <c r="Q640" i="29"/>
  <c r="P640" i="29"/>
  <c r="O640" i="29"/>
  <c r="N640" i="29"/>
  <c r="M640" i="29"/>
  <c r="L640" i="29"/>
  <c r="K640" i="29"/>
  <c r="J640" i="29"/>
  <c r="I640" i="29"/>
  <c r="H640" i="29"/>
  <c r="G640" i="29"/>
  <c r="F640" i="29"/>
  <c r="U644" i="29"/>
  <c r="V644" i="29"/>
  <c r="T644" i="29"/>
  <c r="S644" i="29"/>
  <c r="R644" i="29"/>
  <c r="Q644" i="29"/>
  <c r="P644" i="29"/>
  <c r="O644" i="29"/>
  <c r="N644" i="29"/>
  <c r="M644" i="29"/>
  <c r="L644" i="29"/>
  <c r="K644" i="29"/>
  <c r="J644" i="29"/>
  <c r="I644" i="29"/>
  <c r="H644" i="29"/>
  <c r="G644" i="29"/>
  <c r="F644" i="29"/>
  <c r="V648" i="29"/>
  <c r="U648" i="29"/>
  <c r="T648" i="29"/>
  <c r="S648" i="29"/>
  <c r="R648" i="29"/>
  <c r="Q648" i="29"/>
  <c r="P648" i="29"/>
  <c r="O648" i="29"/>
  <c r="N648" i="29"/>
  <c r="M648" i="29"/>
  <c r="L648" i="29"/>
  <c r="K648" i="29"/>
  <c r="J648" i="29"/>
  <c r="I648" i="29"/>
  <c r="H648" i="29"/>
  <c r="G648" i="29"/>
  <c r="F648" i="29"/>
  <c r="U652" i="29"/>
  <c r="V652" i="29"/>
  <c r="T652" i="29"/>
  <c r="S652" i="29"/>
  <c r="R652" i="29"/>
  <c r="Q652" i="29"/>
  <c r="P652" i="29"/>
  <c r="O652" i="29"/>
  <c r="N652" i="29"/>
  <c r="M652" i="29"/>
  <c r="L652" i="29"/>
  <c r="K652" i="29"/>
  <c r="J652" i="29"/>
  <c r="I652" i="29"/>
  <c r="H652" i="29"/>
  <c r="G652" i="29"/>
  <c r="F652" i="29"/>
  <c r="V656" i="29"/>
  <c r="U656" i="29"/>
  <c r="T656" i="29"/>
  <c r="S656" i="29"/>
  <c r="R656" i="29"/>
  <c r="Q656" i="29"/>
  <c r="P656" i="29"/>
  <c r="O656" i="29"/>
  <c r="N656" i="29"/>
  <c r="M656" i="29"/>
  <c r="L656" i="29"/>
  <c r="K656" i="29"/>
  <c r="J656" i="29"/>
  <c r="I656" i="29"/>
  <c r="H656" i="29"/>
  <c r="G656" i="29"/>
  <c r="F656" i="29"/>
  <c r="V660" i="29"/>
  <c r="U660" i="29"/>
  <c r="T660" i="29"/>
  <c r="S660" i="29"/>
  <c r="R660" i="29"/>
  <c r="Q660" i="29"/>
  <c r="P660" i="29"/>
  <c r="O660" i="29"/>
  <c r="N660" i="29"/>
  <c r="M660" i="29"/>
  <c r="L660" i="29"/>
  <c r="K660" i="29"/>
  <c r="J660" i="29"/>
  <c r="I660" i="29"/>
  <c r="H660" i="29"/>
  <c r="G660" i="29"/>
  <c r="F660" i="29"/>
  <c r="V664" i="29"/>
  <c r="U664" i="29"/>
  <c r="T664" i="29"/>
  <c r="S664" i="29"/>
  <c r="R664" i="29"/>
  <c r="Q664" i="29"/>
  <c r="P664" i="29"/>
  <c r="O664" i="29"/>
  <c r="N664" i="29"/>
  <c r="M664" i="29"/>
  <c r="L664" i="29"/>
  <c r="K664" i="29"/>
  <c r="J664" i="29"/>
  <c r="I664" i="29"/>
  <c r="H664" i="29"/>
  <c r="G664" i="29"/>
  <c r="F664" i="29"/>
  <c r="U668" i="29"/>
  <c r="V668" i="29"/>
  <c r="T668" i="29"/>
  <c r="S668" i="29"/>
  <c r="R668" i="29"/>
  <c r="Q668" i="29"/>
  <c r="P668" i="29"/>
  <c r="O668" i="29"/>
  <c r="N668" i="29"/>
  <c r="M668" i="29"/>
  <c r="L668" i="29"/>
  <c r="K668" i="29"/>
  <c r="J668" i="29"/>
  <c r="I668" i="29"/>
  <c r="H668" i="29"/>
  <c r="G668" i="29"/>
  <c r="F668" i="29"/>
  <c r="V672" i="29"/>
  <c r="U672" i="29"/>
  <c r="T672" i="29"/>
  <c r="S672" i="29"/>
  <c r="R672" i="29"/>
  <c r="Q672" i="29"/>
  <c r="P672" i="29"/>
  <c r="O672" i="29"/>
  <c r="N672" i="29"/>
  <c r="M672" i="29"/>
  <c r="L672" i="29"/>
  <c r="K672" i="29"/>
  <c r="J672" i="29"/>
  <c r="I672" i="29"/>
  <c r="H672" i="29"/>
  <c r="G672" i="29"/>
  <c r="F672" i="29"/>
  <c r="V676" i="29"/>
  <c r="U676" i="29"/>
  <c r="T676" i="29"/>
  <c r="S676" i="29"/>
  <c r="R676" i="29"/>
  <c r="Q676" i="29"/>
  <c r="P676" i="29"/>
  <c r="O676" i="29"/>
  <c r="N676" i="29"/>
  <c r="M676" i="29"/>
  <c r="L676" i="29"/>
  <c r="K676" i="29"/>
  <c r="J676" i="29"/>
  <c r="I676" i="29"/>
  <c r="H676" i="29"/>
  <c r="G676" i="29"/>
  <c r="F676" i="29"/>
  <c r="V680" i="29"/>
  <c r="U680" i="29"/>
  <c r="T680" i="29"/>
  <c r="S680" i="29"/>
  <c r="R680" i="29"/>
  <c r="Q680" i="29"/>
  <c r="P680" i="29"/>
  <c r="O680" i="29"/>
  <c r="N680" i="29"/>
  <c r="M680" i="29"/>
  <c r="L680" i="29"/>
  <c r="K680" i="29"/>
  <c r="J680" i="29"/>
  <c r="I680" i="29"/>
  <c r="H680" i="29"/>
  <c r="G680" i="29"/>
  <c r="F680" i="29"/>
  <c r="U684" i="29"/>
  <c r="V684" i="29"/>
  <c r="T684" i="29"/>
  <c r="S684" i="29"/>
  <c r="R684" i="29"/>
  <c r="Q684" i="29"/>
  <c r="P684" i="29"/>
  <c r="O684" i="29"/>
  <c r="N684" i="29"/>
  <c r="M684" i="29"/>
  <c r="L684" i="29"/>
  <c r="K684" i="29"/>
  <c r="J684" i="29"/>
  <c r="I684" i="29"/>
  <c r="H684" i="29"/>
  <c r="G684" i="29"/>
  <c r="F684" i="29"/>
  <c r="V688" i="29"/>
  <c r="U688" i="29"/>
  <c r="T688" i="29"/>
  <c r="S688" i="29"/>
  <c r="R688" i="29"/>
  <c r="Q688" i="29"/>
  <c r="P688" i="29"/>
  <c r="O688" i="29"/>
  <c r="N688" i="29"/>
  <c r="M688" i="29"/>
  <c r="L688" i="29"/>
  <c r="K688" i="29"/>
  <c r="J688" i="29"/>
  <c r="I688" i="29"/>
  <c r="H688" i="29"/>
  <c r="G688" i="29"/>
  <c r="F688" i="29"/>
  <c r="V692" i="29"/>
  <c r="U692" i="29"/>
  <c r="T692" i="29"/>
  <c r="S692" i="29"/>
  <c r="R692" i="29"/>
  <c r="Q692" i="29"/>
  <c r="P692" i="29"/>
  <c r="O692" i="29"/>
  <c r="N692" i="29"/>
  <c r="M692" i="29"/>
  <c r="L692" i="29"/>
  <c r="K692" i="29"/>
  <c r="J692" i="29"/>
  <c r="I692" i="29"/>
  <c r="H692" i="29"/>
  <c r="G692" i="29"/>
  <c r="F692" i="29"/>
  <c r="V696" i="29"/>
  <c r="U696" i="29"/>
  <c r="T696" i="29"/>
  <c r="S696" i="29"/>
  <c r="R696" i="29"/>
  <c r="Q696" i="29"/>
  <c r="P696" i="29"/>
  <c r="O696" i="29"/>
  <c r="N696" i="29"/>
  <c r="M696" i="29"/>
  <c r="L696" i="29"/>
  <c r="K696" i="29"/>
  <c r="J696" i="29"/>
  <c r="I696" i="29"/>
  <c r="H696" i="29"/>
  <c r="G696" i="29"/>
  <c r="F696" i="29"/>
  <c r="U700" i="29"/>
  <c r="V700" i="29"/>
  <c r="T700" i="29"/>
  <c r="S700" i="29"/>
  <c r="R700" i="29"/>
  <c r="Q700" i="29"/>
  <c r="P700" i="29"/>
  <c r="O700" i="29"/>
  <c r="N700" i="29"/>
  <c r="M700" i="29"/>
  <c r="L700" i="29"/>
  <c r="K700" i="29"/>
  <c r="J700" i="29"/>
  <c r="I700" i="29"/>
  <c r="H700" i="29"/>
  <c r="G700" i="29"/>
  <c r="F700" i="29"/>
  <c r="V704" i="29"/>
  <c r="U704" i="29"/>
  <c r="T704" i="29"/>
  <c r="S704" i="29"/>
  <c r="R704" i="29"/>
  <c r="Q704" i="29"/>
  <c r="P704" i="29"/>
  <c r="O704" i="29"/>
  <c r="N704" i="29"/>
  <c r="M704" i="29"/>
  <c r="L704" i="29"/>
  <c r="K704" i="29"/>
  <c r="J704" i="29"/>
  <c r="I704" i="29"/>
  <c r="H704" i="29"/>
  <c r="G704" i="29"/>
  <c r="F704" i="29"/>
  <c r="U708" i="29"/>
  <c r="V708" i="29"/>
  <c r="T708" i="29"/>
  <c r="S708" i="29"/>
  <c r="R708" i="29"/>
  <c r="Q708" i="29"/>
  <c r="P708" i="29"/>
  <c r="O708" i="29"/>
  <c r="N708" i="29"/>
  <c r="M708" i="29"/>
  <c r="L708" i="29"/>
  <c r="K708" i="29"/>
  <c r="J708" i="29"/>
  <c r="I708" i="29"/>
  <c r="H708" i="29"/>
  <c r="G708" i="29"/>
  <c r="F708" i="29"/>
  <c r="V712" i="29"/>
  <c r="U712" i="29"/>
  <c r="T712" i="29"/>
  <c r="S712" i="29"/>
  <c r="R712" i="29"/>
  <c r="Q712" i="29"/>
  <c r="P712" i="29"/>
  <c r="O712" i="29"/>
  <c r="N712" i="29"/>
  <c r="M712" i="29"/>
  <c r="L712" i="29"/>
  <c r="K712" i="29"/>
  <c r="J712" i="29"/>
  <c r="I712" i="29"/>
  <c r="H712" i="29"/>
  <c r="G712" i="29"/>
  <c r="F712" i="29"/>
  <c r="U716" i="29"/>
  <c r="V716" i="29"/>
  <c r="T716" i="29"/>
  <c r="S716" i="29"/>
  <c r="R716" i="29"/>
  <c r="Q716" i="29"/>
  <c r="P716" i="29"/>
  <c r="O716" i="29"/>
  <c r="N716" i="29"/>
  <c r="M716" i="29"/>
  <c r="L716" i="29"/>
  <c r="K716" i="29"/>
  <c r="J716" i="29"/>
  <c r="I716" i="29"/>
  <c r="H716" i="29"/>
  <c r="G716" i="29"/>
  <c r="F716" i="29"/>
  <c r="V722" i="29"/>
  <c r="U722" i="29"/>
  <c r="T722" i="29"/>
  <c r="S722" i="29"/>
  <c r="R722" i="29"/>
  <c r="Q722" i="29"/>
  <c r="P722" i="29"/>
  <c r="O722" i="29"/>
  <c r="N722" i="29"/>
  <c r="M722" i="29"/>
  <c r="L722" i="29"/>
  <c r="K722" i="29"/>
  <c r="J722" i="29"/>
  <c r="I722" i="29"/>
  <c r="V718" i="29"/>
  <c r="U718" i="29"/>
  <c r="T718" i="29"/>
  <c r="S718" i="29"/>
  <c r="R718" i="29"/>
  <c r="Q718" i="29"/>
  <c r="P718" i="29"/>
  <c r="O718" i="29"/>
  <c r="N718" i="29"/>
  <c r="M718" i="29"/>
  <c r="L718" i="29"/>
  <c r="K718" i="29"/>
  <c r="J718" i="29"/>
  <c r="I718" i="29"/>
  <c r="V714" i="29"/>
  <c r="U714" i="29"/>
  <c r="T714" i="29"/>
  <c r="S714" i="29"/>
  <c r="R714" i="29"/>
  <c r="P714" i="29"/>
  <c r="Q714" i="29"/>
  <c r="O714" i="29"/>
  <c r="N714" i="29"/>
  <c r="M714" i="29"/>
  <c r="L714" i="29"/>
  <c r="K714" i="29"/>
  <c r="J714" i="29"/>
  <c r="I714" i="29"/>
  <c r="V710" i="29"/>
  <c r="U710" i="29"/>
  <c r="T710" i="29"/>
  <c r="S710" i="29"/>
  <c r="R710" i="29"/>
  <c r="Q710" i="29"/>
  <c r="P710" i="29"/>
  <c r="O710" i="29"/>
  <c r="N710" i="29"/>
  <c r="M710" i="29"/>
  <c r="L710" i="29"/>
  <c r="K710" i="29"/>
  <c r="J710" i="29"/>
  <c r="I710" i="29"/>
  <c r="V706" i="29"/>
  <c r="U706" i="29"/>
  <c r="T706" i="29"/>
  <c r="S706" i="29"/>
  <c r="R706" i="29"/>
  <c r="Q706" i="29"/>
  <c r="P706" i="29"/>
  <c r="O706" i="29"/>
  <c r="N706" i="29"/>
  <c r="M706" i="29"/>
  <c r="L706" i="29"/>
  <c r="K706" i="29"/>
  <c r="J706" i="29"/>
  <c r="I706" i="29"/>
  <c r="V702" i="29"/>
  <c r="U702" i="29"/>
  <c r="T702" i="29"/>
  <c r="S702" i="29"/>
  <c r="R702" i="29"/>
  <c r="Q702" i="29"/>
  <c r="P702" i="29"/>
  <c r="O702" i="29"/>
  <c r="N702" i="29"/>
  <c r="M702" i="29"/>
  <c r="L702" i="29"/>
  <c r="K702" i="29"/>
  <c r="J702" i="29"/>
  <c r="I702" i="29"/>
  <c r="V698" i="29"/>
  <c r="U698" i="29"/>
  <c r="T698" i="29"/>
  <c r="S698" i="29"/>
  <c r="R698" i="29"/>
  <c r="P698" i="29"/>
  <c r="Q698" i="29"/>
  <c r="O698" i="29"/>
  <c r="N698" i="29"/>
  <c r="M698" i="29"/>
  <c r="L698" i="29"/>
  <c r="K698" i="29"/>
  <c r="J698" i="29"/>
  <c r="I698" i="29"/>
  <c r="V694" i="29"/>
  <c r="U694" i="29"/>
  <c r="T694" i="29"/>
  <c r="S694" i="29"/>
  <c r="R694" i="29"/>
  <c r="Q694" i="29"/>
  <c r="P694" i="29"/>
  <c r="O694" i="29"/>
  <c r="N694" i="29"/>
  <c r="M694" i="29"/>
  <c r="L694" i="29"/>
  <c r="K694" i="29"/>
  <c r="J694" i="29"/>
  <c r="I694" i="29"/>
  <c r="V690" i="29"/>
  <c r="U690" i="29"/>
  <c r="T690" i="29"/>
  <c r="S690" i="29"/>
  <c r="R690" i="29"/>
  <c r="Q690" i="29"/>
  <c r="P690" i="29"/>
  <c r="O690" i="29"/>
  <c r="N690" i="29"/>
  <c r="M690" i="29"/>
  <c r="L690" i="29"/>
  <c r="K690" i="29"/>
  <c r="J690" i="29"/>
  <c r="I690" i="29"/>
  <c r="V686" i="29"/>
  <c r="U686" i="29"/>
  <c r="T686" i="29"/>
  <c r="S686" i="29"/>
  <c r="R686" i="29"/>
  <c r="Q686" i="29"/>
  <c r="P686" i="29"/>
  <c r="O686" i="29"/>
  <c r="N686" i="29"/>
  <c r="M686" i="29"/>
  <c r="L686" i="29"/>
  <c r="K686" i="29"/>
  <c r="J686" i="29"/>
  <c r="I686" i="29"/>
  <c r="V682" i="29"/>
  <c r="U682" i="29"/>
  <c r="T682" i="29"/>
  <c r="S682" i="29"/>
  <c r="R682" i="29"/>
  <c r="P682" i="29"/>
  <c r="Q682" i="29"/>
  <c r="O682" i="29"/>
  <c r="N682" i="29"/>
  <c r="M682" i="29"/>
  <c r="L682" i="29"/>
  <c r="K682" i="29"/>
  <c r="J682" i="29"/>
  <c r="I682" i="29"/>
  <c r="V678" i="29"/>
  <c r="U678" i="29"/>
  <c r="T678" i="29"/>
  <c r="S678" i="29"/>
  <c r="R678" i="29"/>
  <c r="Q678" i="29"/>
  <c r="P678" i="29"/>
  <c r="O678" i="29"/>
  <c r="N678" i="29"/>
  <c r="M678" i="29"/>
  <c r="L678" i="29"/>
  <c r="K678" i="29"/>
  <c r="J678" i="29"/>
  <c r="I678" i="29"/>
  <c r="V674" i="29"/>
  <c r="U674" i="29"/>
  <c r="T674" i="29"/>
  <c r="S674" i="29"/>
  <c r="R674" i="29"/>
  <c r="Q674" i="29"/>
  <c r="P674" i="29"/>
  <c r="O674" i="29"/>
  <c r="N674" i="29"/>
  <c r="M674" i="29"/>
  <c r="L674" i="29"/>
  <c r="K674" i="29"/>
  <c r="J674" i="29"/>
  <c r="I674" i="29"/>
  <c r="V670" i="29"/>
  <c r="U670" i="29"/>
  <c r="T670" i="29"/>
  <c r="S670" i="29"/>
  <c r="R670" i="29"/>
  <c r="Q670" i="29"/>
  <c r="P670" i="29"/>
  <c r="O670" i="29"/>
  <c r="N670" i="29"/>
  <c r="M670" i="29"/>
  <c r="L670" i="29"/>
  <c r="K670" i="29"/>
  <c r="J670" i="29"/>
  <c r="I670" i="29"/>
  <c r="V666" i="29"/>
  <c r="U666" i="29"/>
  <c r="T666" i="29"/>
  <c r="S666" i="29"/>
  <c r="R666" i="29"/>
  <c r="P666" i="29"/>
  <c r="Q666" i="29"/>
  <c r="O666" i="29"/>
  <c r="N666" i="29"/>
  <c r="M666" i="29"/>
  <c r="L666" i="29"/>
  <c r="K666" i="29"/>
  <c r="J666" i="29"/>
  <c r="I666" i="29"/>
  <c r="V662" i="29"/>
  <c r="U662" i="29"/>
  <c r="T662" i="29"/>
  <c r="S662" i="29"/>
  <c r="R662" i="29"/>
  <c r="Q662" i="29"/>
  <c r="P662" i="29"/>
  <c r="O662" i="29"/>
  <c r="N662" i="29"/>
  <c r="M662" i="29"/>
  <c r="L662" i="29"/>
  <c r="K662" i="29"/>
  <c r="J662" i="29"/>
  <c r="I662" i="29"/>
  <c r="V658" i="29"/>
  <c r="U658" i="29"/>
  <c r="T658" i="29"/>
  <c r="S658" i="29"/>
  <c r="R658" i="29"/>
  <c r="Q658" i="29"/>
  <c r="P658" i="29"/>
  <c r="O658" i="29"/>
  <c r="N658" i="29"/>
  <c r="M658" i="29"/>
  <c r="L658" i="29"/>
  <c r="K658" i="29"/>
  <c r="J658" i="29"/>
  <c r="I658" i="29"/>
  <c r="V654" i="29"/>
  <c r="U654" i="29"/>
  <c r="T654" i="29"/>
  <c r="S654" i="29"/>
  <c r="R654" i="29"/>
  <c r="Q654" i="29"/>
  <c r="P654" i="29"/>
  <c r="O654" i="29"/>
  <c r="N654" i="29"/>
  <c r="M654" i="29"/>
  <c r="L654" i="29"/>
  <c r="K654" i="29"/>
  <c r="J654" i="29"/>
  <c r="I654" i="29"/>
  <c r="V650" i="29"/>
  <c r="U650" i="29"/>
  <c r="T650" i="29"/>
  <c r="S650" i="29"/>
  <c r="R650" i="29"/>
  <c r="P650" i="29"/>
  <c r="Q650" i="29"/>
  <c r="O650" i="29"/>
  <c r="N650" i="29"/>
  <c r="M650" i="29"/>
  <c r="L650" i="29"/>
  <c r="K650" i="29"/>
  <c r="J650" i="29"/>
  <c r="I650" i="29"/>
  <c r="V646" i="29"/>
  <c r="U646" i="29"/>
  <c r="T646" i="29"/>
  <c r="S646" i="29"/>
  <c r="R646" i="29"/>
  <c r="Q646" i="29"/>
  <c r="P646" i="29"/>
  <c r="O646" i="29"/>
  <c r="N646" i="29"/>
  <c r="M646" i="29"/>
  <c r="L646" i="29"/>
  <c r="K646" i="29"/>
  <c r="J646" i="29"/>
  <c r="I646" i="29"/>
  <c r="V642" i="29"/>
  <c r="U642" i="29"/>
  <c r="T642" i="29"/>
  <c r="S642" i="29"/>
  <c r="R642" i="29"/>
  <c r="Q642" i="29"/>
  <c r="P642" i="29"/>
  <c r="O642" i="29"/>
  <c r="N642" i="29"/>
  <c r="M642" i="29"/>
  <c r="L642" i="29"/>
  <c r="K642" i="29"/>
  <c r="J642" i="29"/>
  <c r="I642" i="29"/>
  <c r="V638" i="29"/>
  <c r="U638" i="29"/>
  <c r="T638" i="29"/>
  <c r="S638" i="29"/>
  <c r="R638" i="29"/>
  <c r="Q638" i="29"/>
  <c r="P638" i="29"/>
  <c r="O638" i="29"/>
  <c r="N638" i="29"/>
  <c r="M638" i="29"/>
  <c r="L638" i="29"/>
  <c r="K638" i="29"/>
  <c r="J638" i="29"/>
  <c r="I638" i="29"/>
  <c r="V634" i="29"/>
  <c r="U634" i="29"/>
  <c r="T634" i="29"/>
  <c r="S634" i="29"/>
  <c r="R634" i="29"/>
  <c r="P634" i="29"/>
  <c r="Q634" i="29"/>
  <c r="O634" i="29"/>
  <c r="N634" i="29"/>
  <c r="M634" i="29"/>
  <c r="L634" i="29"/>
  <c r="K634" i="29"/>
  <c r="J634" i="29"/>
  <c r="I634" i="29"/>
  <c r="V630" i="29"/>
  <c r="U630" i="29"/>
  <c r="T630" i="29"/>
  <c r="S630" i="29"/>
  <c r="R630" i="29"/>
  <c r="Q630" i="29"/>
  <c r="P630" i="29"/>
  <c r="O630" i="29"/>
  <c r="N630" i="29"/>
  <c r="M630" i="29"/>
  <c r="L630" i="29"/>
  <c r="K630" i="29"/>
  <c r="J630" i="29"/>
  <c r="I630" i="29"/>
  <c r="V626" i="29"/>
  <c r="U626" i="29"/>
  <c r="T626" i="29"/>
  <c r="S626" i="29"/>
  <c r="R626" i="29"/>
  <c r="Q626" i="29"/>
  <c r="P626" i="29"/>
  <c r="O626" i="29"/>
  <c r="N626" i="29"/>
  <c r="M626" i="29"/>
  <c r="L626" i="29"/>
  <c r="K626" i="29"/>
  <c r="J626" i="29"/>
  <c r="I626" i="29"/>
  <c r="V622" i="29"/>
  <c r="U622" i="29"/>
  <c r="T622" i="29"/>
  <c r="S622" i="29"/>
  <c r="R622" i="29"/>
  <c r="Q622" i="29"/>
  <c r="P622" i="29"/>
  <c r="O622" i="29"/>
  <c r="N622" i="29"/>
  <c r="M622" i="29"/>
  <c r="L622" i="29"/>
  <c r="K622" i="29"/>
  <c r="J622" i="29"/>
  <c r="I622" i="29"/>
  <c r="V618" i="29"/>
  <c r="U618" i="29"/>
  <c r="T618" i="29"/>
  <c r="S618" i="29"/>
  <c r="R618" i="29"/>
  <c r="P618" i="29"/>
  <c r="Q618" i="29"/>
  <c r="O618" i="29"/>
  <c r="N618" i="29"/>
  <c r="M618" i="29"/>
  <c r="L618" i="29"/>
  <c r="K618" i="29"/>
  <c r="J618" i="29"/>
  <c r="I618" i="29"/>
  <c r="V614" i="29"/>
  <c r="U614" i="29"/>
  <c r="T614" i="29"/>
  <c r="S614" i="29"/>
  <c r="R614" i="29"/>
  <c r="Q614" i="29"/>
  <c r="P614" i="29"/>
  <c r="O614" i="29"/>
  <c r="N614" i="29"/>
  <c r="M614" i="29"/>
  <c r="L614" i="29"/>
  <c r="K614" i="29"/>
  <c r="J614" i="29"/>
  <c r="I614" i="29"/>
  <c r="V610" i="29"/>
  <c r="U610" i="29"/>
  <c r="T610" i="29"/>
  <c r="S610" i="29"/>
  <c r="R610" i="29"/>
  <c r="Q610" i="29"/>
  <c r="P610" i="29"/>
  <c r="O610" i="29"/>
  <c r="N610" i="29"/>
  <c r="M610" i="29"/>
  <c r="L610" i="29"/>
  <c r="K610" i="29"/>
  <c r="J610" i="29"/>
  <c r="I610" i="29"/>
  <c r="V606" i="29"/>
  <c r="U606" i="29"/>
  <c r="T606" i="29"/>
  <c r="S606" i="29"/>
  <c r="R606" i="29"/>
  <c r="Q606" i="29"/>
  <c r="P606" i="29"/>
  <c r="O606" i="29"/>
  <c r="N606" i="29"/>
  <c r="M606" i="29"/>
  <c r="L606" i="29"/>
  <c r="K606" i="29"/>
  <c r="J606" i="29"/>
  <c r="I606" i="29"/>
  <c r="V602" i="29"/>
  <c r="U602" i="29"/>
  <c r="T602" i="29"/>
  <c r="S602" i="29"/>
  <c r="R602" i="29"/>
  <c r="P602" i="29"/>
  <c r="Q602" i="29"/>
  <c r="O602" i="29"/>
  <c r="N602" i="29"/>
  <c r="M602" i="29"/>
  <c r="L602" i="29"/>
  <c r="K602" i="29"/>
  <c r="J602" i="29"/>
  <c r="I602" i="29"/>
  <c r="V598" i="29"/>
  <c r="U598" i="29"/>
  <c r="T598" i="29"/>
  <c r="S598" i="29"/>
  <c r="R598" i="29"/>
  <c r="Q598" i="29"/>
  <c r="P598" i="29"/>
  <c r="O598" i="29"/>
  <c r="N598" i="29"/>
  <c r="M598" i="29"/>
  <c r="L598" i="29"/>
  <c r="K598" i="29"/>
  <c r="J598" i="29"/>
  <c r="I598" i="29"/>
  <c r="V594" i="29"/>
  <c r="U594" i="29"/>
  <c r="T594" i="29"/>
  <c r="S594" i="29"/>
  <c r="R594" i="29"/>
  <c r="Q594" i="29"/>
  <c r="P594" i="29"/>
  <c r="O594" i="29"/>
  <c r="N594" i="29"/>
  <c r="M594" i="29"/>
  <c r="L594" i="29"/>
  <c r="K594" i="29"/>
  <c r="J594" i="29"/>
  <c r="I594" i="29"/>
  <c r="V590" i="29"/>
  <c r="U590" i="29"/>
  <c r="T590" i="29"/>
  <c r="S590" i="29"/>
  <c r="R590" i="29"/>
  <c r="Q590" i="29"/>
  <c r="P590" i="29"/>
  <c r="O590" i="29"/>
  <c r="N590" i="29"/>
  <c r="M590" i="29"/>
  <c r="L590" i="29"/>
  <c r="K590" i="29"/>
  <c r="J590" i="29"/>
  <c r="I590" i="29"/>
  <c r="V586" i="29"/>
  <c r="U586" i="29"/>
  <c r="S586" i="29"/>
  <c r="R586" i="29"/>
  <c r="P586" i="29"/>
  <c r="T586" i="29"/>
  <c r="Q586" i="29"/>
  <c r="O586" i="29"/>
  <c r="N586" i="29"/>
  <c r="M586" i="29"/>
  <c r="L586" i="29"/>
  <c r="K586" i="29"/>
  <c r="J586" i="29"/>
  <c r="I586" i="29"/>
  <c r="V582" i="29"/>
  <c r="U582" i="29"/>
  <c r="T582" i="29"/>
  <c r="S582" i="29"/>
  <c r="R582" i="29"/>
  <c r="Q582" i="29"/>
  <c r="P582" i="29"/>
  <c r="O582" i="29"/>
  <c r="N582" i="29"/>
  <c r="M582" i="29"/>
  <c r="L582" i="29"/>
  <c r="K582" i="29"/>
  <c r="J582" i="29"/>
  <c r="I582" i="29"/>
  <c r="V578" i="29"/>
  <c r="U578" i="29"/>
  <c r="T578" i="29"/>
  <c r="S578" i="29"/>
  <c r="R578" i="29"/>
  <c r="Q578" i="29"/>
  <c r="P578" i="29"/>
  <c r="O578" i="29"/>
  <c r="N578" i="29"/>
  <c r="M578" i="29"/>
  <c r="L578" i="29"/>
  <c r="K578" i="29"/>
  <c r="J578" i="29"/>
  <c r="I578" i="29"/>
  <c r="V574" i="29"/>
  <c r="U574" i="29"/>
  <c r="T574" i="29"/>
  <c r="S574" i="29"/>
  <c r="R574" i="29"/>
  <c r="Q574" i="29"/>
  <c r="P574" i="29"/>
  <c r="O574" i="29"/>
  <c r="N574" i="29"/>
  <c r="M574" i="29"/>
  <c r="L574" i="29"/>
  <c r="K574" i="29"/>
  <c r="J574" i="29"/>
  <c r="I574" i="29"/>
  <c r="V570" i="29"/>
  <c r="U570" i="29"/>
  <c r="T570" i="29"/>
  <c r="S570" i="29"/>
  <c r="R570" i="29"/>
  <c r="P570" i="29"/>
  <c r="Q570" i="29"/>
  <c r="O570" i="29"/>
  <c r="N570" i="29"/>
  <c r="M570" i="29"/>
  <c r="L570" i="29"/>
  <c r="K570" i="29"/>
  <c r="J570" i="29"/>
  <c r="I570" i="29"/>
  <c r="V566" i="29"/>
  <c r="U566" i="29"/>
  <c r="T566" i="29"/>
  <c r="S566" i="29"/>
  <c r="R566" i="29"/>
  <c r="Q566" i="29"/>
  <c r="P566" i="29"/>
  <c r="O566" i="29"/>
  <c r="N566" i="29"/>
  <c r="M566" i="29"/>
  <c r="L566" i="29"/>
  <c r="K566" i="29"/>
  <c r="J566" i="29"/>
  <c r="I566" i="29"/>
  <c r="V562" i="29"/>
  <c r="U562" i="29"/>
  <c r="T562" i="29"/>
  <c r="S562" i="29"/>
  <c r="R562" i="29"/>
  <c r="Q562" i="29"/>
  <c r="P562" i="29"/>
  <c r="O562" i="29"/>
  <c r="N562" i="29"/>
  <c r="M562" i="29"/>
  <c r="L562" i="29"/>
  <c r="K562" i="29"/>
  <c r="J562" i="29"/>
  <c r="I562" i="29"/>
  <c r="V558" i="29"/>
  <c r="U558" i="29"/>
  <c r="T558" i="29"/>
  <c r="S558" i="29"/>
  <c r="R558" i="29"/>
  <c r="Q558" i="29"/>
  <c r="P558" i="29"/>
  <c r="O558" i="29"/>
  <c r="N558" i="29"/>
  <c r="M558" i="29"/>
  <c r="L558" i="29"/>
  <c r="K558" i="29"/>
  <c r="J558" i="29"/>
  <c r="I558" i="29"/>
  <c r="V554" i="29"/>
  <c r="U554" i="29"/>
  <c r="T554" i="29"/>
  <c r="S554" i="29"/>
  <c r="R554" i="29"/>
  <c r="P554" i="29"/>
  <c r="Q554" i="29"/>
  <c r="O554" i="29"/>
  <c r="N554" i="29"/>
  <c r="M554" i="29"/>
  <c r="L554" i="29"/>
  <c r="K554" i="29"/>
  <c r="J554" i="29"/>
  <c r="I554" i="29"/>
  <c r="V550" i="29"/>
  <c r="U550" i="29"/>
  <c r="T550" i="29"/>
  <c r="S550" i="29"/>
  <c r="R550" i="29"/>
  <c r="Q550" i="29"/>
  <c r="P550" i="29"/>
  <c r="O550" i="29"/>
  <c r="N550" i="29"/>
  <c r="M550" i="29"/>
  <c r="L550" i="29"/>
  <c r="K550" i="29"/>
  <c r="J550" i="29"/>
  <c r="I550" i="29"/>
  <c r="V546" i="29"/>
  <c r="U546" i="29"/>
  <c r="T546" i="29"/>
  <c r="S546" i="29"/>
  <c r="R546" i="29"/>
  <c r="Q546" i="29"/>
  <c r="P546" i="29"/>
  <c r="O546" i="29"/>
  <c r="N546" i="29"/>
  <c r="M546" i="29"/>
  <c r="L546" i="29"/>
  <c r="K546" i="29"/>
  <c r="J546" i="29"/>
  <c r="I546" i="29"/>
  <c r="V542" i="29"/>
  <c r="U542" i="29"/>
  <c r="T542" i="29"/>
  <c r="S542" i="29"/>
  <c r="R542" i="29"/>
  <c r="Q542" i="29"/>
  <c r="P542" i="29"/>
  <c r="O542" i="29"/>
  <c r="N542" i="29"/>
  <c r="M542" i="29"/>
  <c r="L542" i="29"/>
  <c r="K542" i="29"/>
  <c r="J542" i="29"/>
  <c r="I542" i="29"/>
  <c r="F724" i="29"/>
  <c r="F720" i="29"/>
  <c r="H718" i="29"/>
  <c r="H702" i="29"/>
  <c r="H686" i="29"/>
  <c r="H670" i="29"/>
  <c r="H654" i="29"/>
  <c r="H638" i="29"/>
  <c r="H622" i="29"/>
  <c r="H606" i="29"/>
  <c r="H590" i="29"/>
  <c r="H574" i="29"/>
  <c r="H558" i="29"/>
  <c r="H542" i="29"/>
  <c r="H714" i="29"/>
  <c r="H698" i="29"/>
  <c r="H682" i="29"/>
  <c r="H666" i="29"/>
  <c r="H650" i="29"/>
  <c r="H634" i="29"/>
  <c r="H618" i="29"/>
  <c r="H602" i="29"/>
  <c r="H586" i="29"/>
  <c r="H570" i="29"/>
  <c r="H554" i="29"/>
  <c r="V724" i="29"/>
  <c r="U724" i="29"/>
  <c r="T724" i="29"/>
  <c r="S724" i="29"/>
  <c r="R724" i="29"/>
  <c r="Q724" i="29"/>
  <c r="P724" i="29"/>
  <c r="O724" i="29"/>
  <c r="N724" i="29"/>
  <c r="M724" i="29"/>
  <c r="L724" i="29"/>
  <c r="K724" i="29"/>
  <c r="J724" i="29"/>
  <c r="I724" i="29"/>
  <c r="H724" i="29"/>
  <c r="V720" i="29"/>
  <c r="T720" i="29"/>
  <c r="S720" i="29"/>
  <c r="U720" i="29"/>
  <c r="R720" i="29"/>
  <c r="Q720" i="29"/>
  <c r="P720" i="29"/>
  <c r="O720" i="29"/>
  <c r="N720" i="29"/>
  <c r="M720" i="29"/>
  <c r="L720" i="29"/>
  <c r="K720" i="29"/>
  <c r="J720" i="29"/>
  <c r="I720" i="29"/>
  <c r="H720" i="29"/>
  <c r="F722" i="29"/>
  <c r="F718" i="29"/>
  <c r="F714" i="29"/>
  <c r="F710" i="29"/>
  <c r="F706" i="29"/>
  <c r="F702" i="29"/>
  <c r="F698" i="29"/>
  <c r="F694" i="29"/>
  <c r="F690" i="29"/>
  <c r="F686" i="29"/>
  <c r="F682" i="29"/>
  <c r="F678" i="29"/>
  <c r="F674" i="29"/>
  <c r="F670" i="29"/>
  <c r="F666" i="29"/>
  <c r="F662" i="29"/>
  <c r="F658" i="29"/>
  <c r="F654" i="29"/>
  <c r="F650" i="29"/>
  <c r="F646" i="29"/>
  <c r="F642" i="29"/>
  <c r="F638" i="29"/>
  <c r="F634" i="29"/>
  <c r="F630" i="29"/>
  <c r="F626" i="29"/>
  <c r="F622" i="29"/>
  <c r="F618" i="29"/>
  <c r="F614" i="29"/>
  <c r="F610" i="29"/>
  <c r="F606" i="29"/>
  <c r="F602" i="29"/>
  <c r="F598" i="29"/>
  <c r="F594" i="29"/>
  <c r="F590" i="29"/>
  <c r="F586" i="29"/>
  <c r="F582" i="29"/>
  <c r="F578" i="29"/>
  <c r="F574" i="29"/>
  <c r="F570" i="29"/>
  <c r="F566" i="29"/>
  <c r="F562" i="29"/>
  <c r="F558" i="29"/>
  <c r="F554" i="29"/>
  <c r="F550" i="29"/>
  <c r="F546" i="29"/>
  <c r="F542" i="29"/>
  <c r="G722" i="29"/>
  <c r="G718" i="29"/>
  <c r="G714" i="29"/>
  <c r="G710" i="29"/>
  <c r="G706" i="29"/>
  <c r="G702" i="29"/>
  <c r="G698" i="29"/>
  <c r="G694" i="29"/>
  <c r="G690" i="29"/>
  <c r="G686" i="29"/>
  <c r="G682" i="29"/>
  <c r="G678" i="29"/>
  <c r="G674" i="29"/>
  <c r="G670" i="29"/>
  <c r="G666" i="29"/>
  <c r="G662" i="29"/>
  <c r="G658" i="29"/>
  <c r="G654" i="29"/>
  <c r="G650" i="29"/>
  <c r="G646" i="29"/>
  <c r="G642" i="29"/>
  <c r="G638" i="29"/>
  <c r="G634" i="29"/>
  <c r="G630" i="29"/>
  <c r="G626" i="29"/>
  <c r="G622" i="29"/>
  <c r="G618" i="29"/>
  <c r="G614" i="29"/>
  <c r="G610" i="29"/>
  <c r="G606" i="29"/>
  <c r="G602" i="29"/>
  <c r="G598" i="29"/>
  <c r="G594" i="29"/>
  <c r="G590" i="29"/>
  <c r="G586" i="29"/>
  <c r="G582" i="29"/>
  <c r="G578" i="29"/>
  <c r="G574" i="29"/>
  <c r="G570" i="29"/>
  <c r="G566" i="29"/>
  <c r="G562" i="29"/>
  <c r="G558" i="29"/>
  <c r="G554" i="29"/>
  <c r="G550" i="29"/>
  <c r="G546" i="29"/>
  <c r="G542" i="29"/>
  <c r="H710" i="29"/>
  <c r="H694" i="29"/>
  <c r="H678" i="29"/>
  <c r="H662" i="29"/>
  <c r="H646" i="29"/>
  <c r="H630" i="29"/>
  <c r="H614" i="29"/>
  <c r="H598" i="29"/>
  <c r="H582" i="29"/>
  <c r="H566" i="29"/>
  <c r="H550" i="29"/>
  <c r="C305" i="29"/>
  <c r="E305" i="29" s="1"/>
  <c r="C304" i="29"/>
  <c r="E304" i="29" s="1"/>
  <c r="C303" i="29"/>
  <c r="E303" i="29" s="1"/>
  <c r="C302" i="29"/>
  <c r="E302" i="29" s="1"/>
  <c r="C301" i="29"/>
  <c r="E301" i="29" s="1"/>
  <c r="C300" i="29"/>
  <c r="E300" i="29" s="1"/>
  <c r="C299" i="29"/>
  <c r="E299" i="29" s="1"/>
  <c r="C298" i="29"/>
  <c r="E298" i="29" s="1"/>
  <c r="C297" i="29"/>
  <c r="E297" i="29" s="1"/>
  <c r="C296" i="29"/>
  <c r="E296" i="29" s="1"/>
  <c r="C295" i="29"/>
  <c r="E295" i="29" s="1"/>
  <c r="C294" i="29"/>
  <c r="E294" i="29" s="1"/>
  <c r="C293" i="29"/>
  <c r="E293" i="29" s="1"/>
  <c r="C292" i="29"/>
  <c r="E292" i="29" s="1"/>
  <c r="C291" i="29"/>
  <c r="E291" i="29" s="1"/>
  <c r="C290" i="29"/>
  <c r="E290" i="29" s="1"/>
  <c r="C289" i="29"/>
  <c r="E289" i="29" s="1"/>
  <c r="C288" i="29"/>
  <c r="E288" i="29" s="1"/>
  <c r="C287" i="29"/>
  <c r="E287" i="29" s="1"/>
  <c r="C286" i="29"/>
  <c r="E286" i="29" s="1"/>
  <c r="C285" i="29"/>
  <c r="E285" i="29" s="1"/>
  <c r="C284" i="29"/>
  <c r="E284" i="29" s="1"/>
  <c r="C283" i="29"/>
  <c r="E283" i="29" s="1"/>
  <c r="C282" i="29"/>
  <c r="E282" i="29" s="1"/>
  <c r="C281" i="29"/>
  <c r="E281" i="29" s="1"/>
  <c r="C280" i="29"/>
  <c r="E280" i="29" s="1"/>
  <c r="C279" i="29"/>
  <c r="E279" i="29" s="1"/>
  <c r="C278" i="29"/>
  <c r="E278" i="29" s="1"/>
  <c r="C277" i="29"/>
  <c r="E277" i="29" s="1"/>
  <c r="C276" i="29"/>
  <c r="E276" i="29" s="1"/>
  <c r="C275" i="29"/>
  <c r="E275" i="29" s="1"/>
  <c r="C274" i="29"/>
  <c r="E274" i="29" s="1"/>
  <c r="C273" i="29"/>
  <c r="E273" i="29" s="1"/>
  <c r="C272" i="29"/>
  <c r="E272" i="29" s="1"/>
  <c r="C271" i="29"/>
  <c r="E271" i="29" s="1"/>
  <c r="C270" i="29"/>
  <c r="E270" i="29" s="1"/>
  <c r="C269" i="29"/>
  <c r="E269" i="29" s="1"/>
  <c r="C268" i="29"/>
  <c r="E268" i="29" s="1"/>
  <c r="C267" i="29"/>
  <c r="E267" i="29" s="1"/>
  <c r="C266" i="29"/>
  <c r="E266" i="29" s="1"/>
  <c r="C265" i="29"/>
  <c r="E265" i="29" s="1"/>
  <c r="C264" i="29"/>
  <c r="E264" i="29" s="1"/>
  <c r="C263" i="29"/>
  <c r="E263" i="29" s="1"/>
  <c r="C262" i="29"/>
  <c r="E262" i="29" s="1"/>
  <c r="C261" i="29"/>
  <c r="E261" i="29" s="1"/>
  <c r="C260" i="29"/>
  <c r="E260" i="29" s="1"/>
  <c r="C259" i="29"/>
  <c r="E259" i="29" s="1"/>
  <c r="C258" i="29"/>
  <c r="E258" i="29" s="1"/>
  <c r="C257" i="29"/>
  <c r="E257" i="29" s="1"/>
  <c r="C256" i="29"/>
  <c r="E256" i="29" s="1"/>
  <c r="C255" i="29"/>
  <c r="E255" i="29" s="1"/>
  <c r="C254" i="29"/>
  <c r="E254" i="29" s="1"/>
  <c r="C253" i="29"/>
  <c r="E253" i="29" s="1"/>
  <c r="C252" i="29"/>
  <c r="E252" i="29" s="1"/>
  <c r="C251" i="29"/>
  <c r="E251" i="29" s="1"/>
  <c r="C250" i="29"/>
  <c r="E250" i="29" s="1"/>
  <c r="C249" i="29"/>
  <c r="E249" i="29" s="1"/>
  <c r="C248" i="29"/>
  <c r="E248" i="29" s="1"/>
  <c r="C247" i="29"/>
  <c r="E247" i="29" s="1"/>
  <c r="C246" i="29"/>
  <c r="E246" i="29" s="1"/>
  <c r="C245" i="29"/>
  <c r="E245" i="29" s="1"/>
  <c r="C244" i="29"/>
  <c r="E244" i="29" s="1"/>
  <c r="C243" i="29"/>
  <c r="E243" i="29" s="1"/>
  <c r="C242" i="29"/>
  <c r="E242" i="29" s="1"/>
  <c r="C241" i="29"/>
  <c r="E241" i="29" s="1"/>
  <c r="C240" i="29"/>
  <c r="E240" i="29" s="1"/>
  <c r="C239" i="29"/>
  <c r="E239" i="29" s="1"/>
  <c r="C238" i="29"/>
  <c r="E238" i="29" s="1"/>
  <c r="C237" i="29"/>
  <c r="E237" i="29" s="1"/>
  <c r="C236" i="29"/>
  <c r="E236" i="29" s="1"/>
  <c r="C235" i="29"/>
  <c r="E235" i="29" s="1"/>
  <c r="C234" i="29"/>
  <c r="E234" i="29" s="1"/>
  <c r="C233" i="29"/>
  <c r="E233" i="29" s="1"/>
  <c r="C232" i="29"/>
  <c r="E232" i="29" s="1"/>
  <c r="C231" i="29"/>
  <c r="E231" i="29" s="1"/>
  <c r="C230" i="29"/>
  <c r="E230" i="29" s="1"/>
  <c r="C229" i="29"/>
  <c r="E229" i="29" s="1"/>
  <c r="C228" i="29"/>
  <c r="E228" i="29" s="1"/>
  <c r="C227" i="29"/>
  <c r="E227" i="29" s="1"/>
  <c r="C226" i="29"/>
  <c r="E226" i="29" s="1"/>
  <c r="C225" i="29"/>
  <c r="E225" i="29" s="1"/>
  <c r="C224" i="29"/>
  <c r="E224" i="29" s="1"/>
  <c r="C223" i="29"/>
  <c r="E223" i="29" s="1"/>
  <c r="C222" i="29"/>
  <c r="E222" i="29" s="1"/>
  <c r="C221" i="29"/>
  <c r="E221" i="29" s="1"/>
  <c r="C220" i="29"/>
  <c r="E220" i="29" s="1"/>
  <c r="C219" i="29"/>
  <c r="E219" i="29" s="1"/>
  <c r="C218" i="29"/>
  <c r="E218" i="29" s="1"/>
  <c r="C217" i="29"/>
  <c r="E217" i="29" s="1"/>
  <c r="C216" i="29"/>
  <c r="E216" i="29" s="1"/>
  <c r="C215" i="29"/>
  <c r="E215" i="29" s="1"/>
  <c r="C214" i="29"/>
  <c r="E214" i="29" s="1"/>
  <c r="C213" i="29"/>
  <c r="E213" i="29" s="1"/>
  <c r="C212" i="29"/>
  <c r="E212" i="29" s="1"/>
  <c r="C211" i="29"/>
  <c r="E211" i="29" s="1"/>
  <c r="C210" i="29"/>
  <c r="E210" i="29" s="1"/>
  <c r="C209" i="29"/>
  <c r="E209" i="29" s="1"/>
  <c r="C208" i="29"/>
  <c r="E208" i="29" s="1"/>
  <c r="C207" i="29"/>
  <c r="E207" i="29" s="1"/>
  <c r="C206" i="29"/>
  <c r="E206" i="29" s="1"/>
  <c r="C205" i="29"/>
  <c r="E205" i="29" s="1"/>
  <c r="C204" i="29"/>
  <c r="E204" i="29" s="1"/>
  <c r="C203" i="29"/>
  <c r="E203" i="29" s="1"/>
  <c r="C202" i="29"/>
  <c r="E202" i="29" s="1"/>
  <c r="C201" i="29"/>
  <c r="E201" i="29" s="1"/>
  <c r="C200" i="29"/>
  <c r="E200" i="29" s="1"/>
  <c r="C199" i="29"/>
  <c r="E199" i="29" s="1"/>
  <c r="C198" i="29"/>
  <c r="E198" i="29" s="1"/>
  <c r="C197" i="29"/>
  <c r="E197" i="29" s="1"/>
  <c r="C196" i="29"/>
  <c r="E196" i="29" s="1"/>
  <c r="C195" i="29"/>
  <c r="E195" i="29" s="1"/>
  <c r="C194" i="29"/>
  <c r="E194" i="29" s="1"/>
  <c r="C193" i="29"/>
  <c r="E193" i="29" s="1"/>
  <c r="C192" i="29"/>
  <c r="E192" i="29" s="1"/>
  <c r="C191" i="29"/>
  <c r="E191" i="29" s="1"/>
  <c r="C190" i="29"/>
  <c r="E190" i="29" s="1"/>
  <c r="C189" i="29"/>
  <c r="E189" i="29" s="1"/>
  <c r="C188" i="29"/>
  <c r="E188" i="29" s="1"/>
  <c r="C187" i="29"/>
  <c r="E187" i="29" s="1"/>
  <c r="C186" i="29"/>
  <c r="E186" i="29" s="1"/>
  <c r="C185" i="29"/>
  <c r="E185" i="29" s="1"/>
  <c r="C184" i="29"/>
  <c r="E184" i="29" s="1"/>
  <c r="C183" i="29"/>
  <c r="E183" i="29" s="1"/>
  <c r="C182" i="29"/>
  <c r="E182" i="29" s="1"/>
  <c r="C181" i="29"/>
  <c r="E181" i="29" s="1"/>
  <c r="C180" i="29"/>
  <c r="E180" i="29" s="1"/>
  <c r="C179" i="29"/>
  <c r="E179" i="29" s="1"/>
  <c r="C178" i="29"/>
  <c r="E178" i="29" s="1"/>
  <c r="C177" i="29"/>
  <c r="E177" i="29" s="1"/>
  <c r="C176" i="29"/>
  <c r="E176" i="29" s="1"/>
  <c r="C175" i="29"/>
  <c r="E175" i="29" s="1"/>
  <c r="C174" i="29"/>
  <c r="E174" i="29" s="1"/>
  <c r="C173" i="29"/>
  <c r="E173" i="29" s="1"/>
  <c r="C172" i="29"/>
  <c r="E172" i="29" s="1"/>
  <c r="C171" i="29"/>
  <c r="E171" i="29" s="1"/>
  <c r="C170" i="29"/>
  <c r="E170" i="29" s="1"/>
  <c r="C169" i="29"/>
  <c r="E169" i="29" s="1"/>
  <c r="C168" i="29"/>
  <c r="E168" i="29" s="1"/>
  <c r="C167" i="29"/>
  <c r="E167" i="29" s="1"/>
  <c r="C166" i="29"/>
  <c r="E166" i="29" s="1"/>
  <c r="C165" i="29"/>
  <c r="E165" i="29" s="1"/>
  <c r="C164" i="29"/>
  <c r="E164" i="29" s="1"/>
  <c r="C163" i="29"/>
  <c r="E163" i="29" s="1"/>
  <c r="C162" i="29"/>
  <c r="E162" i="29" s="1"/>
  <c r="C161" i="29"/>
  <c r="E161" i="29" s="1"/>
  <c r="C160" i="29"/>
  <c r="E160" i="29" s="1"/>
  <c r="C159" i="29"/>
  <c r="E159" i="29" s="1"/>
  <c r="C158" i="29"/>
  <c r="E158" i="29" s="1"/>
  <c r="C157" i="29"/>
  <c r="E157" i="29" s="1"/>
  <c r="C156" i="29"/>
  <c r="E156" i="29" s="1"/>
  <c r="C155" i="29"/>
  <c r="E155" i="29" s="1"/>
  <c r="C154" i="29"/>
  <c r="E154" i="29" s="1"/>
  <c r="C153" i="29"/>
  <c r="E153" i="29" s="1"/>
  <c r="C152" i="29"/>
  <c r="E152" i="29" s="1"/>
  <c r="C151" i="29"/>
  <c r="E151" i="29" s="1"/>
  <c r="C150" i="29"/>
  <c r="E150" i="29" s="1"/>
  <c r="C149" i="29"/>
  <c r="E149" i="29" s="1"/>
  <c r="C148" i="29"/>
  <c r="E148" i="29" s="1"/>
  <c r="C147" i="29"/>
  <c r="E147" i="29" s="1"/>
  <c r="C146" i="29"/>
  <c r="E146" i="29" s="1"/>
  <c r="C145" i="29"/>
  <c r="E145" i="29" s="1"/>
  <c r="C144" i="29"/>
  <c r="E144" i="29" s="1"/>
  <c r="C143" i="29"/>
  <c r="E143" i="29" s="1"/>
  <c r="C142" i="29"/>
  <c r="E142" i="29" s="1"/>
  <c r="C141" i="29"/>
  <c r="E141" i="29" s="1"/>
  <c r="C140" i="29"/>
  <c r="E140" i="29" s="1"/>
  <c r="C139" i="29"/>
  <c r="E139" i="29" s="1"/>
  <c r="C138" i="29"/>
  <c r="E138" i="29" s="1"/>
  <c r="C137" i="29"/>
  <c r="E137" i="29" s="1"/>
  <c r="C136" i="29"/>
  <c r="E136" i="29" s="1"/>
  <c r="C135" i="29"/>
  <c r="E135" i="29" s="1"/>
  <c r="C134" i="29"/>
  <c r="E134" i="29" s="1"/>
  <c r="C133" i="29"/>
  <c r="E133" i="29" s="1"/>
  <c r="C132" i="29"/>
  <c r="E132" i="29" s="1"/>
  <c r="C131" i="29"/>
  <c r="E131" i="29" s="1"/>
  <c r="C130" i="29"/>
  <c r="E130" i="29" s="1"/>
  <c r="C129" i="29"/>
  <c r="E129" i="29" s="1"/>
  <c r="C128" i="29"/>
  <c r="E128" i="29" s="1"/>
  <c r="C127" i="29"/>
  <c r="E127" i="29" s="1"/>
  <c r="C126" i="29"/>
  <c r="E126" i="29" s="1"/>
  <c r="C125" i="29"/>
  <c r="E125" i="29" s="1"/>
  <c r="C124" i="29"/>
  <c r="E124" i="29" s="1"/>
  <c r="C123" i="29"/>
  <c r="E123" i="29" s="1"/>
  <c r="C122" i="29"/>
  <c r="E122" i="29" s="1"/>
  <c r="C121" i="29"/>
  <c r="E121" i="29" s="1"/>
  <c r="C120" i="29"/>
  <c r="E120" i="29" s="1"/>
  <c r="C119" i="29"/>
  <c r="E119" i="29" s="1"/>
  <c r="C118" i="29"/>
  <c r="E118" i="29" s="1"/>
  <c r="C117" i="29"/>
  <c r="E117" i="29" s="1"/>
  <c r="C116" i="29"/>
  <c r="E116" i="29" s="1"/>
  <c r="C115" i="29"/>
  <c r="E115" i="29" s="1"/>
  <c r="C114" i="29"/>
  <c r="E114" i="29" s="1"/>
  <c r="C113" i="29"/>
  <c r="E113" i="29" s="1"/>
  <c r="C112" i="29"/>
  <c r="E112" i="29" s="1"/>
  <c r="C111" i="29"/>
  <c r="E111" i="29" s="1"/>
  <c r="C110" i="29"/>
  <c r="E110" i="29" s="1"/>
  <c r="C109" i="29"/>
  <c r="E109" i="29" s="1"/>
  <c r="C108" i="29"/>
  <c r="E108" i="29" s="1"/>
  <c r="C107" i="29"/>
  <c r="E107" i="29" s="1"/>
  <c r="C106" i="29"/>
  <c r="E106" i="29" s="1"/>
  <c r="C105" i="29"/>
  <c r="E105" i="29" s="1"/>
  <c r="C104" i="29"/>
  <c r="E104" i="29" s="1"/>
  <c r="C103" i="29"/>
  <c r="E103" i="29" s="1"/>
  <c r="C102" i="29"/>
  <c r="E102" i="29" s="1"/>
  <c r="C101" i="29"/>
  <c r="E101" i="29" s="1"/>
  <c r="C98" i="29"/>
  <c r="E98" i="29" s="1"/>
  <c r="C99" i="29"/>
  <c r="E99" i="29" s="1"/>
  <c r="C100" i="29"/>
  <c r="E100" i="29" s="1"/>
  <c r="C97" i="29"/>
  <c r="E97" i="29" s="1"/>
  <c r="C96" i="29"/>
  <c r="E96" i="29" s="1"/>
  <c r="C95" i="29"/>
  <c r="E95" i="29" s="1"/>
  <c r="C94" i="29"/>
  <c r="E94" i="29" s="1"/>
  <c r="C93" i="29"/>
  <c r="E93" i="29" s="1"/>
  <c r="C92" i="29"/>
  <c r="E92" i="29" s="1"/>
  <c r="C91" i="29"/>
  <c r="E91" i="29" s="1"/>
  <c r="C90" i="29"/>
  <c r="E90" i="29" s="1"/>
  <c r="C89" i="29"/>
  <c r="E89" i="29" s="1"/>
  <c r="C88" i="29"/>
  <c r="E88" i="29" s="1"/>
  <c r="C87" i="29"/>
  <c r="E87" i="29" s="1"/>
  <c r="C86" i="29"/>
  <c r="E86" i="29" s="1"/>
  <c r="C85" i="29"/>
  <c r="E85" i="29" s="1"/>
  <c r="C84" i="29"/>
  <c r="E84" i="29" s="1"/>
  <c r="C83" i="29"/>
  <c r="E83" i="29" s="1"/>
  <c r="C82" i="29"/>
  <c r="E82" i="29" s="1"/>
  <c r="C81" i="29"/>
  <c r="E81" i="29" s="1"/>
  <c r="C80" i="29"/>
  <c r="E80" i="29" s="1"/>
  <c r="C79" i="29"/>
  <c r="E79" i="29" s="1"/>
  <c r="C78" i="29"/>
  <c r="E78" i="29" s="1"/>
  <c r="C77" i="29"/>
  <c r="E77" i="29" s="1"/>
  <c r="C76" i="29"/>
  <c r="E76" i="29" s="1"/>
  <c r="C75" i="29"/>
  <c r="E75" i="29" s="1"/>
  <c r="C74" i="29"/>
  <c r="E74" i="29" s="1"/>
  <c r="C73" i="29"/>
  <c r="E73" i="29" s="1"/>
  <c r="C72" i="29"/>
  <c r="E72" i="29" s="1"/>
  <c r="C71" i="29"/>
  <c r="E71" i="29" s="1"/>
  <c r="C70" i="29"/>
  <c r="E70" i="29" s="1"/>
  <c r="C69" i="29"/>
  <c r="E69" i="29" s="1"/>
  <c r="C68" i="29"/>
  <c r="E68" i="29" s="1"/>
  <c r="C67" i="29"/>
  <c r="E67" i="29" s="1"/>
  <c r="C66" i="29"/>
  <c r="E66" i="29" s="1"/>
  <c r="C65" i="29"/>
  <c r="E65" i="29" s="1"/>
  <c r="C64" i="29"/>
  <c r="E64" i="29" s="1"/>
  <c r="C63" i="29"/>
  <c r="E63" i="29" s="1"/>
  <c r="C62" i="29"/>
  <c r="E62" i="29" s="1"/>
  <c r="C61" i="29"/>
  <c r="E61" i="29" s="1"/>
  <c r="C60" i="29"/>
  <c r="E60" i="29" s="1"/>
  <c r="C59" i="29"/>
  <c r="E59" i="29" s="1"/>
  <c r="C58" i="29"/>
  <c r="E58" i="29" s="1"/>
  <c r="C57" i="29"/>
  <c r="E57" i="29" s="1"/>
  <c r="C56" i="29"/>
  <c r="E56" i="29" s="1"/>
  <c r="C55" i="29"/>
  <c r="E55" i="29" s="1"/>
  <c r="C54" i="29"/>
  <c r="E54" i="29" s="1"/>
  <c r="C53" i="29"/>
  <c r="E53" i="29" s="1"/>
  <c r="C52" i="29"/>
  <c r="E52" i="29" s="1"/>
  <c r="C51" i="29"/>
  <c r="E51" i="29" s="1"/>
  <c r="C50" i="29"/>
  <c r="E50" i="29" s="1"/>
  <c r="C49" i="29"/>
  <c r="E49" i="29" s="1"/>
  <c r="C48" i="29"/>
  <c r="E48" i="29" s="1"/>
  <c r="C47" i="29"/>
  <c r="E47" i="29" s="1"/>
  <c r="C46" i="29"/>
  <c r="E46" i="29" s="1"/>
  <c r="C45" i="29"/>
  <c r="E45" i="29" s="1"/>
  <c r="C44" i="29"/>
  <c r="E44" i="29" s="1"/>
  <c r="C43" i="29"/>
  <c r="E43" i="29" s="1"/>
  <c r="C42" i="29"/>
  <c r="E42" i="29" s="1"/>
  <c r="C41" i="29"/>
  <c r="E41" i="29" s="1"/>
  <c r="C40" i="29"/>
  <c r="E40" i="29" s="1"/>
  <c r="C39" i="29"/>
  <c r="E39" i="29" s="1"/>
  <c r="C38" i="29"/>
  <c r="E38" i="29" s="1"/>
  <c r="C37" i="29"/>
  <c r="E37" i="29" s="1"/>
  <c r="C36" i="29"/>
  <c r="E36" i="29" s="1"/>
  <c r="C35" i="29"/>
  <c r="E35" i="29" s="1"/>
  <c r="C34" i="29"/>
  <c r="E34" i="29" s="1"/>
  <c r="C33" i="29"/>
  <c r="E33" i="29" s="1"/>
  <c r="C32" i="29"/>
  <c r="E32" i="29" s="1"/>
  <c r="C31" i="29"/>
  <c r="E31" i="29" s="1"/>
  <c r="C30" i="29"/>
  <c r="E30" i="29" s="1"/>
  <c r="C29" i="29"/>
  <c r="E29" i="29" s="1"/>
  <c r="C28" i="29"/>
  <c r="E28" i="29" s="1"/>
  <c r="C27" i="29"/>
  <c r="E27" i="29" s="1"/>
  <c r="C26" i="29"/>
  <c r="E26" i="29" s="1"/>
  <c r="C25" i="29"/>
  <c r="E25" i="29" s="1"/>
  <c r="C24" i="29"/>
  <c r="E24" i="29" s="1"/>
  <c r="C23" i="29"/>
  <c r="E23" i="29" s="1"/>
  <c r="C22" i="29"/>
  <c r="E22" i="29" s="1"/>
  <c r="C21" i="29"/>
  <c r="E21" i="29" s="1"/>
  <c r="C20" i="29"/>
  <c r="E20" i="29" s="1"/>
  <c r="C19" i="29"/>
  <c r="E19" i="29" s="1"/>
  <c r="C18" i="29"/>
  <c r="E18" i="29" s="1"/>
  <c r="C17" i="29"/>
  <c r="E17" i="29" s="1"/>
  <c r="C16" i="29"/>
  <c r="E16" i="29" s="1"/>
  <c r="C15" i="29"/>
  <c r="E15" i="29" s="1"/>
  <c r="C14" i="29"/>
  <c r="E14" i="29" s="1"/>
  <c r="C13" i="29"/>
  <c r="E13" i="29" s="1"/>
  <c r="C12" i="29"/>
  <c r="E12" i="29" s="1"/>
  <c r="C11" i="29"/>
  <c r="E11" i="29" s="1"/>
  <c r="C10" i="29"/>
  <c r="E10" i="29" s="1"/>
  <c r="C9" i="29"/>
  <c r="E9" i="29" s="1"/>
  <c r="C8" i="29"/>
  <c r="E8" i="29" s="1"/>
  <c r="C7" i="29"/>
  <c r="E7" i="29" s="1"/>
  <c r="C6" i="29"/>
  <c r="E6" i="29" s="1"/>
  <c r="C5" i="29"/>
  <c r="E5" i="29" s="1"/>
  <c r="V9" i="29" l="1"/>
  <c r="U9" i="29"/>
  <c r="T9" i="29"/>
  <c r="S9" i="29"/>
  <c r="R9" i="29"/>
  <c r="Q9" i="29"/>
  <c r="P9" i="29"/>
  <c r="O9" i="29"/>
  <c r="N9" i="29"/>
  <c r="L9" i="29"/>
  <c r="M9" i="29"/>
  <c r="K9" i="29"/>
  <c r="G9" i="29"/>
  <c r="J9" i="29"/>
  <c r="I9" i="29"/>
  <c r="H9" i="29"/>
  <c r="F9" i="29"/>
  <c r="V17" i="29"/>
  <c r="U17" i="29"/>
  <c r="T17" i="29"/>
  <c r="S17" i="29"/>
  <c r="R17" i="29"/>
  <c r="Q17" i="29"/>
  <c r="P17" i="29"/>
  <c r="O17" i="29"/>
  <c r="M17" i="29"/>
  <c r="N17" i="29"/>
  <c r="L17" i="29"/>
  <c r="K17" i="29"/>
  <c r="G17" i="29"/>
  <c r="J17" i="29"/>
  <c r="I17" i="29"/>
  <c r="H17" i="29"/>
  <c r="F17" i="29"/>
  <c r="V25" i="29"/>
  <c r="U25" i="29"/>
  <c r="T25" i="29"/>
  <c r="S25" i="29"/>
  <c r="R25" i="29"/>
  <c r="Q25" i="29"/>
  <c r="P25" i="29"/>
  <c r="O25" i="29"/>
  <c r="N25" i="29"/>
  <c r="L25" i="29"/>
  <c r="M25" i="29"/>
  <c r="K25" i="29"/>
  <c r="G25" i="29"/>
  <c r="J25" i="29"/>
  <c r="I25" i="29"/>
  <c r="H25" i="29"/>
  <c r="F25" i="29"/>
  <c r="V33" i="29"/>
  <c r="U33" i="29"/>
  <c r="T33" i="29"/>
  <c r="S33" i="29"/>
  <c r="R33" i="29"/>
  <c r="Q33" i="29"/>
  <c r="P33" i="29"/>
  <c r="O33" i="29"/>
  <c r="M33" i="29"/>
  <c r="N33" i="29"/>
  <c r="L33" i="29"/>
  <c r="K33" i="29"/>
  <c r="G33" i="29"/>
  <c r="J33" i="29"/>
  <c r="I33" i="29"/>
  <c r="H33" i="29"/>
  <c r="F33" i="29"/>
  <c r="V41" i="29"/>
  <c r="U41" i="29"/>
  <c r="T41" i="29"/>
  <c r="S41" i="29"/>
  <c r="R41" i="29"/>
  <c r="Q41" i="29"/>
  <c r="P41" i="29"/>
  <c r="O41" i="29"/>
  <c r="N41" i="29"/>
  <c r="L41" i="29"/>
  <c r="M41" i="29"/>
  <c r="K41" i="29"/>
  <c r="G41" i="29"/>
  <c r="J41" i="29"/>
  <c r="I41" i="29"/>
  <c r="H41" i="29"/>
  <c r="F41" i="29"/>
  <c r="V49" i="29"/>
  <c r="U49" i="29"/>
  <c r="T49" i="29"/>
  <c r="S49" i="29"/>
  <c r="R49" i="29"/>
  <c r="Q49" i="29"/>
  <c r="P49" i="29"/>
  <c r="O49" i="29"/>
  <c r="M49" i="29"/>
  <c r="N49" i="29"/>
  <c r="L49" i="29"/>
  <c r="K49" i="29"/>
  <c r="G49" i="29"/>
  <c r="J49" i="29"/>
  <c r="I49" i="29"/>
  <c r="H49" i="29"/>
  <c r="F49" i="29"/>
  <c r="V57" i="29"/>
  <c r="U57" i="29"/>
  <c r="T57" i="29"/>
  <c r="S57" i="29"/>
  <c r="R57" i="29"/>
  <c r="Q57" i="29"/>
  <c r="P57" i="29"/>
  <c r="O57" i="29"/>
  <c r="N57" i="29"/>
  <c r="L57" i="29"/>
  <c r="M57" i="29"/>
  <c r="K57" i="29"/>
  <c r="G57" i="29"/>
  <c r="J57" i="29"/>
  <c r="I57" i="29"/>
  <c r="H57" i="29"/>
  <c r="F57" i="29"/>
  <c r="V65" i="29"/>
  <c r="U65" i="29"/>
  <c r="T65" i="29"/>
  <c r="S65" i="29"/>
  <c r="R65" i="29"/>
  <c r="Q65" i="29"/>
  <c r="P65" i="29"/>
  <c r="O65" i="29"/>
  <c r="M65" i="29"/>
  <c r="N65" i="29"/>
  <c r="L65" i="29"/>
  <c r="K65" i="29"/>
  <c r="G65" i="29"/>
  <c r="J65" i="29"/>
  <c r="I65" i="29"/>
  <c r="H65" i="29"/>
  <c r="F65" i="29"/>
  <c r="V73" i="29"/>
  <c r="U73" i="29"/>
  <c r="T73" i="29"/>
  <c r="S73" i="29"/>
  <c r="R73" i="29"/>
  <c r="Q73" i="29"/>
  <c r="P73" i="29"/>
  <c r="O73" i="29"/>
  <c r="N73" i="29"/>
  <c r="L73" i="29"/>
  <c r="M73" i="29"/>
  <c r="K73" i="29"/>
  <c r="G73" i="29"/>
  <c r="J73" i="29"/>
  <c r="I73" i="29"/>
  <c r="H73" i="29"/>
  <c r="F73" i="29"/>
  <c r="V81" i="29"/>
  <c r="U81" i="29"/>
  <c r="T81" i="29"/>
  <c r="S81" i="29"/>
  <c r="R81" i="29"/>
  <c r="Q81" i="29"/>
  <c r="P81" i="29"/>
  <c r="O81" i="29"/>
  <c r="M81" i="29"/>
  <c r="N81" i="29"/>
  <c r="L81" i="29"/>
  <c r="K81" i="29"/>
  <c r="G81" i="29"/>
  <c r="J81" i="29"/>
  <c r="I81" i="29"/>
  <c r="H81" i="29"/>
  <c r="F81" i="29"/>
  <c r="V89" i="29"/>
  <c r="U89" i="29"/>
  <c r="T89" i="29"/>
  <c r="S89" i="29"/>
  <c r="R89" i="29"/>
  <c r="Q89" i="29"/>
  <c r="P89" i="29"/>
  <c r="O89" i="29"/>
  <c r="N89" i="29"/>
  <c r="L89" i="29"/>
  <c r="M89" i="29"/>
  <c r="K89" i="29"/>
  <c r="G89" i="29"/>
  <c r="J89" i="29"/>
  <c r="I89" i="29"/>
  <c r="H89" i="29"/>
  <c r="F89" i="29"/>
  <c r="V97" i="29"/>
  <c r="U97" i="29"/>
  <c r="T97" i="29"/>
  <c r="S97" i="29"/>
  <c r="R97" i="29"/>
  <c r="Q97" i="29"/>
  <c r="P97" i="29"/>
  <c r="O97" i="29"/>
  <c r="M97" i="29"/>
  <c r="N97" i="29"/>
  <c r="L97" i="29"/>
  <c r="K97" i="29"/>
  <c r="G97" i="29"/>
  <c r="J97" i="29"/>
  <c r="I97" i="29"/>
  <c r="H97" i="29"/>
  <c r="F97" i="29"/>
  <c r="V105" i="29"/>
  <c r="U105" i="29"/>
  <c r="T105" i="29"/>
  <c r="S105" i="29"/>
  <c r="R105" i="29"/>
  <c r="Q105" i="29"/>
  <c r="P105" i="29"/>
  <c r="O105" i="29"/>
  <c r="N105" i="29"/>
  <c r="L105" i="29"/>
  <c r="M105" i="29"/>
  <c r="K105" i="29"/>
  <c r="G105" i="29"/>
  <c r="J105" i="29"/>
  <c r="I105" i="29"/>
  <c r="H105" i="29"/>
  <c r="F105" i="29"/>
  <c r="V117" i="29"/>
  <c r="U117" i="29"/>
  <c r="T117" i="29"/>
  <c r="S117" i="29"/>
  <c r="R117" i="29"/>
  <c r="Q117" i="29"/>
  <c r="P117" i="29"/>
  <c r="O117" i="29"/>
  <c r="N117" i="29"/>
  <c r="K117" i="29"/>
  <c r="M117" i="29"/>
  <c r="L117" i="29"/>
  <c r="G117" i="29"/>
  <c r="I117" i="29"/>
  <c r="H117" i="29"/>
  <c r="J117" i="29"/>
  <c r="F117" i="29"/>
  <c r="V125" i="29"/>
  <c r="U125" i="29"/>
  <c r="T125" i="29"/>
  <c r="S125" i="29"/>
  <c r="R125" i="29"/>
  <c r="Q125" i="29"/>
  <c r="P125" i="29"/>
  <c r="O125" i="29"/>
  <c r="M125" i="29"/>
  <c r="N125" i="29"/>
  <c r="L125" i="29"/>
  <c r="K125" i="29"/>
  <c r="G125" i="29"/>
  <c r="I125" i="29"/>
  <c r="H125" i="29"/>
  <c r="J125" i="29"/>
  <c r="F125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G133" i="29"/>
  <c r="I133" i="29"/>
  <c r="H133" i="29"/>
  <c r="J133" i="29"/>
  <c r="F133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G141" i="29"/>
  <c r="I141" i="29"/>
  <c r="H141" i="29"/>
  <c r="J141" i="29"/>
  <c r="F141" i="29"/>
  <c r="V149" i="29"/>
  <c r="U149" i="29"/>
  <c r="T149" i="29"/>
  <c r="S149" i="29"/>
  <c r="R149" i="29"/>
  <c r="Q149" i="29"/>
  <c r="P149" i="29"/>
  <c r="O149" i="29"/>
  <c r="N149" i="29"/>
  <c r="M149" i="29"/>
  <c r="K149" i="29"/>
  <c r="L149" i="29"/>
  <c r="G149" i="29"/>
  <c r="I149" i="29"/>
  <c r="H149" i="29"/>
  <c r="J149" i="29"/>
  <c r="F149" i="29"/>
  <c r="V157" i="29"/>
  <c r="U157" i="29"/>
  <c r="T157" i="29"/>
  <c r="S157" i="29"/>
  <c r="R157" i="29"/>
  <c r="Q157" i="29"/>
  <c r="P157" i="29"/>
  <c r="O157" i="29"/>
  <c r="N157" i="29"/>
  <c r="L157" i="29"/>
  <c r="K157" i="29"/>
  <c r="M157" i="29"/>
  <c r="G157" i="29"/>
  <c r="J157" i="29"/>
  <c r="I157" i="29"/>
  <c r="H157" i="29"/>
  <c r="F157" i="29"/>
  <c r="V165" i="29"/>
  <c r="U165" i="29"/>
  <c r="T165" i="29"/>
  <c r="S165" i="29"/>
  <c r="R165" i="29"/>
  <c r="Q165" i="29"/>
  <c r="P165" i="29"/>
  <c r="O165" i="29"/>
  <c r="N165" i="29"/>
  <c r="M165" i="29"/>
  <c r="L165" i="29"/>
  <c r="K165" i="29"/>
  <c r="G165" i="29"/>
  <c r="J165" i="29"/>
  <c r="I165" i="29"/>
  <c r="H165" i="29"/>
  <c r="F165" i="29"/>
  <c r="V173" i="29"/>
  <c r="U173" i="29"/>
  <c r="T173" i="29"/>
  <c r="S173" i="29"/>
  <c r="R173" i="29"/>
  <c r="Q173" i="29"/>
  <c r="P173" i="29"/>
  <c r="O173" i="29"/>
  <c r="N173" i="29"/>
  <c r="M173" i="29"/>
  <c r="L173" i="29"/>
  <c r="K173" i="29"/>
  <c r="G173" i="29"/>
  <c r="J173" i="29"/>
  <c r="I173" i="29"/>
  <c r="H173" i="29"/>
  <c r="F173" i="29"/>
  <c r="V181" i="29"/>
  <c r="U181" i="29"/>
  <c r="T181" i="29"/>
  <c r="S181" i="29"/>
  <c r="R181" i="29"/>
  <c r="Q181" i="29"/>
  <c r="P181" i="29"/>
  <c r="O181" i="29"/>
  <c r="N181" i="29"/>
  <c r="M181" i="29"/>
  <c r="K181" i="29"/>
  <c r="L181" i="29"/>
  <c r="G181" i="29"/>
  <c r="J181" i="29"/>
  <c r="I181" i="29"/>
  <c r="H181" i="29"/>
  <c r="F181" i="29"/>
  <c r="V189" i="29"/>
  <c r="U189" i="29"/>
  <c r="T189" i="29"/>
  <c r="S189" i="29"/>
  <c r="R189" i="29"/>
  <c r="Q189" i="29"/>
  <c r="P189" i="29"/>
  <c r="O189" i="29"/>
  <c r="N189" i="29"/>
  <c r="L189" i="29"/>
  <c r="K189" i="29"/>
  <c r="M189" i="29"/>
  <c r="G189" i="29"/>
  <c r="J189" i="29"/>
  <c r="I189" i="29"/>
  <c r="H189" i="29"/>
  <c r="F189" i="29"/>
  <c r="V197" i="29"/>
  <c r="U197" i="29"/>
  <c r="T197" i="29"/>
  <c r="S197" i="29"/>
  <c r="R197" i="29"/>
  <c r="Q197" i="29"/>
  <c r="P197" i="29"/>
  <c r="O197" i="29"/>
  <c r="N197" i="29"/>
  <c r="M197" i="29"/>
  <c r="L197" i="29"/>
  <c r="K197" i="29"/>
  <c r="G197" i="29"/>
  <c r="J197" i="29"/>
  <c r="I197" i="29"/>
  <c r="H197" i="29"/>
  <c r="F197" i="29"/>
  <c r="V205" i="29"/>
  <c r="U205" i="29"/>
  <c r="T205" i="29"/>
  <c r="S205" i="29"/>
  <c r="R205" i="29"/>
  <c r="Q205" i="29"/>
  <c r="P205" i="29"/>
  <c r="O205" i="29"/>
  <c r="N205" i="29"/>
  <c r="M205" i="29"/>
  <c r="L205" i="29"/>
  <c r="K205" i="29"/>
  <c r="G205" i="29"/>
  <c r="J205" i="29"/>
  <c r="I205" i="29"/>
  <c r="H205" i="29"/>
  <c r="F205" i="29"/>
  <c r="V213" i="29"/>
  <c r="U213" i="29"/>
  <c r="T213" i="29"/>
  <c r="S213" i="29"/>
  <c r="R213" i="29"/>
  <c r="Q213" i="29"/>
  <c r="P213" i="29"/>
  <c r="O213" i="29"/>
  <c r="N213" i="29"/>
  <c r="L213" i="29"/>
  <c r="M213" i="29"/>
  <c r="G213" i="29"/>
  <c r="K213" i="29"/>
  <c r="J213" i="29"/>
  <c r="I213" i="29"/>
  <c r="H213" i="29"/>
  <c r="F213" i="29"/>
  <c r="V221" i="29"/>
  <c r="U221" i="29"/>
  <c r="T221" i="29"/>
  <c r="S221" i="29"/>
  <c r="Q221" i="29"/>
  <c r="P221" i="29"/>
  <c r="R221" i="29"/>
  <c r="O221" i="29"/>
  <c r="L221" i="29"/>
  <c r="N221" i="29"/>
  <c r="M221" i="29"/>
  <c r="G221" i="29"/>
  <c r="J221" i="29"/>
  <c r="I221" i="29"/>
  <c r="H221" i="29"/>
  <c r="K221" i="29"/>
  <c r="F221" i="29"/>
  <c r="V269" i="29"/>
  <c r="U269" i="29"/>
  <c r="T269" i="29"/>
  <c r="S269" i="29"/>
  <c r="Q269" i="29"/>
  <c r="P269" i="29"/>
  <c r="R269" i="29"/>
  <c r="O269" i="29"/>
  <c r="L269" i="29"/>
  <c r="N269" i="29"/>
  <c r="M269" i="29"/>
  <c r="J269" i="29"/>
  <c r="I269" i="29"/>
  <c r="H269" i="29"/>
  <c r="K269" i="29"/>
  <c r="G269" i="29"/>
  <c r="F269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F7" i="29"/>
  <c r="G7" i="29"/>
  <c r="V11" i="29"/>
  <c r="U11" i="29"/>
  <c r="S11" i="29"/>
  <c r="R11" i="29"/>
  <c r="T11" i="29"/>
  <c r="P11" i="29"/>
  <c r="Q11" i="29"/>
  <c r="O11" i="29"/>
  <c r="N11" i="29"/>
  <c r="M11" i="29"/>
  <c r="L11" i="29"/>
  <c r="K11" i="29"/>
  <c r="J11" i="29"/>
  <c r="I11" i="29"/>
  <c r="H11" i="29"/>
  <c r="F11" i="29"/>
  <c r="G11" i="29"/>
  <c r="V15" i="29"/>
  <c r="U15" i="29"/>
  <c r="T15" i="29"/>
  <c r="R15" i="29"/>
  <c r="S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V19" i="29"/>
  <c r="U19" i="29"/>
  <c r="T19" i="29"/>
  <c r="R19" i="29"/>
  <c r="P19" i="29"/>
  <c r="Q19" i="29"/>
  <c r="S19" i="29"/>
  <c r="O19" i="29"/>
  <c r="N19" i="29"/>
  <c r="M19" i="29"/>
  <c r="L19" i="29"/>
  <c r="K19" i="29"/>
  <c r="J19" i="29"/>
  <c r="I19" i="29"/>
  <c r="H19" i="29"/>
  <c r="G19" i="29"/>
  <c r="F19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F23" i="29"/>
  <c r="G23" i="29"/>
  <c r="V27" i="29"/>
  <c r="U27" i="29"/>
  <c r="T27" i="29"/>
  <c r="S27" i="29"/>
  <c r="R27" i="29"/>
  <c r="P27" i="29"/>
  <c r="Q27" i="29"/>
  <c r="O27" i="29"/>
  <c r="N27" i="29"/>
  <c r="M27" i="29"/>
  <c r="L27" i="29"/>
  <c r="K27" i="29"/>
  <c r="J27" i="29"/>
  <c r="I27" i="29"/>
  <c r="H27" i="29"/>
  <c r="F27" i="29"/>
  <c r="G27" i="29"/>
  <c r="V31" i="29"/>
  <c r="U31" i="29"/>
  <c r="T31" i="29"/>
  <c r="R31" i="29"/>
  <c r="S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V35" i="29"/>
  <c r="U35" i="29"/>
  <c r="T35" i="29"/>
  <c r="R35" i="29"/>
  <c r="P35" i="29"/>
  <c r="Q35" i="29"/>
  <c r="S35" i="29"/>
  <c r="O35" i="29"/>
  <c r="N35" i="29"/>
  <c r="M35" i="29"/>
  <c r="L35" i="29"/>
  <c r="K35" i="29"/>
  <c r="J35" i="29"/>
  <c r="I35" i="29"/>
  <c r="H35" i="29"/>
  <c r="G35" i="29"/>
  <c r="F35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F39" i="29"/>
  <c r="G39" i="29"/>
  <c r="V43" i="29"/>
  <c r="U43" i="29"/>
  <c r="T43" i="29"/>
  <c r="S43" i="29"/>
  <c r="R43" i="29"/>
  <c r="P43" i="29"/>
  <c r="Q43" i="29"/>
  <c r="O43" i="29"/>
  <c r="N43" i="29"/>
  <c r="M43" i="29"/>
  <c r="L43" i="29"/>
  <c r="K43" i="29"/>
  <c r="J43" i="29"/>
  <c r="I43" i="29"/>
  <c r="H43" i="29"/>
  <c r="F43" i="29"/>
  <c r="G43" i="29"/>
  <c r="V47" i="29"/>
  <c r="U47" i="29"/>
  <c r="T47" i="29"/>
  <c r="R47" i="29"/>
  <c r="S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V51" i="29"/>
  <c r="U51" i="29"/>
  <c r="T51" i="29"/>
  <c r="R51" i="29"/>
  <c r="S51" i="29"/>
  <c r="P51" i="29"/>
  <c r="Q51" i="29"/>
  <c r="O51" i="29"/>
  <c r="N51" i="29"/>
  <c r="M51" i="29"/>
  <c r="L51" i="29"/>
  <c r="K51" i="29"/>
  <c r="J51" i="29"/>
  <c r="I51" i="29"/>
  <c r="H51" i="29"/>
  <c r="G51" i="29"/>
  <c r="F51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F55" i="29"/>
  <c r="G55" i="29"/>
  <c r="V59" i="29"/>
  <c r="U59" i="29"/>
  <c r="S59" i="29"/>
  <c r="T59" i="29"/>
  <c r="P59" i="29"/>
  <c r="R59" i="29"/>
  <c r="Q59" i="29"/>
  <c r="O59" i="29"/>
  <c r="N59" i="29"/>
  <c r="M59" i="29"/>
  <c r="L59" i="29"/>
  <c r="K59" i="29"/>
  <c r="J59" i="29"/>
  <c r="I59" i="29"/>
  <c r="H59" i="29"/>
  <c r="F59" i="29"/>
  <c r="G59" i="29"/>
  <c r="V63" i="29"/>
  <c r="U63" i="29"/>
  <c r="T63" i="29"/>
  <c r="R63" i="29"/>
  <c r="S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V67" i="29"/>
  <c r="U67" i="29"/>
  <c r="T67" i="29"/>
  <c r="R67" i="29"/>
  <c r="P67" i="29"/>
  <c r="S67" i="29"/>
  <c r="Q67" i="29"/>
  <c r="O67" i="29"/>
  <c r="N67" i="29"/>
  <c r="M67" i="29"/>
  <c r="L67" i="29"/>
  <c r="K67" i="29"/>
  <c r="J67" i="29"/>
  <c r="I67" i="29"/>
  <c r="H67" i="29"/>
  <c r="G67" i="29"/>
  <c r="F67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F71" i="29"/>
  <c r="G71" i="29"/>
  <c r="V75" i="29"/>
  <c r="U75" i="29"/>
  <c r="S75" i="29"/>
  <c r="R75" i="29"/>
  <c r="T75" i="29"/>
  <c r="Q75" i="29"/>
  <c r="P75" i="29"/>
  <c r="O75" i="29"/>
  <c r="N75" i="29"/>
  <c r="M75" i="29"/>
  <c r="L75" i="29"/>
  <c r="K75" i="29"/>
  <c r="J75" i="29"/>
  <c r="I75" i="29"/>
  <c r="H75" i="29"/>
  <c r="F75" i="29"/>
  <c r="G75" i="29"/>
  <c r="V79" i="29"/>
  <c r="U79" i="29"/>
  <c r="T79" i="29"/>
  <c r="R79" i="29"/>
  <c r="S79" i="29"/>
  <c r="Q79" i="29"/>
  <c r="P79" i="29"/>
  <c r="O79" i="29"/>
  <c r="N79" i="29"/>
  <c r="M79" i="29"/>
  <c r="L79" i="29"/>
  <c r="K79" i="29"/>
  <c r="J79" i="29"/>
  <c r="I79" i="29"/>
  <c r="H79" i="29"/>
  <c r="G79" i="29"/>
  <c r="F79" i="29"/>
  <c r="V83" i="29"/>
  <c r="U83" i="29"/>
  <c r="T83" i="29"/>
  <c r="R83" i="29"/>
  <c r="Q83" i="29"/>
  <c r="S83" i="29"/>
  <c r="P83" i="29"/>
  <c r="O83" i="29"/>
  <c r="N83" i="29"/>
  <c r="M83" i="29"/>
  <c r="L83" i="29"/>
  <c r="K83" i="29"/>
  <c r="J83" i="29"/>
  <c r="I83" i="29"/>
  <c r="H83" i="29"/>
  <c r="G83" i="29"/>
  <c r="F83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F87" i="29"/>
  <c r="G87" i="29"/>
  <c r="V91" i="29"/>
  <c r="U91" i="29"/>
  <c r="T91" i="29"/>
  <c r="S91" i="29"/>
  <c r="R91" i="29"/>
  <c r="P91" i="29"/>
  <c r="Q91" i="29"/>
  <c r="O91" i="29"/>
  <c r="N91" i="29"/>
  <c r="M91" i="29"/>
  <c r="L91" i="29"/>
  <c r="K91" i="29"/>
  <c r="J91" i="29"/>
  <c r="I91" i="29"/>
  <c r="H91" i="29"/>
  <c r="F91" i="29"/>
  <c r="G91" i="29"/>
  <c r="V95" i="29"/>
  <c r="U95" i="29"/>
  <c r="T95" i="29"/>
  <c r="R95" i="29"/>
  <c r="S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V99" i="29"/>
  <c r="U99" i="29"/>
  <c r="T99" i="29"/>
  <c r="R99" i="29"/>
  <c r="Q99" i="29"/>
  <c r="S99" i="29"/>
  <c r="P99" i="29"/>
  <c r="O99" i="29"/>
  <c r="N99" i="29"/>
  <c r="M99" i="29"/>
  <c r="L99" i="29"/>
  <c r="K99" i="29"/>
  <c r="J99" i="29"/>
  <c r="I99" i="29"/>
  <c r="H99" i="29"/>
  <c r="G99" i="29"/>
  <c r="F99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F103" i="29"/>
  <c r="G103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F107" i="29"/>
  <c r="G107" i="29"/>
  <c r="V111" i="29"/>
  <c r="U111" i="29"/>
  <c r="T111" i="29"/>
  <c r="R111" i="29"/>
  <c r="S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V115" i="29"/>
  <c r="U115" i="29"/>
  <c r="T115" i="29"/>
  <c r="R115" i="29"/>
  <c r="S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F119" i="29"/>
  <c r="G119" i="29"/>
  <c r="V123" i="29"/>
  <c r="U123" i="29"/>
  <c r="S123" i="29"/>
  <c r="T123" i="29"/>
  <c r="R123" i="29"/>
  <c r="Q123" i="29"/>
  <c r="P123" i="29"/>
  <c r="O123" i="29"/>
  <c r="N123" i="29"/>
  <c r="M123" i="29"/>
  <c r="L123" i="29"/>
  <c r="K123" i="29"/>
  <c r="J123" i="29"/>
  <c r="I123" i="29"/>
  <c r="H123" i="29"/>
  <c r="F123" i="29"/>
  <c r="G123" i="29"/>
  <c r="V127" i="29"/>
  <c r="U127" i="29"/>
  <c r="T127" i="29"/>
  <c r="R127" i="29"/>
  <c r="S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V131" i="29"/>
  <c r="U131" i="29"/>
  <c r="T131" i="29"/>
  <c r="R131" i="29"/>
  <c r="S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V135" i="29"/>
  <c r="U135" i="29"/>
  <c r="T135" i="29"/>
  <c r="S135" i="29"/>
  <c r="R135" i="29"/>
  <c r="Q135" i="29"/>
  <c r="P135" i="29"/>
  <c r="O135" i="29"/>
  <c r="N135" i="29"/>
  <c r="M135" i="29"/>
  <c r="L135" i="29"/>
  <c r="K135" i="29"/>
  <c r="J135" i="29"/>
  <c r="I135" i="29"/>
  <c r="H135" i="29"/>
  <c r="F135" i="29"/>
  <c r="G135" i="29"/>
  <c r="V139" i="29"/>
  <c r="U139" i="29"/>
  <c r="S139" i="29"/>
  <c r="T139" i="29"/>
  <c r="R139" i="29"/>
  <c r="Q139" i="29"/>
  <c r="P139" i="29"/>
  <c r="O139" i="29"/>
  <c r="N139" i="29"/>
  <c r="M139" i="29"/>
  <c r="L139" i="29"/>
  <c r="K139" i="29"/>
  <c r="J139" i="29"/>
  <c r="I139" i="29"/>
  <c r="H139" i="29"/>
  <c r="F139" i="29"/>
  <c r="G139" i="29"/>
  <c r="V143" i="29"/>
  <c r="U143" i="29"/>
  <c r="T143" i="29"/>
  <c r="R143" i="29"/>
  <c r="S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V147" i="29"/>
  <c r="U147" i="29"/>
  <c r="T147" i="29"/>
  <c r="R147" i="29"/>
  <c r="Q147" i="29"/>
  <c r="S147" i="29"/>
  <c r="P147" i="29"/>
  <c r="O147" i="29"/>
  <c r="N147" i="29"/>
  <c r="M147" i="29"/>
  <c r="L147" i="29"/>
  <c r="K147" i="29"/>
  <c r="J147" i="29"/>
  <c r="I147" i="29"/>
  <c r="H147" i="29"/>
  <c r="G147" i="29"/>
  <c r="F147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F151" i="29"/>
  <c r="G151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F155" i="29"/>
  <c r="G155" i="29"/>
  <c r="V159" i="29"/>
  <c r="U159" i="29"/>
  <c r="T159" i="29"/>
  <c r="R159" i="29"/>
  <c r="S159" i="29"/>
  <c r="Q159" i="29"/>
  <c r="P159" i="29"/>
  <c r="O159" i="29"/>
  <c r="N159" i="29"/>
  <c r="M159" i="29"/>
  <c r="L159" i="29"/>
  <c r="K159" i="29"/>
  <c r="J159" i="29"/>
  <c r="I159" i="29"/>
  <c r="H159" i="29"/>
  <c r="G159" i="29"/>
  <c r="F159" i="29"/>
  <c r="V163" i="29"/>
  <c r="U163" i="29"/>
  <c r="T163" i="29"/>
  <c r="R163" i="29"/>
  <c r="Q163" i="29"/>
  <c r="S163" i="29"/>
  <c r="P163" i="29"/>
  <c r="O163" i="29"/>
  <c r="N163" i="29"/>
  <c r="M163" i="29"/>
  <c r="L163" i="29"/>
  <c r="K163" i="29"/>
  <c r="J163" i="29"/>
  <c r="I163" i="29"/>
  <c r="H163" i="29"/>
  <c r="G163" i="29"/>
  <c r="F163" i="29"/>
  <c r="V167" i="29"/>
  <c r="U167" i="29"/>
  <c r="T167" i="29"/>
  <c r="S167" i="29"/>
  <c r="R167" i="29"/>
  <c r="Q167" i="29"/>
  <c r="P167" i="29"/>
  <c r="O167" i="29"/>
  <c r="N167" i="29"/>
  <c r="M167" i="29"/>
  <c r="L167" i="29"/>
  <c r="K167" i="29"/>
  <c r="J167" i="29"/>
  <c r="I167" i="29"/>
  <c r="H167" i="29"/>
  <c r="F167" i="29"/>
  <c r="G167" i="29"/>
  <c r="V171" i="29"/>
  <c r="U171" i="29"/>
  <c r="T171" i="29"/>
  <c r="S171" i="29"/>
  <c r="R171" i="29"/>
  <c r="P171" i="29"/>
  <c r="Q171" i="29"/>
  <c r="O171" i="29"/>
  <c r="N171" i="29"/>
  <c r="M171" i="29"/>
  <c r="L171" i="29"/>
  <c r="K171" i="29"/>
  <c r="J171" i="29"/>
  <c r="I171" i="29"/>
  <c r="H171" i="29"/>
  <c r="F171" i="29"/>
  <c r="G171" i="29"/>
  <c r="V175" i="29"/>
  <c r="U175" i="29"/>
  <c r="T175" i="29"/>
  <c r="R175" i="29"/>
  <c r="S175" i="29"/>
  <c r="Q175" i="29"/>
  <c r="P175" i="29"/>
  <c r="O175" i="29"/>
  <c r="N175" i="29"/>
  <c r="M175" i="29"/>
  <c r="L175" i="29"/>
  <c r="K175" i="29"/>
  <c r="J175" i="29"/>
  <c r="I175" i="29"/>
  <c r="H175" i="29"/>
  <c r="G175" i="29"/>
  <c r="F175" i="29"/>
  <c r="V179" i="29"/>
  <c r="U179" i="29"/>
  <c r="T179" i="29"/>
  <c r="R179" i="29"/>
  <c r="S179" i="29"/>
  <c r="Q179" i="29"/>
  <c r="P179" i="29"/>
  <c r="O179" i="29"/>
  <c r="N179" i="29"/>
  <c r="M179" i="29"/>
  <c r="L179" i="29"/>
  <c r="K179" i="29"/>
  <c r="J179" i="29"/>
  <c r="I179" i="29"/>
  <c r="H179" i="29"/>
  <c r="G179" i="29"/>
  <c r="F179" i="29"/>
  <c r="V183" i="29"/>
  <c r="U183" i="29"/>
  <c r="T183" i="29"/>
  <c r="S183" i="29"/>
  <c r="R183" i="29"/>
  <c r="Q183" i="29"/>
  <c r="P183" i="29"/>
  <c r="O183" i="29"/>
  <c r="N183" i="29"/>
  <c r="M183" i="29"/>
  <c r="L183" i="29"/>
  <c r="K183" i="29"/>
  <c r="J183" i="29"/>
  <c r="I183" i="29"/>
  <c r="H183" i="29"/>
  <c r="F183" i="29"/>
  <c r="G183" i="29"/>
  <c r="V187" i="29"/>
  <c r="U187" i="29"/>
  <c r="S187" i="29"/>
  <c r="T187" i="29"/>
  <c r="R187" i="29"/>
  <c r="Q187" i="29"/>
  <c r="P187" i="29"/>
  <c r="O187" i="29"/>
  <c r="N187" i="29"/>
  <c r="M187" i="29"/>
  <c r="L187" i="29"/>
  <c r="K187" i="29"/>
  <c r="J187" i="29"/>
  <c r="I187" i="29"/>
  <c r="H187" i="29"/>
  <c r="F187" i="29"/>
  <c r="G187" i="29"/>
  <c r="V191" i="29"/>
  <c r="U191" i="29"/>
  <c r="T191" i="29"/>
  <c r="R191" i="29"/>
  <c r="S191" i="29"/>
  <c r="Q191" i="29"/>
  <c r="P191" i="29"/>
  <c r="O191" i="29"/>
  <c r="N191" i="29"/>
  <c r="M191" i="29"/>
  <c r="L191" i="29"/>
  <c r="K191" i="29"/>
  <c r="J191" i="29"/>
  <c r="I191" i="29"/>
  <c r="H191" i="29"/>
  <c r="G191" i="29"/>
  <c r="F191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V68" i="29"/>
  <c r="T68" i="29"/>
  <c r="U68" i="29"/>
  <c r="S68" i="29"/>
  <c r="R68" i="29"/>
  <c r="Q68" i="29"/>
  <c r="P68" i="29"/>
  <c r="O68" i="29"/>
  <c r="N68" i="29"/>
  <c r="M68" i="29"/>
  <c r="L68" i="29"/>
  <c r="K68" i="29"/>
  <c r="J68" i="29"/>
  <c r="I68" i="29"/>
  <c r="H68" i="29"/>
  <c r="G68" i="29"/>
  <c r="F68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V80" i="29"/>
  <c r="U80" i="29"/>
  <c r="T80" i="29"/>
  <c r="S80" i="29"/>
  <c r="R80" i="29"/>
  <c r="Q80" i="29"/>
  <c r="P80" i="29"/>
  <c r="O80" i="29"/>
  <c r="N80" i="29"/>
  <c r="M80" i="29"/>
  <c r="L80" i="29"/>
  <c r="K80" i="29"/>
  <c r="J80" i="29"/>
  <c r="I80" i="29"/>
  <c r="H80" i="29"/>
  <c r="G80" i="29"/>
  <c r="F80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G98" i="29"/>
  <c r="I98" i="29"/>
  <c r="F98" i="29"/>
  <c r="H98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V112" i="29"/>
  <c r="U112" i="29"/>
  <c r="T112" i="29"/>
  <c r="S112" i="29"/>
  <c r="R112" i="29"/>
  <c r="Q112" i="29"/>
  <c r="P112" i="29"/>
  <c r="O112" i="29"/>
  <c r="N112" i="29"/>
  <c r="M112" i="29"/>
  <c r="L112" i="29"/>
  <c r="K112" i="29"/>
  <c r="J112" i="29"/>
  <c r="I112" i="29"/>
  <c r="H112" i="29"/>
  <c r="G112" i="29"/>
  <c r="F112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V132" i="29"/>
  <c r="T132" i="29"/>
  <c r="U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V136" i="29"/>
  <c r="U136" i="29"/>
  <c r="T136" i="29"/>
  <c r="S136" i="29"/>
  <c r="R136" i="29"/>
  <c r="Q136" i="29"/>
  <c r="P136" i="29"/>
  <c r="O136" i="29"/>
  <c r="N136" i="29"/>
  <c r="M136" i="29"/>
  <c r="L136" i="29"/>
  <c r="K136" i="29"/>
  <c r="J136" i="29"/>
  <c r="I136" i="29"/>
  <c r="H136" i="29"/>
  <c r="G136" i="29"/>
  <c r="F136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V156" i="29"/>
  <c r="U156" i="29"/>
  <c r="T156" i="29"/>
  <c r="S156" i="29"/>
  <c r="R156" i="29"/>
  <c r="Q156" i="29"/>
  <c r="P156" i="29"/>
  <c r="O156" i="29"/>
  <c r="N156" i="29"/>
  <c r="M156" i="29"/>
  <c r="L156" i="29"/>
  <c r="K156" i="29"/>
  <c r="J156" i="29"/>
  <c r="I156" i="29"/>
  <c r="H156" i="29"/>
  <c r="G156" i="29"/>
  <c r="F156" i="29"/>
  <c r="V160" i="29"/>
  <c r="U160" i="29"/>
  <c r="T160" i="29"/>
  <c r="S160" i="29"/>
  <c r="R160" i="29"/>
  <c r="Q160" i="29"/>
  <c r="P160" i="29"/>
  <c r="O160" i="29"/>
  <c r="N160" i="29"/>
  <c r="M160" i="29"/>
  <c r="L160" i="29"/>
  <c r="K160" i="29"/>
  <c r="J160" i="29"/>
  <c r="I160" i="29"/>
  <c r="H160" i="29"/>
  <c r="G160" i="29"/>
  <c r="F160" i="29"/>
  <c r="V164" i="29"/>
  <c r="U164" i="29"/>
  <c r="T164" i="29"/>
  <c r="S164" i="29"/>
  <c r="R164" i="29"/>
  <c r="Q164" i="29"/>
  <c r="P164" i="29"/>
  <c r="O164" i="29"/>
  <c r="N164" i="29"/>
  <c r="M164" i="29"/>
  <c r="L164" i="29"/>
  <c r="K164" i="29"/>
  <c r="J164" i="29"/>
  <c r="I164" i="29"/>
  <c r="H164" i="29"/>
  <c r="G164" i="29"/>
  <c r="F164" i="29"/>
  <c r="V168" i="29"/>
  <c r="U168" i="29"/>
  <c r="T168" i="29"/>
  <c r="S168" i="29"/>
  <c r="R168" i="29"/>
  <c r="Q168" i="29"/>
  <c r="P168" i="29"/>
  <c r="O168" i="29"/>
  <c r="N168" i="29"/>
  <c r="M168" i="29"/>
  <c r="L168" i="29"/>
  <c r="K168" i="29"/>
  <c r="J168" i="29"/>
  <c r="I168" i="29"/>
  <c r="H168" i="29"/>
  <c r="G168" i="29"/>
  <c r="F168" i="29"/>
  <c r="V172" i="29"/>
  <c r="U172" i="29"/>
  <c r="T172" i="29"/>
  <c r="S172" i="29"/>
  <c r="R172" i="29"/>
  <c r="Q172" i="29"/>
  <c r="P172" i="29"/>
  <c r="O172" i="29"/>
  <c r="N172" i="29"/>
  <c r="M172" i="29"/>
  <c r="L172" i="29"/>
  <c r="K172" i="29"/>
  <c r="J172" i="29"/>
  <c r="I172" i="29"/>
  <c r="H172" i="29"/>
  <c r="G172" i="29"/>
  <c r="F172" i="29"/>
  <c r="V176" i="29"/>
  <c r="U176" i="29"/>
  <c r="T176" i="29"/>
  <c r="S176" i="29"/>
  <c r="R176" i="29"/>
  <c r="Q176" i="29"/>
  <c r="P176" i="29"/>
  <c r="O176" i="29"/>
  <c r="N176" i="29"/>
  <c r="M176" i="29"/>
  <c r="L176" i="29"/>
  <c r="K176" i="29"/>
  <c r="J176" i="29"/>
  <c r="I176" i="29"/>
  <c r="H176" i="29"/>
  <c r="G176" i="29"/>
  <c r="F176" i="29"/>
  <c r="V180" i="29"/>
  <c r="U180" i="29"/>
  <c r="T180" i="29"/>
  <c r="S180" i="29"/>
  <c r="R180" i="29"/>
  <c r="Q180" i="29"/>
  <c r="P180" i="29"/>
  <c r="O180" i="29"/>
  <c r="N180" i="29"/>
  <c r="M180" i="29"/>
  <c r="L180" i="29"/>
  <c r="K180" i="29"/>
  <c r="J180" i="29"/>
  <c r="I180" i="29"/>
  <c r="H180" i="29"/>
  <c r="G180" i="29"/>
  <c r="F180" i="29"/>
  <c r="V184" i="29"/>
  <c r="U184" i="29"/>
  <c r="T184" i="29"/>
  <c r="S184" i="29"/>
  <c r="R184" i="29"/>
  <c r="Q184" i="29"/>
  <c r="P184" i="29"/>
  <c r="O184" i="29"/>
  <c r="N184" i="29"/>
  <c r="M184" i="29"/>
  <c r="L184" i="29"/>
  <c r="K184" i="29"/>
  <c r="J184" i="29"/>
  <c r="I184" i="29"/>
  <c r="H184" i="29"/>
  <c r="G184" i="29"/>
  <c r="F184" i="29"/>
  <c r="V188" i="29"/>
  <c r="T188" i="29"/>
  <c r="U188" i="29"/>
  <c r="S188" i="29"/>
  <c r="R188" i="29"/>
  <c r="Q188" i="29"/>
  <c r="P188" i="29"/>
  <c r="O188" i="29"/>
  <c r="N188" i="29"/>
  <c r="M188" i="29"/>
  <c r="L188" i="29"/>
  <c r="K188" i="29"/>
  <c r="J188" i="29"/>
  <c r="I188" i="29"/>
  <c r="H188" i="29"/>
  <c r="G188" i="29"/>
  <c r="F188" i="29"/>
  <c r="V192" i="29"/>
  <c r="U192" i="29"/>
  <c r="T192" i="29"/>
  <c r="S192" i="29"/>
  <c r="R192" i="29"/>
  <c r="Q192" i="29"/>
  <c r="P192" i="29"/>
  <c r="O192" i="29"/>
  <c r="N192" i="29"/>
  <c r="M192" i="29"/>
  <c r="L192" i="29"/>
  <c r="K192" i="29"/>
  <c r="J192" i="29"/>
  <c r="I192" i="29"/>
  <c r="H192" i="29"/>
  <c r="G192" i="29"/>
  <c r="F192" i="29"/>
  <c r="V196" i="29"/>
  <c r="U196" i="29"/>
  <c r="T196" i="29"/>
  <c r="S196" i="29"/>
  <c r="R196" i="29"/>
  <c r="Q196" i="29"/>
  <c r="P196" i="29"/>
  <c r="O196" i="29"/>
  <c r="N196" i="29"/>
  <c r="M196" i="29"/>
  <c r="L196" i="29"/>
  <c r="K196" i="29"/>
  <c r="J196" i="29"/>
  <c r="I196" i="29"/>
  <c r="H196" i="29"/>
  <c r="G196" i="29"/>
  <c r="F196" i="29"/>
  <c r="V200" i="29"/>
  <c r="U200" i="29"/>
  <c r="T200" i="29"/>
  <c r="S200" i="29"/>
  <c r="R200" i="29"/>
  <c r="Q200" i="29"/>
  <c r="P200" i="29"/>
  <c r="O200" i="29"/>
  <c r="N200" i="29"/>
  <c r="M200" i="29"/>
  <c r="L200" i="29"/>
  <c r="K200" i="29"/>
  <c r="J200" i="29"/>
  <c r="I200" i="29"/>
  <c r="H200" i="29"/>
  <c r="G200" i="29"/>
  <c r="F200" i="29"/>
  <c r="V204" i="29"/>
  <c r="T204" i="29"/>
  <c r="U204" i="29"/>
  <c r="S204" i="29"/>
  <c r="R204" i="29"/>
  <c r="Q204" i="29"/>
  <c r="P204" i="29"/>
  <c r="O204" i="29"/>
  <c r="N204" i="29"/>
  <c r="M204" i="29"/>
  <c r="L204" i="29"/>
  <c r="K204" i="29"/>
  <c r="J204" i="29"/>
  <c r="I204" i="29"/>
  <c r="H204" i="29"/>
  <c r="G204" i="29"/>
  <c r="F204" i="29"/>
  <c r="V208" i="29"/>
  <c r="U208" i="29"/>
  <c r="T208" i="29"/>
  <c r="S208" i="29"/>
  <c r="R208" i="29"/>
  <c r="Q208" i="29"/>
  <c r="P208" i="29"/>
  <c r="O208" i="29"/>
  <c r="N208" i="29"/>
  <c r="M208" i="29"/>
  <c r="L208" i="29"/>
  <c r="K208" i="29"/>
  <c r="J208" i="29"/>
  <c r="I208" i="29"/>
  <c r="H208" i="29"/>
  <c r="G208" i="29"/>
  <c r="F208" i="29"/>
  <c r="V212" i="29"/>
  <c r="U212" i="29"/>
  <c r="T212" i="29"/>
  <c r="S212" i="29"/>
  <c r="R212" i="29"/>
  <c r="Q212" i="29"/>
  <c r="P212" i="29"/>
  <c r="O212" i="29"/>
  <c r="N212" i="29"/>
  <c r="M212" i="29"/>
  <c r="L212" i="29"/>
  <c r="K212" i="29"/>
  <c r="J212" i="29"/>
  <c r="I212" i="29"/>
  <c r="H212" i="29"/>
  <c r="G212" i="29"/>
  <c r="F212" i="29"/>
  <c r="V216" i="29"/>
  <c r="U216" i="29"/>
  <c r="T216" i="29"/>
  <c r="S216" i="29"/>
  <c r="R216" i="29"/>
  <c r="Q216" i="29"/>
  <c r="P216" i="29"/>
  <c r="O216" i="29"/>
  <c r="N216" i="29"/>
  <c r="M216" i="29"/>
  <c r="L216" i="29"/>
  <c r="K216" i="29"/>
  <c r="J216" i="29"/>
  <c r="I216" i="29"/>
  <c r="H216" i="29"/>
  <c r="G216" i="29"/>
  <c r="F216" i="29"/>
  <c r="V220" i="29"/>
  <c r="T220" i="29"/>
  <c r="S220" i="29"/>
  <c r="R220" i="29"/>
  <c r="U220" i="29"/>
  <c r="Q220" i="29"/>
  <c r="P220" i="29"/>
  <c r="O220" i="29"/>
  <c r="N220" i="29"/>
  <c r="M220" i="29"/>
  <c r="L220" i="29"/>
  <c r="K220" i="29"/>
  <c r="J220" i="29"/>
  <c r="I220" i="29"/>
  <c r="H220" i="29"/>
  <c r="G220" i="29"/>
  <c r="F220" i="29"/>
  <c r="V224" i="29"/>
  <c r="U224" i="29"/>
  <c r="T224" i="29"/>
  <c r="S224" i="29"/>
  <c r="R224" i="29"/>
  <c r="Q224" i="29"/>
  <c r="P224" i="29"/>
  <c r="O224" i="29"/>
  <c r="N224" i="29"/>
  <c r="M224" i="29"/>
  <c r="L224" i="29"/>
  <c r="K224" i="29"/>
  <c r="J224" i="29"/>
  <c r="I224" i="29"/>
  <c r="H224" i="29"/>
  <c r="G224" i="29"/>
  <c r="F224" i="29"/>
  <c r="V228" i="29"/>
  <c r="U228" i="29"/>
  <c r="T228" i="29"/>
  <c r="S228" i="29"/>
  <c r="R228" i="29"/>
  <c r="Q228" i="29"/>
  <c r="P228" i="29"/>
  <c r="O228" i="29"/>
  <c r="N228" i="29"/>
  <c r="M228" i="29"/>
  <c r="L228" i="29"/>
  <c r="K228" i="29"/>
  <c r="J228" i="29"/>
  <c r="I228" i="29"/>
  <c r="H228" i="29"/>
  <c r="G228" i="29"/>
  <c r="F228" i="29"/>
  <c r="V232" i="29"/>
  <c r="U232" i="29"/>
  <c r="T232" i="29"/>
  <c r="S232" i="29"/>
  <c r="R232" i="29"/>
  <c r="Q232" i="29"/>
  <c r="P232" i="29"/>
  <c r="O232" i="29"/>
  <c r="N232" i="29"/>
  <c r="M232" i="29"/>
  <c r="L232" i="29"/>
  <c r="K232" i="29"/>
  <c r="J232" i="29"/>
  <c r="I232" i="29"/>
  <c r="H232" i="29"/>
  <c r="G232" i="29"/>
  <c r="F232" i="29"/>
  <c r="V236" i="29"/>
  <c r="U236" i="29"/>
  <c r="T236" i="29"/>
  <c r="S236" i="29"/>
  <c r="R236" i="29"/>
  <c r="Q236" i="29"/>
  <c r="P236" i="29"/>
  <c r="O236" i="29"/>
  <c r="N236" i="29"/>
  <c r="M236" i="29"/>
  <c r="L236" i="29"/>
  <c r="K236" i="29"/>
  <c r="J236" i="29"/>
  <c r="I236" i="29"/>
  <c r="H236" i="29"/>
  <c r="G236" i="29"/>
  <c r="F236" i="29"/>
  <c r="V240" i="29"/>
  <c r="U240" i="29"/>
  <c r="T240" i="29"/>
  <c r="S240" i="29"/>
  <c r="R240" i="29"/>
  <c r="Q240" i="29"/>
  <c r="P240" i="29"/>
  <c r="O240" i="29"/>
  <c r="N240" i="29"/>
  <c r="M240" i="29"/>
  <c r="L240" i="29"/>
  <c r="K240" i="29"/>
  <c r="J240" i="29"/>
  <c r="I240" i="29"/>
  <c r="H240" i="29"/>
  <c r="G240" i="29"/>
  <c r="F240" i="29"/>
  <c r="V244" i="29"/>
  <c r="U244" i="29"/>
  <c r="T244" i="29"/>
  <c r="S244" i="29"/>
  <c r="R244" i="29"/>
  <c r="Q244" i="29"/>
  <c r="P244" i="29"/>
  <c r="O244" i="29"/>
  <c r="N244" i="29"/>
  <c r="M244" i="29"/>
  <c r="L244" i="29"/>
  <c r="K244" i="29"/>
  <c r="J244" i="29"/>
  <c r="I244" i="29"/>
  <c r="H244" i="29"/>
  <c r="G244" i="29"/>
  <c r="F244" i="29"/>
  <c r="V248" i="29"/>
  <c r="U248" i="29"/>
  <c r="T248" i="29"/>
  <c r="S248" i="29"/>
  <c r="R248" i="29"/>
  <c r="Q248" i="29"/>
  <c r="P248" i="29"/>
  <c r="O248" i="29"/>
  <c r="N248" i="29"/>
  <c r="M248" i="29"/>
  <c r="L248" i="29"/>
  <c r="K248" i="29"/>
  <c r="J248" i="29"/>
  <c r="I248" i="29"/>
  <c r="H248" i="29"/>
  <c r="G248" i="29"/>
  <c r="F248" i="29"/>
  <c r="V252" i="29"/>
  <c r="T252" i="29"/>
  <c r="U252" i="29"/>
  <c r="S252" i="29"/>
  <c r="R252" i="29"/>
  <c r="Q252" i="29"/>
  <c r="P252" i="29"/>
  <c r="O252" i="29"/>
  <c r="N252" i="29"/>
  <c r="M252" i="29"/>
  <c r="L252" i="29"/>
  <c r="K252" i="29"/>
  <c r="J252" i="29"/>
  <c r="I252" i="29"/>
  <c r="H252" i="29"/>
  <c r="G252" i="29"/>
  <c r="F252" i="29"/>
  <c r="V256" i="29"/>
  <c r="U256" i="29"/>
  <c r="T256" i="29"/>
  <c r="S256" i="29"/>
  <c r="R256" i="29"/>
  <c r="Q256" i="29"/>
  <c r="P256" i="29"/>
  <c r="O256" i="29"/>
  <c r="N256" i="29"/>
  <c r="M256" i="29"/>
  <c r="L256" i="29"/>
  <c r="K256" i="29"/>
  <c r="J256" i="29"/>
  <c r="I256" i="29"/>
  <c r="H256" i="29"/>
  <c r="G256" i="29"/>
  <c r="F256" i="29"/>
  <c r="V260" i="29"/>
  <c r="U260" i="29"/>
  <c r="T260" i="29"/>
  <c r="S260" i="29"/>
  <c r="R260" i="29"/>
  <c r="Q260" i="29"/>
  <c r="P260" i="29"/>
  <c r="O260" i="29"/>
  <c r="N260" i="29"/>
  <c r="M260" i="29"/>
  <c r="L260" i="29"/>
  <c r="K260" i="29"/>
  <c r="J260" i="29"/>
  <c r="I260" i="29"/>
  <c r="H260" i="29"/>
  <c r="G260" i="29"/>
  <c r="F260" i="29"/>
  <c r="V264" i="29"/>
  <c r="U264" i="29"/>
  <c r="T264" i="29"/>
  <c r="S264" i="29"/>
  <c r="R264" i="29"/>
  <c r="Q264" i="29"/>
  <c r="P264" i="29"/>
  <c r="O264" i="29"/>
  <c r="N264" i="29"/>
  <c r="M264" i="29"/>
  <c r="L264" i="29"/>
  <c r="K264" i="29"/>
  <c r="J264" i="29"/>
  <c r="I264" i="29"/>
  <c r="H264" i="29"/>
  <c r="G264" i="29"/>
  <c r="F264" i="29"/>
  <c r="V268" i="29"/>
  <c r="T268" i="29"/>
  <c r="U268" i="29"/>
  <c r="S268" i="29"/>
  <c r="R268" i="29"/>
  <c r="Q268" i="29"/>
  <c r="P268" i="29"/>
  <c r="O268" i="29"/>
  <c r="N268" i="29"/>
  <c r="M268" i="29"/>
  <c r="L268" i="29"/>
  <c r="K268" i="29"/>
  <c r="J268" i="29"/>
  <c r="I268" i="29"/>
  <c r="H268" i="29"/>
  <c r="G268" i="29"/>
  <c r="F268" i="29"/>
  <c r="V272" i="29"/>
  <c r="U272" i="29"/>
  <c r="T272" i="29"/>
  <c r="S272" i="29"/>
  <c r="R272" i="29"/>
  <c r="Q272" i="29"/>
  <c r="P272" i="29"/>
  <c r="O272" i="29"/>
  <c r="N272" i="29"/>
  <c r="M272" i="29"/>
  <c r="L272" i="29"/>
  <c r="K272" i="29"/>
  <c r="J272" i="29"/>
  <c r="I272" i="29"/>
  <c r="H272" i="29"/>
  <c r="G272" i="29"/>
  <c r="F272" i="29"/>
  <c r="V276" i="29"/>
  <c r="U276" i="29"/>
  <c r="T276" i="29"/>
  <c r="S276" i="29"/>
  <c r="R276" i="29"/>
  <c r="Q276" i="29"/>
  <c r="P276" i="29"/>
  <c r="O276" i="29"/>
  <c r="N276" i="29"/>
  <c r="M276" i="29"/>
  <c r="L276" i="29"/>
  <c r="K276" i="29"/>
  <c r="J276" i="29"/>
  <c r="I276" i="29"/>
  <c r="H276" i="29"/>
  <c r="G276" i="29"/>
  <c r="F276" i="29"/>
  <c r="V280" i="29"/>
  <c r="U280" i="29"/>
  <c r="T280" i="29"/>
  <c r="S280" i="29"/>
  <c r="R280" i="29"/>
  <c r="Q280" i="29"/>
  <c r="P280" i="29"/>
  <c r="O280" i="29"/>
  <c r="N280" i="29"/>
  <c r="M280" i="29"/>
  <c r="L280" i="29"/>
  <c r="K280" i="29"/>
  <c r="J280" i="29"/>
  <c r="I280" i="29"/>
  <c r="H280" i="29"/>
  <c r="G280" i="29"/>
  <c r="F280" i="29"/>
  <c r="V284" i="29"/>
  <c r="T284" i="29"/>
  <c r="S284" i="29"/>
  <c r="R284" i="29"/>
  <c r="U284" i="29"/>
  <c r="Q284" i="29"/>
  <c r="P284" i="29"/>
  <c r="O284" i="29"/>
  <c r="N284" i="29"/>
  <c r="M284" i="29"/>
  <c r="L284" i="29"/>
  <c r="K284" i="29"/>
  <c r="J284" i="29"/>
  <c r="I284" i="29"/>
  <c r="H284" i="29"/>
  <c r="G284" i="29"/>
  <c r="F284" i="29"/>
  <c r="V288" i="29"/>
  <c r="U288" i="29"/>
  <c r="T288" i="29"/>
  <c r="S288" i="29"/>
  <c r="R288" i="29"/>
  <c r="Q288" i="29"/>
  <c r="P288" i="29"/>
  <c r="O288" i="29"/>
  <c r="N288" i="29"/>
  <c r="M288" i="29"/>
  <c r="L288" i="29"/>
  <c r="K288" i="29"/>
  <c r="J288" i="29"/>
  <c r="I288" i="29"/>
  <c r="H288" i="29"/>
  <c r="G288" i="29"/>
  <c r="F288" i="29"/>
  <c r="V292" i="29"/>
  <c r="U292" i="29"/>
  <c r="T292" i="29"/>
  <c r="S292" i="29"/>
  <c r="R292" i="29"/>
  <c r="Q292" i="29"/>
  <c r="P292" i="29"/>
  <c r="O292" i="29"/>
  <c r="N292" i="29"/>
  <c r="M292" i="29"/>
  <c r="L292" i="29"/>
  <c r="K292" i="29"/>
  <c r="J292" i="29"/>
  <c r="I292" i="29"/>
  <c r="H292" i="29"/>
  <c r="G292" i="29"/>
  <c r="F292" i="29"/>
  <c r="U296" i="29"/>
  <c r="V296" i="29"/>
  <c r="T296" i="29"/>
  <c r="S296" i="29"/>
  <c r="R296" i="29"/>
  <c r="Q296" i="29"/>
  <c r="P296" i="29"/>
  <c r="O296" i="29"/>
  <c r="N296" i="29"/>
  <c r="M296" i="29"/>
  <c r="L296" i="29"/>
  <c r="K296" i="29"/>
  <c r="J296" i="29"/>
  <c r="I296" i="29"/>
  <c r="H296" i="29"/>
  <c r="G296" i="29"/>
  <c r="F296" i="29"/>
  <c r="V300" i="29"/>
  <c r="U300" i="29"/>
  <c r="T300" i="29"/>
  <c r="S300" i="29"/>
  <c r="R300" i="29"/>
  <c r="Q300" i="29"/>
  <c r="P300" i="29"/>
  <c r="O300" i="29"/>
  <c r="N300" i="29"/>
  <c r="M300" i="29"/>
  <c r="L300" i="29"/>
  <c r="K300" i="29"/>
  <c r="J300" i="29"/>
  <c r="I300" i="29"/>
  <c r="H300" i="29"/>
  <c r="G300" i="29"/>
  <c r="F300" i="29"/>
  <c r="V304" i="29"/>
  <c r="U304" i="29"/>
  <c r="T304" i="29"/>
  <c r="S304" i="29"/>
  <c r="R304" i="29"/>
  <c r="Q304" i="29"/>
  <c r="P304" i="29"/>
  <c r="O304" i="29"/>
  <c r="N304" i="29"/>
  <c r="M304" i="29"/>
  <c r="L304" i="29"/>
  <c r="K304" i="29"/>
  <c r="J304" i="29"/>
  <c r="I304" i="29"/>
  <c r="H304" i="29"/>
  <c r="G304" i="29"/>
  <c r="F304" i="29"/>
  <c r="AA25" i="29"/>
  <c r="AA24" i="29"/>
  <c r="V5" i="29"/>
  <c r="U5" i="29"/>
  <c r="T5" i="29"/>
  <c r="S5" i="29"/>
  <c r="R5" i="29"/>
  <c r="Q5" i="29"/>
  <c r="P5" i="29"/>
  <c r="O5" i="29"/>
  <c r="N5" i="29"/>
  <c r="M5" i="29"/>
  <c r="L5" i="29"/>
  <c r="J5" i="29"/>
  <c r="I5" i="29"/>
  <c r="H5" i="29"/>
  <c r="K5" i="29"/>
  <c r="G5" i="29"/>
  <c r="F5" i="29"/>
  <c r="V13" i="29"/>
  <c r="U13" i="29"/>
  <c r="T13" i="29"/>
  <c r="S13" i="29"/>
  <c r="R13" i="29"/>
  <c r="Q13" i="29"/>
  <c r="P13" i="29"/>
  <c r="O13" i="29"/>
  <c r="M13" i="29"/>
  <c r="N13" i="29"/>
  <c r="L13" i="29"/>
  <c r="K13" i="29"/>
  <c r="G13" i="29"/>
  <c r="I13" i="29"/>
  <c r="H13" i="29"/>
  <c r="J13" i="29"/>
  <c r="F13" i="29"/>
  <c r="V21" i="29"/>
  <c r="U21" i="29"/>
  <c r="T21" i="29"/>
  <c r="S21" i="29"/>
  <c r="R21" i="29"/>
  <c r="Q21" i="29"/>
  <c r="P21" i="29"/>
  <c r="O21" i="29"/>
  <c r="N21" i="29"/>
  <c r="M21" i="29"/>
  <c r="K21" i="29"/>
  <c r="L21" i="29"/>
  <c r="G21" i="29"/>
  <c r="I21" i="29"/>
  <c r="H21" i="29"/>
  <c r="J21" i="29"/>
  <c r="F21" i="29"/>
  <c r="V29" i="29"/>
  <c r="U29" i="29"/>
  <c r="T29" i="29"/>
  <c r="S29" i="29"/>
  <c r="R29" i="29"/>
  <c r="Q29" i="29"/>
  <c r="P29" i="29"/>
  <c r="O29" i="29"/>
  <c r="M29" i="29"/>
  <c r="N29" i="29"/>
  <c r="L29" i="29"/>
  <c r="K29" i="29"/>
  <c r="G29" i="29"/>
  <c r="I29" i="29"/>
  <c r="H29" i="29"/>
  <c r="J29" i="29"/>
  <c r="F29" i="29"/>
  <c r="V37" i="29"/>
  <c r="U37" i="29"/>
  <c r="T37" i="29"/>
  <c r="S37" i="29"/>
  <c r="R37" i="29"/>
  <c r="Q37" i="29"/>
  <c r="P37" i="29"/>
  <c r="O37" i="29"/>
  <c r="N37" i="29"/>
  <c r="L37" i="29"/>
  <c r="M37" i="29"/>
  <c r="K37" i="29"/>
  <c r="G37" i="29"/>
  <c r="I37" i="29"/>
  <c r="H37" i="29"/>
  <c r="J37" i="29"/>
  <c r="F37" i="29"/>
  <c r="V45" i="29"/>
  <c r="U45" i="29"/>
  <c r="T45" i="29"/>
  <c r="S45" i="29"/>
  <c r="R45" i="29"/>
  <c r="Q45" i="29"/>
  <c r="P45" i="29"/>
  <c r="O45" i="29"/>
  <c r="M45" i="29"/>
  <c r="N45" i="29"/>
  <c r="L45" i="29"/>
  <c r="K45" i="29"/>
  <c r="G45" i="29"/>
  <c r="I45" i="29"/>
  <c r="H45" i="29"/>
  <c r="J45" i="29"/>
  <c r="F45" i="29"/>
  <c r="V53" i="29"/>
  <c r="U53" i="29"/>
  <c r="T53" i="29"/>
  <c r="S53" i="29"/>
  <c r="R53" i="29"/>
  <c r="Q53" i="29"/>
  <c r="P53" i="29"/>
  <c r="O53" i="29"/>
  <c r="N53" i="29"/>
  <c r="K53" i="29"/>
  <c r="M53" i="29"/>
  <c r="L53" i="29"/>
  <c r="G53" i="29"/>
  <c r="I53" i="29"/>
  <c r="H53" i="29"/>
  <c r="J53" i="29"/>
  <c r="F53" i="29"/>
  <c r="V61" i="29"/>
  <c r="U61" i="29"/>
  <c r="T61" i="29"/>
  <c r="S61" i="29"/>
  <c r="R61" i="29"/>
  <c r="Q61" i="29"/>
  <c r="P61" i="29"/>
  <c r="O61" i="29"/>
  <c r="M61" i="29"/>
  <c r="N61" i="29"/>
  <c r="L61" i="29"/>
  <c r="K61" i="29"/>
  <c r="G61" i="29"/>
  <c r="I61" i="29"/>
  <c r="H61" i="29"/>
  <c r="J61" i="29"/>
  <c r="F61" i="29"/>
  <c r="V69" i="29"/>
  <c r="U69" i="29"/>
  <c r="T69" i="29"/>
  <c r="S69" i="29"/>
  <c r="R69" i="29"/>
  <c r="Q69" i="29"/>
  <c r="P69" i="29"/>
  <c r="O69" i="29"/>
  <c r="N69" i="29"/>
  <c r="M69" i="29"/>
  <c r="L69" i="29"/>
  <c r="K69" i="29"/>
  <c r="G69" i="29"/>
  <c r="I69" i="29"/>
  <c r="H69" i="29"/>
  <c r="J69" i="29"/>
  <c r="F69" i="29"/>
  <c r="V77" i="29"/>
  <c r="U77" i="29"/>
  <c r="T77" i="29"/>
  <c r="S77" i="29"/>
  <c r="R77" i="29"/>
  <c r="Q77" i="29"/>
  <c r="P77" i="29"/>
  <c r="O77" i="29"/>
  <c r="M77" i="29"/>
  <c r="N77" i="29"/>
  <c r="L77" i="29"/>
  <c r="K77" i="29"/>
  <c r="G77" i="29"/>
  <c r="I77" i="29"/>
  <c r="H77" i="29"/>
  <c r="J77" i="29"/>
  <c r="F77" i="29"/>
  <c r="V85" i="29"/>
  <c r="U85" i="29"/>
  <c r="T85" i="29"/>
  <c r="S85" i="29"/>
  <c r="R85" i="29"/>
  <c r="Q85" i="29"/>
  <c r="P85" i="29"/>
  <c r="O85" i="29"/>
  <c r="N85" i="29"/>
  <c r="M85" i="29"/>
  <c r="K85" i="29"/>
  <c r="L85" i="29"/>
  <c r="G85" i="29"/>
  <c r="I85" i="29"/>
  <c r="H85" i="29"/>
  <c r="J85" i="29"/>
  <c r="F85" i="29"/>
  <c r="V93" i="29"/>
  <c r="U93" i="29"/>
  <c r="T93" i="29"/>
  <c r="S93" i="29"/>
  <c r="R93" i="29"/>
  <c r="Q93" i="29"/>
  <c r="P93" i="29"/>
  <c r="O93" i="29"/>
  <c r="M93" i="29"/>
  <c r="N93" i="29"/>
  <c r="L93" i="29"/>
  <c r="K93" i="29"/>
  <c r="G93" i="29"/>
  <c r="I93" i="29"/>
  <c r="H93" i="29"/>
  <c r="J93" i="29"/>
  <c r="F93" i="29"/>
  <c r="V101" i="29"/>
  <c r="U101" i="29"/>
  <c r="T101" i="29"/>
  <c r="S101" i="29"/>
  <c r="R101" i="29"/>
  <c r="Q101" i="29"/>
  <c r="P101" i="29"/>
  <c r="O101" i="29"/>
  <c r="N101" i="29"/>
  <c r="L101" i="29"/>
  <c r="M101" i="29"/>
  <c r="K101" i="29"/>
  <c r="G101" i="29"/>
  <c r="I101" i="29"/>
  <c r="H101" i="29"/>
  <c r="J101" i="29"/>
  <c r="F101" i="29"/>
  <c r="V109" i="29"/>
  <c r="U109" i="29"/>
  <c r="T109" i="29"/>
  <c r="S109" i="29"/>
  <c r="R109" i="29"/>
  <c r="Q109" i="29"/>
  <c r="P109" i="29"/>
  <c r="O109" i="29"/>
  <c r="M109" i="29"/>
  <c r="N109" i="29"/>
  <c r="L109" i="29"/>
  <c r="K109" i="29"/>
  <c r="G109" i="29"/>
  <c r="I109" i="29"/>
  <c r="H109" i="29"/>
  <c r="J109" i="29"/>
  <c r="F109" i="29"/>
  <c r="V113" i="29"/>
  <c r="U113" i="29"/>
  <c r="T113" i="29"/>
  <c r="S113" i="29"/>
  <c r="R113" i="29"/>
  <c r="Q113" i="29"/>
  <c r="P113" i="29"/>
  <c r="O113" i="29"/>
  <c r="M113" i="29"/>
  <c r="N113" i="29"/>
  <c r="L113" i="29"/>
  <c r="K113" i="29"/>
  <c r="G113" i="29"/>
  <c r="J113" i="29"/>
  <c r="I113" i="29"/>
  <c r="H113" i="29"/>
  <c r="F113" i="29"/>
  <c r="V121" i="29"/>
  <c r="U121" i="29"/>
  <c r="T121" i="29"/>
  <c r="S121" i="29"/>
  <c r="R121" i="29"/>
  <c r="Q121" i="29"/>
  <c r="P121" i="29"/>
  <c r="O121" i="29"/>
  <c r="N121" i="29"/>
  <c r="L121" i="29"/>
  <c r="M121" i="29"/>
  <c r="K121" i="29"/>
  <c r="G121" i="29"/>
  <c r="J121" i="29"/>
  <c r="I121" i="29"/>
  <c r="H121" i="29"/>
  <c r="F121" i="29"/>
  <c r="V129" i="29"/>
  <c r="U129" i="29"/>
  <c r="T129" i="29"/>
  <c r="S129" i="29"/>
  <c r="R129" i="29"/>
  <c r="Q129" i="29"/>
  <c r="P129" i="29"/>
  <c r="O129" i="29"/>
  <c r="M129" i="29"/>
  <c r="N129" i="29"/>
  <c r="L129" i="29"/>
  <c r="K129" i="29"/>
  <c r="G129" i="29"/>
  <c r="J129" i="29"/>
  <c r="I129" i="29"/>
  <c r="H129" i="29"/>
  <c r="F129" i="29"/>
  <c r="V137" i="29"/>
  <c r="U137" i="29"/>
  <c r="T137" i="29"/>
  <c r="S137" i="29"/>
  <c r="R137" i="29"/>
  <c r="Q137" i="29"/>
  <c r="P137" i="29"/>
  <c r="O137" i="29"/>
  <c r="N137" i="29"/>
  <c r="L137" i="29"/>
  <c r="M137" i="29"/>
  <c r="K137" i="29"/>
  <c r="G137" i="29"/>
  <c r="J137" i="29"/>
  <c r="I137" i="29"/>
  <c r="H137" i="29"/>
  <c r="F137" i="29"/>
  <c r="V145" i="29"/>
  <c r="U145" i="29"/>
  <c r="T145" i="29"/>
  <c r="S145" i="29"/>
  <c r="R145" i="29"/>
  <c r="Q145" i="29"/>
  <c r="P145" i="29"/>
  <c r="O145" i="29"/>
  <c r="M145" i="29"/>
  <c r="N145" i="29"/>
  <c r="L145" i="29"/>
  <c r="K145" i="29"/>
  <c r="G145" i="29"/>
  <c r="J145" i="29"/>
  <c r="I145" i="29"/>
  <c r="H145" i="29"/>
  <c r="F145" i="29"/>
  <c r="V153" i="29"/>
  <c r="U153" i="29"/>
  <c r="T153" i="29"/>
  <c r="S153" i="29"/>
  <c r="R153" i="29"/>
  <c r="Q153" i="29"/>
  <c r="P153" i="29"/>
  <c r="O153" i="29"/>
  <c r="N153" i="29"/>
  <c r="L153" i="29"/>
  <c r="M153" i="29"/>
  <c r="K153" i="29"/>
  <c r="G153" i="29"/>
  <c r="J153" i="29"/>
  <c r="I153" i="29"/>
  <c r="H153" i="29"/>
  <c r="F153" i="29"/>
  <c r="V161" i="29"/>
  <c r="U161" i="29"/>
  <c r="T161" i="29"/>
  <c r="S161" i="29"/>
  <c r="R161" i="29"/>
  <c r="Q161" i="29"/>
  <c r="P161" i="29"/>
  <c r="O161" i="29"/>
  <c r="M161" i="29"/>
  <c r="N161" i="29"/>
  <c r="L161" i="29"/>
  <c r="K161" i="29"/>
  <c r="G161" i="29"/>
  <c r="J161" i="29"/>
  <c r="I161" i="29"/>
  <c r="H161" i="29"/>
  <c r="F161" i="29"/>
  <c r="V169" i="29"/>
  <c r="U169" i="29"/>
  <c r="T169" i="29"/>
  <c r="S169" i="29"/>
  <c r="R169" i="29"/>
  <c r="Q169" i="29"/>
  <c r="P169" i="29"/>
  <c r="O169" i="29"/>
  <c r="N169" i="29"/>
  <c r="L169" i="29"/>
  <c r="M169" i="29"/>
  <c r="K169" i="29"/>
  <c r="G169" i="29"/>
  <c r="J169" i="29"/>
  <c r="I169" i="29"/>
  <c r="H169" i="29"/>
  <c r="F169" i="29"/>
  <c r="V177" i="29"/>
  <c r="U177" i="29"/>
  <c r="T177" i="29"/>
  <c r="S177" i="29"/>
  <c r="R177" i="29"/>
  <c r="Q177" i="29"/>
  <c r="P177" i="29"/>
  <c r="O177" i="29"/>
  <c r="M177" i="29"/>
  <c r="N177" i="29"/>
  <c r="L177" i="29"/>
  <c r="K177" i="29"/>
  <c r="G177" i="29"/>
  <c r="J177" i="29"/>
  <c r="I177" i="29"/>
  <c r="H177" i="29"/>
  <c r="F177" i="29"/>
  <c r="V185" i="29"/>
  <c r="U185" i="29"/>
  <c r="T185" i="29"/>
  <c r="S185" i="29"/>
  <c r="R185" i="29"/>
  <c r="Q185" i="29"/>
  <c r="P185" i="29"/>
  <c r="O185" i="29"/>
  <c r="N185" i="29"/>
  <c r="L185" i="29"/>
  <c r="M185" i="29"/>
  <c r="K185" i="29"/>
  <c r="G185" i="29"/>
  <c r="J185" i="29"/>
  <c r="I185" i="29"/>
  <c r="H185" i="29"/>
  <c r="F185" i="29"/>
  <c r="V193" i="29"/>
  <c r="U193" i="29"/>
  <c r="T193" i="29"/>
  <c r="S193" i="29"/>
  <c r="R193" i="29"/>
  <c r="Q193" i="29"/>
  <c r="P193" i="29"/>
  <c r="O193" i="29"/>
  <c r="M193" i="29"/>
  <c r="N193" i="29"/>
  <c r="L193" i="29"/>
  <c r="K193" i="29"/>
  <c r="G193" i="29"/>
  <c r="J193" i="29"/>
  <c r="I193" i="29"/>
  <c r="H193" i="29"/>
  <c r="F193" i="29"/>
  <c r="V201" i="29"/>
  <c r="U201" i="29"/>
  <c r="T201" i="29"/>
  <c r="S201" i="29"/>
  <c r="R201" i="29"/>
  <c r="Q201" i="29"/>
  <c r="P201" i="29"/>
  <c r="O201" i="29"/>
  <c r="N201" i="29"/>
  <c r="L201" i="29"/>
  <c r="M201" i="29"/>
  <c r="K201" i="29"/>
  <c r="G201" i="29"/>
  <c r="J201" i="29"/>
  <c r="I201" i="29"/>
  <c r="H201" i="29"/>
  <c r="F201" i="29"/>
  <c r="V209" i="29"/>
  <c r="U209" i="29"/>
  <c r="T209" i="29"/>
  <c r="S209" i="29"/>
  <c r="R209" i="29"/>
  <c r="Q209" i="29"/>
  <c r="P209" i="29"/>
  <c r="O209" i="29"/>
  <c r="M209" i="29"/>
  <c r="N209" i="29"/>
  <c r="L209" i="29"/>
  <c r="K209" i="29"/>
  <c r="G209" i="29"/>
  <c r="J209" i="29"/>
  <c r="I209" i="29"/>
  <c r="H209" i="29"/>
  <c r="F209" i="29"/>
  <c r="V217" i="29"/>
  <c r="U217" i="29"/>
  <c r="T217" i="29"/>
  <c r="S217" i="29"/>
  <c r="R217" i="29"/>
  <c r="Q217" i="29"/>
  <c r="P217" i="29"/>
  <c r="O217" i="29"/>
  <c r="N217" i="29"/>
  <c r="M217" i="29"/>
  <c r="L217" i="29"/>
  <c r="G217" i="29"/>
  <c r="J217" i="29"/>
  <c r="I217" i="29"/>
  <c r="H217" i="29"/>
  <c r="K217" i="29"/>
  <c r="F217" i="29"/>
  <c r="V225" i="29"/>
  <c r="U225" i="29"/>
  <c r="T225" i="29"/>
  <c r="S225" i="29"/>
  <c r="Q225" i="29"/>
  <c r="R225" i="29"/>
  <c r="P225" i="29"/>
  <c r="O225" i="29"/>
  <c r="M225" i="29"/>
  <c r="N225" i="29"/>
  <c r="L225" i="29"/>
  <c r="K225" i="29"/>
  <c r="G225" i="29"/>
  <c r="J225" i="29"/>
  <c r="I225" i="29"/>
  <c r="H225" i="29"/>
  <c r="F225" i="29"/>
  <c r="V229" i="29"/>
  <c r="U229" i="29"/>
  <c r="T229" i="29"/>
  <c r="S229" i="29"/>
  <c r="R229" i="29"/>
  <c r="Q229" i="29"/>
  <c r="P229" i="29"/>
  <c r="O229" i="29"/>
  <c r="N229" i="29"/>
  <c r="L229" i="29"/>
  <c r="M229" i="29"/>
  <c r="G229" i="29"/>
  <c r="K229" i="29"/>
  <c r="J229" i="29"/>
  <c r="I229" i="29"/>
  <c r="H229" i="29"/>
  <c r="F229" i="29"/>
  <c r="V233" i="29"/>
  <c r="U233" i="29"/>
  <c r="T233" i="29"/>
  <c r="S233" i="29"/>
  <c r="R233" i="29"/>
  <c r="Q233" i="29"/>
  <c r="P233" i="29"/>
  <c r="O233" i="29"/>
  <c r="N233" i="29"/>
  <c r="M233" i="29"/>
  <c r="L233" i="29"/>
  <c r="J233" i="29"/>
  <c r="I233" i="29"/>
  <c r="H233" i="29"/>
  <c r="K233" i="29"/>
  <c r="G233" i="29"/>
  <c r="F233" i="29"/>
  <c r="V237" i="29"/>
  <c r="U237" i="29"/>
  <c r="T237" i="29"/>
  <c r="S237" i="29"/>
  <c r="Q237" i="29"/>
  <c r="R237" i="29"/>
  <c r="P237" i="29"/>
  <c r="O237" i="29"/>
  <c r="L237" i="29"/>
  <c r="N237" i="29"/>
  <c r="M237" i="29"/>
  <c r="J237" i="29"/>
  <c r="I237" i="29"/>
  <c r="H237" i="29"/>
  <c r="K237" i="29"/>
  <c r="G237" i="29"/>
  <c r="F237" i="29"/>
  <c r="V241" i="29"/>
  <c r="U241" i="29"/>
  <c r="T241" i="29"/>
  <c r="S241" i="29"/>
  <c r="Q241" i="29"/>
  <c r="R241" i="29"/>
  <c r="P241" i="29"/>
  <c r="O241" i="29"/>
  <c r="M241" i="29"/>
  <c r="N241" i="29"/>
  <c r="L241" i="29"/>
  <c r="K241" i="29"/>
  <c r="J241" i="29"/>
  <c r="I241" i="29"/>
  <c r="H241" i="29"/>
  <c r="G241" i="29"/>
  <c r="F241" i="29"/>
  <c r="V245" i="29"/>
  <c r="U245" i="29"/>
  <c r="T245" i="29"/>
  <c r="S245" i="29"/>
  <c r="R245" i="29"/>
  <c r="Q245" i="29"/>
  <c r="P245" i="29"/>
  <c r="O245" i="29"/>
  <c r="N245" i="29"/>
  <c r="L245" i="29"/>
  <c r="M245" i="29"/>
  <c r="K245" i="29"/>
  <c r="J245" i="29"/>
  <c r="I245" i="29"/>
  <c r="H245" i="29"/>
  <c r="G245" i="29"/>
  <c r="F245" i="29"/>
  <c r="V249" i="29"/>
  <c r="U249" i="29"/>
  <c r="T249" i="29"/>
  <c r="S249" i="29"/>
  <c r="R249" i="29"/>
  <c r="Q249" i="29"/>
  <c r="P249" i="29"/>
  <c r="O249" i="29"/>
  <c r="N249" i="29"/>
  <c r="M249" i="29"/>
  <c r="L249" i="29"/>
  <c r="J249" i="29"/>
  <c r="I249" i="29"/>
  <c r="H249" i="29"/>
  <c r="K249" i="29"/>
  <c r="G249" i="29"/>
  <c r="F249" i="29"/>
  <c r="V253" i="29"/>
  <c r="U253" i="29"/>
  <c r="T253" i="29"/>
  <c r="S253" i="29"/>
  <c r="Q253" i="29"/>
  <c r="R253" i="29"/>
  <c r="P253" i="29"/>
  <c r="O253" i="29"/>
  <c r="L253" i="29"/>
  <c r="N253" i="29"/>
  <c r="M253" i="29"/>
  <c r="J253" i="29"/>
  <c r="I253" i="29"/>
  <c r="H253" i="29"/>
  <c r="K253" i="29"/>
  <c r="G253" i="29"/>
  <c r="F253" i="29"/>
  <c r="V257" i="29"/>
  <c r="U257" i="29"/>
  <c r="T257" i="29"/>
  <c r="S257" i="29"/>
  <c r="Q257" i="29"/>
  <c r="R257" i="29"/>
  <c r="P257" i="29"/>
  <c r="O257" i="29"/>
  <c r="M257" i="29"/>
  <c r="N257" i="29"/>
  <c r="L257" i="29"/>
  <c r="K257" i="29"/>
  <c r="J257" i="29"/>
  <c r="I257" i="29"/>
  <c r="H257" i="29"/>
  <c r="G257" i="29"/>
  <c r="F257" i="29"/>
  <c r="V261" i="29"/>
  <c r="U261" i="29"/>
  <c r="T261" i="29"/>
  <c r="S261" i="29"/>
  <c r="R261" i="29"/>
  <c r="Q261" i="29"/>
  <c r="P261" i="29"/>
  <c r="O261" i="29"/>
  <c r="N261" i="29"/>
  <c r="L261" i="29"/>
  <c r="M261" i="29"/>
  <c r="K261" i="29"/>
  <c r="J261" i="29"/>
  <c r="I261" i="29"/>
  <c r="H261" i="29"/>
  <c r="G261" i="29"/>
  <c r="F261" i="29"/>
  <c r="V265" i="29"/>
  <c r="U265" i="29"/>
  <c r="T265" i="29"/>
  <c r="S265" i="29"/>
  <c r="R265" i="29"/>
  <c r="Q265" i="29"/>
  <c r="P265" i="29"/>
  <c r="O265" i="29"/>
  <c r="N265" i="29"/>
  <c r="M265" i="29"/>
  <c r="L265" i="29"/>
  <c r="J265" i="29"/>
  <c r="I265" i="29"/>
  <c r="H265" i="29"/>
  <c r="K265" i="29"/>
  <c r="G265" i="29"/>
  <c r="F265" i="29"/>
  <c r="V273" i="29"/>
  <c r="U273" i="29"/>
  <c r="T273" i="29"/>
  <c r="S273" i="29"/>
  <c r="Q273" i="29"/>
  <c r="R273" i="29"/>
  <c r="P273" i="29"/>
  <c r="O273" i="29"/>
  <c r="M273" i="29"/>
  <c r="N273" i="29"/>
  <c r="L273" i="29"/>
  <c r="K273" i="29"/>
  <c r="J273" i="29"/>
  <c r="I273" i="29"/>
  <c r="H273" i="29"/>
  <c r="G273" i="29"/>
  <c r="F273" i="29"/>
  <c r="V277" i="29"/>
  <c r="U277" i="29"/>
  <c r="T277" i="29"/>
  <c r="S277" i="29"/>
  <c r="R277" i="29"/>
  <c r="Q277" i="29"/>
  <c r="P277" i="29"/>
  <c r="O277" i="29"/>
  <c r="N277" i="29"/>
  <c r="L277" i="29"/>
  <c r="M277" i="29"/>
  <c r="K277" i="29"/>
  <c r="J277" i="29"/>
  <c r="I277" i="29"/>
  <c r="H277" i="29"/>
  <c r="G277" i="29"/>
  <c r="F277" i="29"/>
  <c r="V281" i="29"/>
  <c r="U281" i="29"/>
  <c r="T281" i="29"/>
  <c r="S281" i="29"/>
  <c r="R281" i="29"/>
  <c r="Q281" i="29"/>
  <c r="P281" i="29"/>
  <c r="O281" i="29"/>
  <c r="N281" i="29"/>
  <c r="M281" i="29"/>
  <c r="L281" i="29"/>
  <c r="J281" i="29"/>
  <c r="I281" i="29"/>
  <c r="H281" i="29"/>
  <c r="K281" i="29"/>
  <c r="G281" i="29"/>
  <c r="F281" i="29"/>
  <c r="V285" i="29"/>
  <c r="U285" i="29"/>
  <c r="T285" i="29"/>
  <c r="S285" i="29"/>
  <c r="Q285" i="29"/>
  <c r="P285" i="29"/>
  <c r="R285" i="29"/>
  <c r="O285" i="29"/>
  <c r="L285" i="29"/>
  <c r="N285" i="29"/>
  <c r="M285" i="29"/>
  <c r="J285" i="29"/>
  <c r="I285" i="29"/>
  <c r="H285" i="29"/>
  <c r="K285" i="29"/>
  <c r="G285" i="29"/>
  <c r="F285" i="29"/>
  <c r="V289" i="29"/>
  <c r="U289" i="29"/>
  <c r="T289" i="29"/>
  <c r="S289" i="29"/>
  <c r="Q289" i="29"/>
  <c r="R289" i="29"/>
  <c r="P289" i="29"/>
  <c r="O289" i="29"/>
  <c r="M289" i="29"/>
  <c r="N289" i="29"/>
  <c r="L289" i="29"/>
  <c r="K289" i="29"/>
  <c r="J289" i="29"/>
  <c r="I289" i="29"/>
  <c r="H289" i="29"/>
  <c r="G289" i="29"/>
  <c r="F289" i="29"/>
  <c r="V293" i="29"/>
  <c r="U293" i="29"/>
  <c r="T293" i="29"/>
  <c r="S293" i="29"/>
  <c r="R293" i="29"/>
  <c r="Q293" i="29"/>
  <c r="P293" i="29"/>
  <c r="O293" i="29"/>
  <c r="N293" i="29"/>
  <c r="L293" i="29"/>
  <c r="M293" i="29"/>
  <c r="K293" i="29"/>
  <c r="J293" i="29"/>
  <c r="I293" i="29"/>
  <c r="H293" i="29"/>
  <c r="G293" i="29"/>
  <c r="F293" i="29"/>
  <c r="V297" i="29"/>
  <c r="U297" i="29"/>
  <c r="T297" i="29"/>
  <c r="S297" i="29"/>
  <c r="R297" i="29"/>
  <c r="Q297" i="29"/>
  <c r="P297" i="29"/>
  <c r="O297" i="29"/>
  <c r="N297" i="29"/>
  <c r="M297" i="29"/>
  <c r="L297" i="29"/>
  <c r="J297" i="29"/>
  <c r="I297" i="29"/>
  <c r="H297" i="29"/>
  <c r="K297" i="29"/>
  <c r="G297" i="29"/>
  <c r="F297" i="29"/>
  <c r="V301" i="29"/>
  <c r="U301" i="29"/>
  <c r="T301" i="29"/>
  <c r="S301" i="29"/>
  <c r="R301" i="29"/>
  <c r="Q301" i="29"/>
  <c r="P301" i="29"/>
  <c r="O301" i="29"/>
  <c r="L301" i="29"/>
  <c r="N301" i="29"/>
  <c r="M301" i="29"/>
  <c r="J301" i="29"/>
  <c r="I301" i="29"/>
  <c r="H301" i="29"/>
  <c r="K301" i="29"/>
  <c r="G301" i="29"/>
  <c r="F301" i="29"/>
  <c r="V305" i="29"/>
  <c r="U305" i="29"/>
  <c r="T305" i="29"/>
  <c r="S305" i="29"/>
  <c r="R305" i="29"/>
  <c r="Q305" i="29"/>
  <c r="P305" i="29"/>
  <c r="O305" i="29"/>
  <c r="M305" i="29"/>
  <c r="N305" i="29"/>
  <c r="L305" i="29"/>
  <c r="K305" i="29"/>
  <c r="J305" i="29"/>
  <c r="I305" i="29"/>
  <c r="H305" i="29"/>
  <c r="G305" i="29"/>
  <c r="F305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U10" i="29"/>
  <c r="V10" i="29"/>
  <c r="T10" i="29"/>
  <c r="S10" i="29"/>
  <c r="R10" i="29"/>
  <c r="Q10" i="29"/>
  <c r="P10" i="29"/>
  <c r="O10" i="29"/>
  <c r="N10" i="29"/>
  <c r="M10" i="29"/>
  <c r="L10" i="29"/>
  <c r="K10" i="29"/>
  <c r="J10" i="29"/>
  <c r="G10" i="29"/>
  <c r="I10" i="29"/>
  <c r="H10" i="29"/>
  <c r="F10" i="29"/>
  <c r="U14" i="29"/>
  <c r="V14" i="29"/>
  <c r="T14" i="29"/>
  <c r="S14" i="29"/>
  <c r="R14" i="29"/>
  <c r="Q14" i="29"/>
  <c r="P14" i="29"/>
  <c r="O14" i="29"/>
  <c r="N14" i="29"/>
  <c r="M14" i="29"/>
  <c r="L14" i="29"/>
  <c r="K14" i="29"/>
  <c r="J14" i="29"/>
  <c r="G14" i="29"/>
  <c r="I14" i="29"/>
  <c r="H14" i="29"/>
  <c r="F14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G18" i="29"/>
  <c r="I18" i="29"/>
  <c r="H18" i="29"/>
  <c r="F18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G22" i="29"/>
  <c r="I22" i="29"/>
  <c r="H22" i="29"/>
  <c r="F22" i="29"/>
  <c r="U26" i="29"/>
  <c r="V26" i="29"/>
  <c r="T26" i="29"/>
  <c r="S26" i="29"/>
  <c r="R26" i="29"/>
  <c r="Q26" i="29"/>
  <c r="P26" i="29"/>
  <c r="O26" i="29"/>
  <c r="N26" i="29"/>
  <c r="M26" i="29"/>
  <c r="L26" i="29"/>
  <c r="K26" i="29"/>
  <c r="J26" i="29"/>
  <c r="G26" i="29"/>
  <c r="I26" i="29"/>
  <c r="H26" i="29"/>
  <c r="F26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G30" i="29"/>
  <c r="I30" i="29"/>
  <c r="H30" i="29"/>
  <c r="F30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G34" i="29"/>
  <c r="I34" i="29"/>
  <c r="H34" i="29"/>
  <c r="F34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G38" i="29"/>
  <c r="I38" i="29"/>
  <c r="H38" i="29"/>
  <c r="F38" i="29"/>
  <c r="U42" i="29"/>
  <c r="V42" i="29"/>
  <c r="T42" i="29"/>
  <c r="S42" i="29"/>
  <c r="R42" i="29"/>
  <c r="Q42" i="29"/>
  <c r="P42" i="29"/>
  <c r="O42" i="29"/>
  <c r="N42" i="29"/>
  <c r="M42" i="29"/>
  <c r="L42" i="29"/>
  <c r="K42" i="29"/>
  <c r="J42" i="29"/>
  <c r="G42" i="29"/>
  <c r="I42" i="29"/>
  <c r="H42" i="29"/>
  <c r="F42" i="29"/>
  <c r="U46" i="29"/>
  <c r="V46" i="29"/>
  <c r="T46" i="29"/>
  <c r="S46" i="29"/>
  <c r="R46" i="29"/>
  <c r="Q46" i="29"/>
  <c r="P46" i="29"/>
  <c r="O46" i="29"/>
  <c r="N46" i="29"/>
  <c r="M46" i="29"/>
  <c r="L46" i="29"/>
  <c r="K46" i="29"/>
  <c r="J46" i="29"/>
  <c r="G46" i="29"/>
  <c r="I46" i="29"/>
  <c r="H46" i="29"/>
  <c r="F46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G50" i="29"/>
  <c r="I50" i="29"/>
  <c r="H50" i="29"/>
  <c r="F50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G54" i="29"/>
  <c r="I54" i="29"/>
  <c r="H54" i="29"/>
  <c r="F54" i="29"/>
  <c r="U58" i="29"/>
  <c r="V58" i="29"/>
  <c r="T58" i="29"/>
  <c r="S58" i="29"/>
  <c r="R58" i="29"/>
  <c r="Q58" i="29"/>
  <c r="P58" i="29"/>
  <c r="O58" i="29"/>
  <c r="N58" i="29"/>
  <c r="M58" i="29"/>
  <c r="L58" i="29"/>
  <c r="K58" i="29"/>
  <c r="J58" i="29"/>
  <c r="G58" i="29"/>
  <c r="I58" i="29"/>
  <c r="F58" i="29"/>
  <c r="H58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G62" i="29"/>
  <c r="I62" i="29"/>
  <c r="F62" i="29"/>
  <c r="H62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G66" i="29"/>
  <c r="I66" i="29"/>
  <c r="F66" i="29"/>
  <c r="H66" i="29"/>
  <c r="V70" i="29"/>
  <c r="U70" i="29"/>
  <c r="T70" i="29"/>
  <c r="S70" i="29"/>
  <c r="R70" i="29"/>
  <c r="Q70" i="29"/>
  <c r="P70" i="29"/>
  <c r="O70" i="29"/>
  <c r="N70" i="29"/>
  <c r="M70" i="29"/>
  <c r="L70" i="29"/>
  <c r="K70" i="29"/>
  <c r="J70" i="29"/>
  <c r="G70" i="29"/>
  <c r="I70" i="29"/>
  <c r="H70" i="29"/>
  <c r="F70" i="29"/>
  <c r="U74" i="29"/>
  <c r="V74" i="29"/>
  <c r="T74" i="29"/>
  <c r="S74" i="29"/>
  <c r="R74" i="29"/>
  <c r="Q74" i="29"/>
  <c r="P74" i="29"/>
  <c r="O74" i="29"/>
  <c r="N74" i="29"/>
  <c r="M74" i="29"/>
  <c r="L74" i="29"/>
  <c r="K74" i="29"/>
  <c r="J74" i="29"/>
  <c r="G74" i="29"/>
  <c r="I74" i="29"/>
  <c r="F74" i="29"/>
  <c r="H74" i="29"/>
  <c r="U78" i="29"/>
  <c r="V78" i="29"/>
  <c r="T78" i="29"/>
  <c r="S78" i="29"/>
  <c r="R78" i="29"/>
  <c r="Q78" i="29"/>
  <c r="P78" i="29"/>
  <c r="O78" i="29"/>
  <c r="N78" i="29"/>
  <c r="M78" i="29"/>
  <c r="L78" i="29"/>
  <c r="K78" i="29"/>
  <c r="J78" i="29"/>
  <c r="G78" i="29"/>
  <c r="I78" i="29"/>
  <c r="F78" i="29"/>
  <c r="H78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G82" i="29"/>
  <c r="I82" i="29"/>
  <c r="F82" i="29"/>
  <c r="H82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G86" i="29"/>
  <c r="I86" i="29"/>
  <c r="H86" i="29"/>
  <c r="F86" i="29"/>
  <c r="U90" i="29"/>
  <c r="V90" i="29"/>
  <c r="T90" i="29"/>
  <c r="S90" i="29"/>
  <c r="R90" i="29"/>
  <c r="Q90" i="29"/>
  <c r="P90" i="29"/>
  <c r="O90" i="29"/>
  <c r="N90" i="29"/>
  <c r="M90" i="29"/>
  <c r="L90" i="29"/>
  <c r="K90" i="29"/>
  <c r="J90" i="29"/>
  <c r="G90" i="29"/>
  <c r="I90" i="29"/>
  <c r="F90" i="29"/>
  <c r="H90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G94" i="29"/>
  <c r="I94" i="29"/>
  <c r="F94" i="29"/>
  <c r="H94" i="29"/>
  <c r="V100" i="29"/>
  <c r="T100" i="29"/>
  <c r="U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G102" i="29"/>
  <c r="I102" i="29"/>
  <c r="H102" i="29"/>
  <c r="F102" i="29"/>
  <c r="U106" i="29"/>
  <c r="V106" i="29"/>
  <c r="T106" i="29"/>
  <c r="S106" i="29"/>
  <c r="R106" i="29"/>
  <c r="Q106" i="29"/>
  <c r="P106" i="29"/>
  <c r="O106" i="29"/>
  <c r="N106" i="29"/>
  <c r="M106" i="29"/>
  <c r="L106" i="29"/>
  <c r="K106" i="29"/>
  <c r="J106" i="29"/>
  <c r="G106" i="29"/>
  <c r="I106" i="29"/>
  <c r="F106" i="29"/>
  <c r="H106" i="29"/>
  <c r="U110" i="29"/>
  <c r="V110" i="29"/>
  <c r="T110" i="29"/>
  <c r="S110" i="29"/>
  <c r="R110" i="29"/>
  <c r="Q110" i="29"/>
  <c r="P110" i="29"/>
  <c r="O110" i="29"/>
  <c r="N110" i="29"/>
  <c r="M110" i="29"/>
  <c r="L110" i="29"/>
  <c r="K110" i="29"/>
  <c r="J110" i="29"/>
  <c r="G110" i="29"/>
  <c r="I110" i="29"/>
  <c r="F110" i="29"/>
  <c r="H110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G114" i="29"/>
  <c r="I114" i="29"/>
  <c r="F114" i="29"/>
  <c r="H114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G118" i="29"/>
  <c r="I118" i="29"/>
  <c r="H118" i="29"/>
  <c r="F118" i="29"/>
  <c r="U122" i="29"/>
  <c r="V122" i="29"/>
  <c r="T122" i="29"/>
  <c r="S122" i="29"/>
  <c r="R122" i="29"/>
  <c r="Q122" i="29"/>
  <c r="P122" i="29"/>
  <c r="O122" i="29"/>
  <c r="N122" i="29"/>
  <c r="M122" i="29"/>
  <c r="L122" i="29"/>
  <c r="K122" i="29"/>
  <c r="J122" i="29"/>
  <c r="G122" i="29"/>
  <c r="I122" i="29"/>
  <c r="F122" i="29"/>
  <c r="H122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G126" i="29"/>
  <c r="I126" i="29"/>
  <c r="F126" i="29"/>
  <c r="H126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G130" i="29"/>
  <c r="I130" i="29"/>
  <c r="F130" i="29"/>
  <c r="H130" i="29"/>
  <c r="V134" i="29"/>
  <c r="U134" i="29"/>
  <c r="T134" i="29"/>
  <c r="S134" i="29"/>
  <c r="R134" i="29"/>
  <c r="Q134" i="29"/>
  <c r="P134" i="29"/>
  <c r="O134" i="29"/>
  <c r="N134" i="29"/>
  <c r="M134" i="29"/>
  <c r="L134" i="29"/>
  <c r="K134" i="29"/>
  <c r="J134" i="29"/>
  <c r="G134" i="29"/>
  <c r="I134" i="29"/>
  <c r="H134" i="29"/>
  <c r="F134" i="29"/>
  <c r="U138" i="29"/>
  <c r="V138" i="29"/>
  <c r="T138" i="29"/>
  <c r="S138" i="29"/>
  <c r="R138" i="29"/>
  <c r="Q138" i="29"/>
  <c r="P138" i="29"/>
  <c r="O138" i="29"/>
  <c r="N138" i="29"/>
  <c r="M138" i="29"/>
  <c r="L138" i="29"/>
  <c r="K138" i="29"/>
  <c r="J138" i="29"/>
  <c r="G138" i="29"/>
  <c r="I138" i="29"/>
  <c r="F138" i="29"/>
  <c r="H138" i="29"/>
  <c r="U142" i="29"/>
  <c r="V142" i="29"/>
  <c r="T142" i="29"/>
  <c r="S142" i="29"/>
  <c r="R142" i="29"/>
  <c r="Q142" i="29"/>
  <c r="P142" i="29"/>
  <c r="O142" i="29"/>
  <c r="N142" i="29"/>
  <c r="M142" i="29"/>
  <c r="L142" i="29"/>
  <c r="K142" i="29"/>
  <c r="J142" i="29"/>
  <c r="G142" i="29"/>
  <c r="I142" i="29"/>
  <c r="F142" i="29"/>
  <c r="H142" i="29"/>
  <c r="V146" i="29"/>
  <c r="U146" i="29"/>
  <c r="T146" i="29"/>
  <c r="S146" i="29"/>
  <c r="R146" i="29"/>
  <c r="Q146" i="29"/>
  <c r="P146" i="29"/>
  <c r="O146" i="29"/>
  <c r="N146" i="29"/>
  <c r="M146" i="29"/>
  <c r="L146" i="29"/>
  <c r="K146" i="29"/>
  <c r="J146" i="29"/>
  <c r="G146" i="29"/>
  <c r="I146" i="29"/>
  <c r="F146" i="29"/>
  <c r="H146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G150" i="29"/>
  <c r="I150" i="29"/>
  <c r="H150" i="29"/>
  <c r="F150" i="29"/>
  <c r="U154" i="29"/>
  <c r="V154" i="29"/>
  <c r="T154" i="29"/>
  <c r="S154" i="29"/>
  <c r="R154" i="29"/>
  <c r="Q154" i="29"/>
  <c r="P154" i="29"/>
  <c r="O154" i="29"/>
  <c r="N154" i="29"/>
  <c r="M154" i="29"/>
  <c r="L154" i="29"/>
  <c r="K154" i="29"/>
  <c r="G154" i="29"/>
  <c r="J154" i="29"/>
  <c r="I154" i="29"/>
  <c r="F154" i="29"/>
  <c r="H154" i="29"/>
  <c r="V158" i="29"/>
  <c r="U158" i="29"/>
  <c r="T158" i="29"/>
  <c r="S158" i="29"/>
  <c r="R158" i="29"/>
  <c r="Q158" i="29"/>
  <c r="P158" i="29"/>
  <c r="O158" i="29"/>
  <c r="N158" i="29"/>
  <c r="M158" i="29"/>
  <c r="L158" i="29"/>
  <c r="K158" i="29"/>
  <c r="G158" i="29"/>
  <c r="J158" i="29"/>
  <c r="I158" i="29"/>
  <c r="F158" i="29"/>
  <c r="H158" i="29"/>
  <c r="V162" i="29"/>
  <c r="U162" i="29"/>
  <c r="T162" i="29"/>
  <c r="S162" i="29"/>
  <c r="R162" i="29"/>
  <c r="Q162" i="29"/>
  <c r="P162" i="29"/>
  <c r="O162" i="29"/>
  <c r="N162" i="29"/>
  <c r="M162" i="29"/>
  <c r="L162" i="29"/>
  <c r="K162" i="29"/>
  <c r="G162" i="29"/>
  <c r="J162" i="29"/>
  <c r="I162" i="29"/>
  <c r="F162" i="29"/>
  <c r="H162" i="29"/>
  <c r="V166" i="29"/>
  <c r="U166" i="29"/>
  <c r="T166" i="29"/>
  <c r="S166" i="29"/>
  <c r="R166" i="29"/>
  <c r="Q166" i="29"/>
  <c r="P166" i="29"/>
  <c r="O166" i="29"/>
  <c r="N166" i="29"/>
  <c r="M166" i="29"/>
  <c r="L166" i="29"/>
  <c r="K166" i="29"/>
  <c r="G166" i="29"/>
  <c r="J166" i="29"/>
  <c r="I166" i="29"/>
  <c r="H166" i="29"/>
  <c r="F166" i="29"/>
  <c r="U170" i="29"/>
  <c r="V170" i="29"/>
  <c r="T170" i="29"/>
  <c r="S170" i="29"/>
  <c r="R170" i="29"/>
  <c r="Q170" i="29"/>
  <c r="P170" i="29"/>
  <c r="O170" i="29"/>
  <c r="N170" i="29"/>
  <c r="M170" i="29"/>
  <c r="L170" i="29"/>
  <c r="K170" i="29"/>
  <c r="G170" i="29"/>
  <c r="J170" i="29"/>
  <c r="I170" i="29"/>
  <c r="F170" i="29"/>
  <c r="H170" i="29"/>
  <c r="U174" i="29"/>
  <c r="V174" i="29"/>
  <c r="T174" i="29"/>
  <c r="S174" i="29"/>
  <c r="R174" i="29"/>
  <c r="Q174" i="29"/>
  <c r="P174" i="29"/>
  <c r="O174" i="29"/>
  <c r="N174" i="29"/>
  <c r="M174" i="29"/>
  <c r="L174" i="29"/>
  <c r="K174" i="29"/>
  <c r="G174" i="29"/>
  <c r="J174" i="29"/>
  <c r="I174" i="29"/>
  <c r="F174" i="29"/>
  <c r="H174" i="29"/>
  <c r="V178" i="29"/>
  <c r="U178" i="29"/>
  <c r="T178" i="29"/>
  <c r="S178" i="29"/>
  <c r="R178" i="29"/>
  <c r="Q178" i="29"/>
  <c r="P178" i="29"/>
  <c r="O178" i="29"/>
  <c r="N178" i="29"/>
  <c r="M178" i="29"/>
  <c r="L178" i="29"/>
  <c r="K178" i="29"/>
  <c r="G178" i="29"/>
  <c r="J178" i="29"/>
  <c r="I178" i="29"/>
  <c r="F178" i="29"/>
  <c r="H178" i="29"/>
  <c r="V182" i="29"/>
  <c r="U182" i="29"/>
  <c r="T182" i="29"/>
  <c r="S182" i="29"/>
  <c r="R182" i="29"/>
  <c r="Q182" i="29"/>
  <c r="P182" i="29"/>
  <c r="O182" i="29"/>
  <c r="N182" i="29"/>
  <c r="M182" i="29"/>
  <c r="L182" i="29"/>
  <c r="K182" i="29"/>
  <c r="G182" i="29"/>
  <c r="J182" i="29"/>
  <c r="I182" i="29"/>
  <c r="H182" i="29"/>
  <c r="F182" i="29"/>
  <c r="U186" i="29"/>
  <c r="V186" i="29"/>
  <c r="T186" i="29"/>
  <c r="S186" i="29"/>
  <c r="R186" i="29"/>
  <c r="Q186" i="29"/>
  <c r="P186" i="29"/>
  <c r="O186" i="29"/>
  <c r="N186" i="29"/>
  <c r="M186" i="29"/>
  <c r="L186" i="29"/>
  <c r="K186" i="29"/>
  <c r="G186" i="29"/>
  <c r="J186" i="29"/>
  <c r="I186" i="29"/>
  <c r="F186" i="29"/>
  <c r="H186" i="29"/>
  <c r="V190" i="29"/>
  <c r="U190" i="29"/>
  <c r="T190" i="29"/>
  <c r="S190" i="29"/>
  <c r="R190" i="29"/>
  <c r="Q190" i="29"/>
  <c r="P190" i="29"/>
  <c r="O190" i="29"/>
  <c r="N190" i="29"/>
  <c r="M190" i="29"/>
  <c r="L190" i="29"/>
  <c r="K190" i="29"/>
  <c r="G190" i="29"/>
  <c r="J190" i="29"/>
  <c r="I190" i="29"/>
  <c r="F190" i="29"/>
  <c r="H190" i="29"/>
  <c r="V194" i="29"/>
  <c r="U194" i="29"/>
  <c r="T194" i="29"/>
  <c r="S194" i="29"/>
  <c r="R194" i="29"/>
  <c r="Q194" i="29"/>
  <c r="P194" i="29"/>
  <c r="O194" i="29"/>
  <c r="N194" i="29"/>
  <c r="M194" i="29"/>
  <c r="L194" i="29"/>
  <c r="K194" i="29"/>
  <c r="G194" i="29"/>
  <c r="J194" i="29"/>
  <c r="I194" i="29"/>
  <c r="F194" i="29"/>
  <c r="H194" i="29"/>
  <c r="V198" i="29"/>
  <c r="U198" i="29"/>
  <c r="T198" i="29"/>
  <c r="S198" i="29"/>
  <c r="R198" i="29"/>
  <c r="Q198" i="29"/>
  <c r="P198" i="29"/>
  <c r="O198" i="29"/>
  <c r="N198" i="29"/>
  <c r="M198" i="29"/>
  <c r="L198" i="29"/>
  <c r="K198" i="29"/>
  <c r="G198" i="29"/>
  <c r="J198" i="29"/>
  <c r="I198" i="29"/>
  <c r="H198" i="29"/>
  <c r="F198" i="29"/>
  <c r="U202" i="29"/>
  <c r="V202" i="29"/>
  <c r="T202" i="29"/>
  <c r="S202" i="29"/>
  <c r="R202" i="29"/>
  <c r="Q202" i="29"/>
  <c r="P202" i="29"/>
  <c r="O202" i="29"/>
  <c r="N202" i="29"/>
  <c r="M202" i="29"/>
  <c r="L202" i="29"/>
  <c r="K202" i="29"/>
  <c r="G202" i="29"/>
  <c r="J202" i="29"/>
  <c r="I202" i="29"/>
  <c r="F202" i="29"/>
  <c r="H202" i="29"/>
  <c r="U206" i="29"/>
  <c r="V206" i="29"/>
  <c r="T206" i="29"/>
  <c r="S206" i="29"/>
  <c r="R206" i="29"/>
  <c r="Q206" i="29"/>
  <c r="P206" i="29"/>
  <c r="O206" i="29"/>
  <c r="N206" i="29"/>
  <c r="M206" i="29"/>
  <c r="L206" i="29"/>
  <c r="K206" i="29"/>
  <c r="G206" i="29"/>
  <c r="J206" i="29"/>
  <c r="I206" i="29"/>
  <c r="F206" i="29"/>
  <c r="H206" i="29"/>
  <c r="V210" i="29"/>
  <c r="U210" i="29"/>
  <c r="T210" i="29"/>
  <c r="S210" i="29"/>
  <c r="R210" i="29"/>
  <c r="Q210" i="29"/>
  <c r="P210" i="29"/>
  <c r="O210" i="29"/>
  <c r="N210" i="29"/>
  <c r="M210" i="29"/>
  <c r="L210" i="29"/>
  <c r="K210" i="29"/>
  <c r="G210" i="29"/>
  <c r="J210" i="29"/>
  <c r="I210" i="29"/>
  <c r="F210" i="29"/>
  <c r="H210" i="29"/>
  <c r="V214" i="29"/>
  <c r="U214" i="29"/>
  <c r="T214" i="29"/>
  <c r="S214" i="29"/>
  <c r="R214" i="29"/>
  <c r="Q214" i="29"/>
  <c r="P214" i="29"/>
  <c r="O214" i="29"/>
  <c r="N214" i="29"/>
  <c r="M214" i="29"/>
  <c r="L214" i="29"/>
  <c r="K214" i="29"/>
  <c r="G214" i="29"/>
  <c r="J214" i="29"/>
  <c r="I214" i="29"/>
  <c r="H214" i="29"/>
  <c r="F214" i="29"/>
  <c r="U218" i="29"/>
  <c r="V218" i="29"/>
  <c r="T218" i="29"/>
  <c r="S218" i="29"/>
  <c r="R218" i="29"/>
  <c r="Q218" i="29"/>
  <c r="P218" i="29"/>
  <c r="O218" i="29"/>
  <c r="N218" i="29"/>
  <c r="M218" i="29"/>
  <c r="L218" i="29"/>
  <c r="K218" i="29"/>
  <c r="G218" i="29"/>
  <c r="J218" i="29"/>
  <c r="I218" i="29"/>
  <c r="F218" i="29"/>
  <c r="H218" i="29"/>
  <c r="V222" i="29"/>
  <c r="U222" i="29"/>
  <c r="T222" i="29"/>
  <c r="S222" i="29"/>
  <c r="R222" i="29"/>
  <c r="Q222" i="29"/>
  <c r="P222" i="29"/>
  <c r="O222" i="29"/>
  <c r="N222" i="29"/>
  <c r="M222" i="29"/>
  <c r="L222" i="29"/>
  <c r="K222" i="29"/>
  <c r="G222" i="29"/>
  <c r="J222" i="29"/>
  <c r="I222" i="29"/>
  <c r="F222" i="29"/>
  <c r="H222" i="29"/>
  <c r="V226" i="29"/>
  <c r="U226" i="29"/>
  <c r="T226" i="29"/>
  <c r="S226" i="29"/>
  <c r="Q226" i="29"/>
  <c r="P226" i="29"/>
  <c r="R226" i="29"/>
  <c r="O226" i="29"/>
  <c r="N226" i="29"/>
  <c r="M226" i="29"/>
  <c r="L226" i="29"/>
  <c r="K226" i="29"/>
  <c r="G226" i="29"/>
  <c r="J226" i="29"/>
  <c r="I226" i="29"/>
  <c r="F226" i="29"/>
  <c r="H226" i="29"/>
  <c r="V230" i="29"/>
  <c r="U230" i="29"/>
  <c r="T230" i="29"/>
  <c r="S230" i="29"/>
  <c r="R230" i="29"/>
  <c r="Q230" i="29"/>
  <c r="P230" i="29"/>
  <c r="O230" i="29"/>
  <c r="N230" i="29"/>
  <c r="M230" i="29"/>
  <c r="L230" i="29"/>
  <c r="K230" i="29"/>
  <c r="G230" i="29"/>
  <c r="J230" i="29"/>
  <c r="I230" i="29"/>
  <c r="H230" i="29"/>
  <c r="F230" i="29"/>
  <c r="U234" i="29"/>
  <c r="V234" i="29"/>
  <c r="T234" i="29"/>
  <c r="S234" i="29"/>
  <c r="R234" i="29"/>
  <c r="Q234" i="29"/>
  <c r="P234" i="29"/>
  <c r="O234" i="29"/>
  <c r="N234" i="29"/>
  <c r="M234" i="29"/>
  <c r="L234" i="29"/>
  <c r="K234" i="29"/>
  <c r="G234" i="29"/>
  <c r="J234" i="29"/>
  <c r="I234" i="29"/>
  <c r="F234" i="29"/>
  <c r="H234" i="29"/>
  <c r="U238" i="29"/>
  <c r="V238" i="29"/>
  <c r="T238" i="29"/>
  <c r="S238" i="29"/>
  <c r="R238" i="29"/>
  <c r="Q238" i="29"/>
  <c r="P238" i="29"/>
  <c r="O238" i="29"/>
  <c r="N238" i="29"/>
  <c r="M238" i="29"/>
  <c r="L238" i="29"/>
  <c r="K238" i="29"/>
  <c r="G238" i="29"/>
  <c r="J238" i="29"/>
  <c r="I238" i="29"/>
  <c r="F238" i="29"/>
  <c r="H238" i="29"/>
  <c r="V242" i="29"/>
  <c r="U242" i="29"/>
  <c r="T242" i="29"/>
  <c r="S242" i="29"/>
  <c r="Q242" i="29"/>
  <c r="R242" i="29"/>
  <c r="P242" i="29"/>
  <c r="O242" i="29"/>
  <c r="N242" i="29"/>
  <c r="M242" i="29"/>
  <c r="L242" i="29"/>
  <c r="K242" i="29"/>
  <c r="G242" i="29"/>
  <c r="J242" i="29"/>
  <c r="I242" i="29"/>
  <c r="F242" i="29"/>
  <c r="H242" i="29"/>
  <c r="V246" i="29"/>
  <c r="U246" i="29"/>
  <c r="T246" i="29"/>
  <c r="S246" i="29"/>
  <c r="R246" i="29"/>
  <c r="Q246" i="29"/>
  <c r="P246" i="29"/>
  <c r="O246" i="29"/>
  <c r="N246" i="29"/>
  <c r="M246" i="29"/>
  <c r="L246" i="29"/>
  <c r="K246" i="29"/>
  <c r="G246" i="29"/>
  <c r="J246" i="29"/>
  <c r="I246" i="29"/>
  <c r="H246" i="29"/>
  <c r="F246" i="29"/>
  <c r="U250" i="29"/>
  <c r="V250" i="29"/>
  <c r="T250" i="29"/>
  <c r="S250" i="29"/>
  <c r="R250" i="29"/>
  <c r="Q250" i="29"/>
  <c r="P250" i="29"/>
  <c r="O250" i="29"/>
  <c r="N250" i="29"/>
  <c r="M250" i="29"/>
  <c r="L250" i="29"/>
  <c r="K250" i="29"/>
  <c r="G250" i="29"/>
  <c r="J250" i="29"/>
  <c r="I250" i="29"/>
  <c r="F250" i="29"/>
  <c r="H250" i="29"/>
  <c r="V254" i="29"/>
  <c r="U254" i="29"/>
  <c r="T254" i="29"/>
  <c r="S254" i="29"/>
  <c r="R254" i="29"/>
  <c r="Q254" i="29"/>
  <c r="P254" i="29"/>
  <c r="O254" i="29"/>
  <c r="N254" i="29"/>
  <c r="M254" i="29"/>
  <c r="L254" i="29"/>
  <c r="K254" i="29"/>
  <c r="G254" i="29"/>
  <c r="J254" i="29"/>
  <c r="I254" i="29"/>
  <c r="F254" i="29"/>
  <c r="H254" i="29"/>
  <c r="V258" i="29"/>
  <c r="U258" i="29"/>
  <c r="T258" i="29"/>
  <c r="S258" i="29"/>
  <c r="Q258" i="29"/>
  <c r="R258" i="29"/>
  <c r="P258" i="29"/>
  <c r="O258" i="29"/>
  <c r="N258" i="29"/>
  <c r="M258" i="29"/>
  <c r="L258" i="29"/>
  <c r="K258" i="29"/>
  <c r="G258" i="29"/>
  <c r="J258" i="29"/>
  <c r="I258" i="29"/>
  <c r="F258" i="29"/>
  <c r="H258" i="29"/>
  <c r="V262" i="29"/>
  <c r="U262" i="29"/>
  <c r="T262" i="29"/>
  <c r="S262" i="29"/>
  <c r="R262" i="29"/>
  <c r="Q262" i="29"/>
  <c r="P262" i="29"/>
  <c r="O262" i="29"/>
  <c r="N262" i="29"/>
  <c r="M262" i="29"/>
  <c r="L262" i="29"/>
  <c r="K262" i="29"/>
  <c r="G262" i="29"/>
  <c r="J262" i="29"/>
  <c r="I262" i="29"/>
  <c r="H262" i="29"/>
  <c r="F262" i="29"/>
  <c r="U266" i="29"/>
  <c r="V266" i="29"/>
  <c r="T266" i="29"/>
  <c r="S266" i="29"/>
  <c r="R266" i="29"/>
  <c r="Q266" i="29"/>
  <c r="P266" i="29"/>
  <c r="O266" i="29"/>
  <c r="N266" i="29"/>
  <c r="M266" i="29"/>
  <c r="L266" i="29"/>
  <c r="K266" i="29"/>
  <c r="G266" i="29"/>
  <c r="J266" i="29"/>
  <c r="I266" i="29"/>
  <c r="F266" i="29"/>
  <c r="H266" i="29"/>
  <c r="U270" i="29"/>
  <c r="V270" i="29"/>
  <c r="T270" i="29"/>
  <c r="S270" i="29"/>
  <c r="R270" i="29"/>
  <c r="Q270" i="29"/>
  <c r="P270" i="29"/>
  <c r="O270" i="29"/>
  <c r="N270" i="29"/>
  <c r="M270" i="29"/>
  <c r="L270" i="29"/>
  <c r="K270" i="29"/>
  <c r="G270" i="29"/>
  <c r="J270" i="29"/>
  <c r="I270" i="29"/>
  <c r="F270" i="29"/>
  <c r="H270" i="29"/>
  <c r="V274" i="29"/>
  <c r="U274" i="29"/>
  <c r="T274" i="29"/>
  <c r="S274" i="29"/>
  <c r="Q274" i="29"/>
  <c r="R274" i="29"/>
  <c r="P274" i="29"/>
  <c r="O274" i="29"/>
  <c r="N274" i="29"/>
  <c r="M274" i="29"/>
  <c r="L274" i="29"/>
  <c r="K274" i="29"/>
  <c r="G274" i="29"/>
  <c r="J274" i="29"/>
  <c r="I274" i="29"/>
  <c r="F274" i="29"/>
  <c r="H274" i="29"/>
  <c r="V278" i="29"/>
  <c r="U278" i="29"/>
  <c r="T278" i="29"/>
  <c r="S278" i="29"/>
  <c r="R278" i="29"/>
  <c r="Q278" i="29"/>
  <c r="P278" i="29"/>
  <c r="O278" i="29"/>
  <c r="N278" i="29"/>
  <c r="M278" i="29"/>
  <c r="L278" i="29"/>
  <c r="K278" i="29"/>
  <c r="G278" i="29"/>
  <c r="J278" i="29"/>
  <c r="I278" i="29"/>
  <c r="H278" i="29"/>
  <c r="F278" i="29"/>
  <c r="U282" i="29"/>
  <c r="V282" i="29"/>
  <c r="T282" i="29"/>
  <c r="S282" i="29"/>
  <c r="R282" i="29"/>
  <c r="Q282" i="29"/>
  <c r="P282" i="29"/>
  <c r="O282" i="29"/>
  <c r="N282" i="29"/>
  <c r="M282" i="29"/>
  <c r="L282" i="29"/>
  <c r="K282" i="29"/>
  <c r="G282" i="29"/>
  <c r="J282" i="29"/>
  <c r="I282" i="29"/>
  <c r="F282" i="29"/>
  <c r="H282" i="29"/>
  <c r="V286" i="29"/>
  <c r="U286" i="29"/>
  <c r="T286" i="29"/>
  <c r="S286" i="29"/>
  <c r="R286" i="29"/>
  <c r="Q286" i="29"/>
  <c r="P286" i="29"/>
  <c r="O286" i="29"/>
  <c r="N286" i="29"/>
  <c r="M286" i="29"/>
  <c r="L286" i="29"/>
  <c r="K286" i="29"/>
  <c r="G286" i="29"/>
  <c r="J286" i="29"/>
  <c r="I286" i="29"/>
  <c r="F286" i="29"/>
  <c r="H286" i="29"/>
  <c r="V290" i="29"/>
  <c r="U290" i="29"/>
  <c r="T290" i="29"/>
  <c r="S290" i="29"/>
  <c r="Q290" i="29"/>
  <c r="P290" i="29"/>
  <c r="R290" i="29"/>
  <c r="O290" i="29"/>
  <c r="N290" i="29"/>
  <c r="M290" i="29"/>
  <c r="L290" i="29"/>
  <c r="K290" i="29"/>
  <c r="G290" i="29"/>
  <c r="J290" i="29"/>
  <c r="I290" i="29"/>
  <c r="F290" i="29"/>
  <c r="H290" i="29"/>
  <c r="U294" i="29"/>
  <c r="V294" i="29"/>
  <c r="T294" i="29"/>
  <c r="S294" i="29"/>
  <c r="R294" i="29"/>
  <c r="Q294" i="29"/>
  <c r="P294" i="29"/>
  <c r="O294" i="29"/>
  <c r="N294" i="29"/>
  <c r="M294" i="29"/>
  <c r="L294" i="29"/>
  <c r="K294" i="29"/>
  <c r="G294" i="29"/>
  <c r="J294" i="29"/>
  <c r="I294" i="29"/>
  <c r="H294" i="29"/>
  <c r="F294" i="29"/>
  <c r="V298" i="29"/>
  <c r="U298" i="29"/>
  <c r="T298" i="29"/>
  <c r="S298" i="29"/>
  <c r="R298" i="29"/>
  <c r="Q298" i="29"/>
  <c r="P298" i="29"/>
  <c r="O298" i="29"/>
  <c r="N298" i="29"/>
  <c r="M298" i="29"/>
  <c r="L298" i="29"/>
  <c r="K298" i="29"/>
  <c r="G298" i="29"/>
  <c r="J298" i="29"/>
  <c r="I298" i="29"/>
  <c r="F298" i="29"/>
  <c r="H298" i="29"/>
  <c r="U302" i="29"/>
  <c r="V302" i="29"/>
  <c r="T302" i="29"/>
  <c r="S302" i="29"/>
  <c r="R302" i="29"/>
  <c r="Q302" i="29"/>
  <c r="P302" i="29"/>
  <c r="O302" i="29"/>
  <c r="N302" i="29"/>
  <c r="M302" i="29"/>
  <c r="L302" i="29"/>
  <c r="K302" i="29"/>
  <c r="G302" i="29"/>
  <c r="J302" i="29"/>
  <c r="I302" i="29"/>
  <c r="F302" i="29"/>
  <c r="H302" i="29"/>
  <c r="V195" i="29"/>
  <c r="U195" i="29"/>
  <c r="T195" i="29"/>
  <c r="R195" i="29"/>
  <c r="S195" i="29"/>
  <c r="Q195" i="29"/>
  <c r="P195" i="29"/>
  <c r="O195" i="29"/>
  <c r="N195" i="29"/>
  <c r="M195" i="29"/>
  <c r="L195" i="29"/>
  <c r="K195" i="29"/>
  <c r="J195" i="29"/>
  <c r="I195" i="29"/>
  <c r="H195" i="29"/>
  <c r="G195" i="29"/>
  <c r="F195" i="29"/>
  <c r="V199" i="29"/>
  <c r="U199" i="29"/>
  <c r="T199" i="29"/>
  <c r="S199" i="29"/>
  <c r="R199" i="29"/>
  <c r="Q199" i="29"/>
  <c r="P199" i="29"/>
  <c r="O199" i="29"/>
  <c r="N199" i="29"/>
  <c r="M199" i="29"/>
  <c r="L199" i="29"/>
  <c r="K199" i="29"/>
  <c r="J199" i="29"/>
  <c r="I199" i="29"/>
  <c r="H199" i="29"/>
  <c r="F199" i="29"/>
  <c r="G199" i="29"/>
  <c r="V203" i="29"/>
  <c r="U203" i="29"/>
  <c r="S203" i="29"/>
  <c r="R203" i="29"/>
  <c r="T203" i="29"/>
  <c r="Q203" i="29"/>
  <c r="P203" i="29"/>
  <c r="O203" i="29"/>
  <c r="N203" i="29"/>
  <c r="M203" i="29"/>
  <c r="L203" i="29"/>
  <c r="K203" i="29"/>
  <c r="J203" i="29"/>
  <c r="I203" i="29"/>
  <c r="H203" i="29"/>
  <c r="F203" i="29"/>
  <c r="G203" i="29"/>
  <c r="V207" i="29"/>
  <c r="U207" i="29"/>
  <c r="T207" i="29"/>
  <c r="R207" i="29"/>
  <c r="S207" i="29"/>
  <c r="Q207" i="29"/>
  <c r="P207" i="29"/>
  <c r="O207" i="29"/>
  <c r="N207" i="29"/>
  <c r="M207" i="29"/>
  <c r="L207" i="29"/>
  <c r="K207" i="29"/>
  <c r="J207" i="29"/>
  <c r="I207" i="29"/>
  <c r="H207" i="29"/>
  <c r="G207" i="29"/>
  <c r="F207" i="29"/>
  <c r="V211" i="29"/>
  <c r="U211" i="29"/>
  <c r="T211" i="29"/>
  <c r="R211" i="29"/>
  <c r="Q211" i="29"/>
  <c r="S211" i="29"/>
  <c r="P211" i="29"/>
  <c r="O211" i="29"/>
  <c r="N211" i="29"/>
  <c r="M211" i="29"/>
  <c r="L211" i="29"/>
  <c r="K211" i="29"/>
  <c r="J211" i="29"/>
  <c r="I211" i="29"/>
  <c r="H211" i="29"/>
  <c r="G211" i="29"/>
  <c r="F211" i="29"/>
  <c r="V215" i="29"/>
  <c r="U215" i="29"/>
  <c r="T215" i="29"/>
  <c r="S215" i="29"/>
  <c r="R215" i="29"/>
  <c r="Q215" i="29"/>
  <c r="P215" i="29"/>
  <c r="O215" i="29"/>
  <c r="N215" i="29"/>
  <c r="M215" i="29"/>
  <c r="L215" i="29"/>
  <c r="K215" i="29"/>
  <c r="J215" i="29"/>
  <c r="I215" i="29"/>
  <c r="H215" i="29"/>
  <c r="F215" i="29"/>
  <c r="G215" i="29"/>
  <c r="V219" i="29"/>
  <c r="U219" i="29"/>
  <c r="T219" i="29"/>
  <c r="S219" i="29"/>
  <c r="R219" i="29"/>
  <c r="P219" i="29"/>
  <c r="Q219" i="29"/>
  <c r="O219" i="29"/>
  <c r="N219" i="29"/>
  <c r="M219" i="29"/>
  <c r="L219" i="29"/>
  <c r="K219" i="29"/>
  <c r="J219" i="29"/>
  <c r="I219" i="29"/>
  <c r="H219" i="29"/>
  <c r="F219" i="29"/>
  <c r="G219" i="29"/>
  <c r="V223" i="29"/>
  <c r="U223" i="29"/>
  <c r="T223" i="29"/>
  <c r="R223" i="29"/>
  <c r="S223" i="29"/>
  <c r="Q223" i="29"/>
  <c r="P223" i="29"/>
  <c r="O223" i="29"/>
  <c r="N223" i="29"/>
  <c r="M223" i="29"/>
  <c r="L223" i="29"/>
  <c r="K223" i="29"/>
  <c r="J223" i="29"/>
  <c r="I223" i="29"/>
  <c r="H223" i="29"/>
  <c r="G223" i="29"/>
  <c r="F223" i="29"/>
  <c r="V227" i="29"/>
  <c r="U227" i="29"/>
  <c r="T227" i="29"/>
  <c r="R227" i="29"/>
  <c r="Q227" i="29"/>
  <c r="S227" i="29"/>
  <c r="P227" i="29"/>
  <c r="O227" i="29"/>
  <c r="N227" i="29"/>
  <c r="M227" i="29"/>
  <c r="L227" i="29"/>
  <c r="K227" i="29"/>
  <c r="J227" i="29"/>
  <c r="I227" i="29"/>
  <c r="H227" i="29"/>
  <c r="G227" i="29"/>
  <c r="F227" i="29"/>
  <c r="V231" i="29"/>
  <c r="U231" i="29"/>
  <c r="T231" i="29"/>
  <c r="S231" i="29"/>
  <c r="R231" i="29"/>
  <c r="Q231" i="29"/>
  <c r="P231" i="29"/>
  <c r="O231" i="29"/>
  <c r="N231" i="29"/>
  <c r="M231" i="29"/>
  <c r="L231" i="29"/>
  <c r="K231" i="29"/>
  <c r="J231" i="29"/>
  <c r="I231" i="29"/>
  <c r="H231" i="29"/>
  <c r="F231" i="29"/>
  <c r="G231" i="29"/>
  <c r="V235" i="29"/>
  <c r="U235" i="29"/>
  <c r="T235" i="29"/>
  <c r="S235" i="29"/>
  <c r="R235" i="29"/>
  <c r="P235" i="29"/>
  <c r="Q235" i="29"/>
  <c r="O235" i="29"/>
  <c r="N235" i="29"/>
  <c r="M235" i="29"/>
  <c r="L235" i="29"/>
  <c r="K235" i="29"/>
  <c r="J235" i="29"/>
  <c r="I235" i="29"/>
  <c r="H235" i="29"/>
  <c r="G235" i="29"/>
  <c r="F235" i="29"/>
  <c r="V239" i="29"/>
  <c r="U239" i="29"/>
  <c r="T239" i="29"/>
  <c r="R239" i="29"/>
  <c r="S239" i="29"/>
  <c r="Q239" i="29"/>
  <c r="P239" i="29"/>
  <c r="O239" i="29"/>
  <c r="N239" i="29"/>
  <c r="M239" i="29"/>
  <c r="L239" i="29"/>
  <c r="K239" i="29"/>
  <c r="J239" i="29"/>
  <c r="I239" i="29"/>
  <c r="H239" i="29"/>
  <c r="F239" i="29"/>
  <c r="G239" i="29"/>
  <c r="V243" i="29"/>
  <c r="U243" i="29"/>
  <c r="T243" i="29"/>
  <c r="R243" i="29"/>
  <c r="S243" i="29"/>
  <c r="Q243" i="29"/>
  <c r="P243" i="29"/>
  <c r="O243" i="29"/>
  <c r="N243" i="29"/>
  <c r="M243" i="29"/>
  <c r="L243" i="29"/>
  <c r="K243" i="29"/>
  <c r="J243" i="29"/>
  <c r="I243" i="29"/>
  <c r="H243" i="29"/>
  <c r="G243" i="29"/>
  <c r="F243" i="29"/>
  <c r="V247" i="29"/>
  <c r="U247" i="29"/>
  <c r="T247" i="29"/>
  <c r="S247" i="29"/>
  <c r="Q247" i="29"/>
  <c r="R247" i="29"/>
  <c r="P247" i="29"/>
  <c r="O247" i="29"/>
  <c r="N247" i="29"/>
  <c r="M247" i="29"/>
  <c r="L247" i="29"/>
  <c r="K247" i="29"/>
  <c r="J247" i="29"/>
  <c r="I247" i="29"/>
  <c r="H247" i="29"/>
  <c r="F247" i="29"/>
  <c r="G247" i="29"/>
  <c r="V251" i="29"/>
  <c r="U251" i="29"/>
  <c r="S251" i="29"/>
  <c r="T251" i="29"/>
  <c r="R251" i="29"/>
  <c r="Q251" i="29"/>
  <c r="P251" i="29"/>
  <c r="O251" i="29"/>
  <c r="N251" i="29"/>
  <c r="M251" i="29"/>
  <c r="L251" i="29"/>
  <c r="K251" i="29"/>
  <c r="J251" i="29"/>
  <c r="I251" i="29"/>
  <c r="H251" i="29"/>
  <c r="G251" i="29"/>
  <c r="F251" i="29"/>
  <c r="V255" i="29"/>
  <c r="U255" i="29"/>
  <c r="T255" i="29"/>
  <c r="R255" i="29"/>
  <c r="S255" i="29"/>
  <c r="Q255" i="29"/>
  <c r="P255" i="29"/>
  <c r="O255" i="29"/>
  <c r="N255" i="29"/>
  <c r="M255" i="29"/>
  <c r="L255" i="29"/>
  <c r="K255" i="29"/>
  <c r="J255" i="29"/>
  <c r="I255" i="29"/>
  <c r="H255" i="29"/>
  <c r="F255" i="29"/>
  <c r="G255" i="29"/>
  <c r="V259" i="29"/>
  <c r="U259" i="29"/>
  <c r="T259" i="29"/>
  <c r="R259" i="29"/>
  <c r="S259" i="29"/>
  <c r="Q259" i="29"/>
  <c r="P259" i="29"/>
  <c r="O259" i="29"/>
  <c r="N259" i="29"/>
  <c r="M259" i="29"/>
  <c r="L259" i="29"/>
  <c r="K259" i="29"/>
  <c r="J259" i="29"/>
  <c r="I259" i="29"/>
  <c r="H259" i="29"/>
  <c r="G259" i="29"/>
  <c r="F259" i="29"/>
  <c r="V263" i="29"/>
  <c r="U263" i="29"/>
  <c r="T263" i="29"/>
  <c r="S263" i="29"/>
  <c r="R263" i="29"/>
  <c r="Q263" i="29"/>
  <c r="P263" i="29"/>
  <c r="O263" i="29"/>
  <c r="N263" i="29"/>
  <c r="M263" i="29"/>
  <c r="L263" i="29"/>
  <c r="K263" i="29"/>
  <c r="J263" i="29"/>
  <c r="I263" i="29"/>
  <c r="H263" i="29"/>
  <c r="F263" i="29"/>
  <c r="G263" i="29"/>
  <c r="V267" i="29"/>
  <c r="U267" i="29"/>
  <c r="S267" i="29"/>
  <c r="R267" i="29"/>
  <c r="T267" i="29"/>
  <c r="Q267" i="29"/>
  <c r="P267" i="29"/>
  <c r="O267" i="29"/>
  <c r="N267" i="29"/>
  <c r="M267" i="29"/>
  <c r="L267" i="29"/>
  <c r="K267" i="29"/>
  <c r="J267" i="29"/>
  <c r="I267" i="29"/>
  <c r="H267" i="29"/>
  <c r="G267" i="29"/>
  <c r="F267" i="29"/>
  <c r="V271" i="29"/>
  <c r="U271" i="29"/>
  <c r="T271" i="29"/>
  <c r="R271" i="29"/>
  <c r="S271" i="29"/>
  <c r="Q271" i="29"/>
  <c r="P271" i="29"/>
  <c r="O271" i="29"/>
  <c r="N271" i="29"/>
  <c r="M271" i="29"/>
  <c r="L271" i="29"/>
  <c r="K271" i="29"/>
  <c r="J271" i="29"/>
  <c r="I271" i="29"/>
  <c r="H271" i="29"/>
  <c r="F271" i="29"/>
  <c r="G271" i="29"/>
  <c r="V275" i="29"/>
  <c r="U275" i="29"/>
  <c r="T275" i="29"/>
  <c r="R275" i="29"/>
  <c r="Q275" i="29"/>
  <c r="S275" i="29"/>
  <c r="P275" i="29"/>
  <c r="O275" i="29"/>
  <c r="N275" i="29"/>
  <c r="M275" i="29"/>
  <c r="L275" i="29"/>
  <c r="K275" i="29"/>
  <c r="J275" i="29"/>
  <c r="I275" i="29"/>
  <c r="H275" i="29"/>
  <c r="G275" i="29"/>
  <c r="F275" i="29"/>
  <c r="V279" i="29"/>
  <c r="U279" i="29"/>
  <c r="T279" i="29"/>
  <c r="S279" i="29"/>
  <c r="R279" i="29"/>
  <c r="Q279" i="29"/>
  <c r="P279" i="29"/>
  <c r="O279" i="29"/>
  <c r="N279" i="29"/>
  <c r="M279" i="29"/>
  <c r="L279" i="29"/>
  <c r="K279" i="29"/>
  <c r="J279" i="29"/>
  <c r="I279" i="29"/>
  <c r="H279" i="29"/>
  <c r="F279" i="29"/>
  <c r="G279" i="29"/>
  <c r="V283" i="29"/>
  <c r="U283" i="29"/>
  <c r="T283" i="29"/>
  <c r="S283" i="29"/>
  <c r="R283" i="29"/>
  <c r="Q283" i="29"/>
  <c r="P283" i="29"/>
  <c r="O283" i="29"/>
  <c r="N283" i="29"/>
  <c r="M283" i="29"/>
  <c r="L283" i="29"/>
  <c r="K283" i="29"/>
  <c r="J283" i="29"/>
  <c r="I283" i="29"/>
  <c r="H283" i="29"/>
  <c r="G283" i="29"/>
  <c r="F283" i="29"/>
  <c r="V287" i="29"/>
  <c r="U287" i="29"/>
  <c r="T287" i="29"/>
  <c r="R287" i="29"/>
  <c r="S287" i="29"/>
  <c r="Q287" i="29"/>
  <c r="P287" i="29"/>
  <c r="O287" i="29"/>
  <c r="N287" i="29"/>
  <c r="M287" i="29"/>
  <c r="L287" i="29"/>
  <c r="K287" i="29"/>
  <c r="J287" i="29"/>
  <c r="I287" i="29"/>
  <c r="H287" i="29"/>
  <c r="F287" i="29"/>
  <c r="G287" i="29"/>
  <c r="V291" i="29"/>
  <c r="U291" i="29"/>
  <c r="T291" i="29"/>
  <c r="R291" i="29"/>
  <c r="Q291" i="29"/>
  <c r="S291" i="29"/>
  <c r="P291" i="29"/>
  <c r="O291" i="29"/>
  <c r="N291" i="29"/>
  <c r="M291" i="29"/>
  <c r="L291" i="29"/>
  <c r="K291" i="29"/>
  <c r="J291" i="29"/>
  <c r="I291" i="29"/>
  <c r="H291" i="29"/>
  <c r="G291" i="29"/>
  <c r="F291" i="29"/>
  <c r="V295" i="29"/>
  <c r="U295" i="29"/>
  <c r="T295" i="29"/>
  <c r="S295" i="29"/>
  <c r="R295" i="29"/>
  <c r="Q295" i="29"/>
  <c r="P295" i="29"/>
  <c r="O295" i="29"/>
  <c r="N295" i="29"/>
  <c r="M295" i="29"/>
  <c r="L295" i="29"/>
  <c r="K295" i="29"/>
  <c r="J295" i="29"/>
  <c r="I295" i="29"/>
  <c r="H295" i="29"/>
  <c r="F295" i="29"/>
  <c r="G295" i="29"/>
  <c r="V299" i="29"/>
  <c r="U299" i="29"/>
  <c r="T299" i="29"/>
  <c r="S299" i="29"/>
  <c r="R299" i="29"/>
  <c r="Q299" i="29"/>
  <c r="P299" i="29"/>
  <c r="O299" i="29"/>
  <c r="N299" i="29"/>
  <c r="M299" i="29"/>
  <c r="L299" i="29"/>
  <c r="K299" i="29"/>
  <c r="J299" i="29"/>
  <c r="I299" i="29"/>
  <c r="H299" i="29"/>
  <c r="G299" i="29"/>
  <c r="F299" i="29"/>
  <c r="V303" i="29"/>
  <c r="U303" i="29"/>
  <c r="T303" i="29"/>
  <c r="S303" i="29"/>
  <c r="Q303" i="29"/>
  <c r="R303" i="29"/>
  <c r="P303" i="29"/>
  <c r="O303" i="29"/>
  <c r="N303" i="29"/>
  <c r="M303" i="29"/>
  <c r="L303" i="29"/>
  <c r="K303" i="29"/>
  <c r="J303" i="29"/>
  <c r="I303" i="29"/>
  <c r="H303" i="29"/>
  <c r="F303" i="29"/>
  <c r="G303" i="29"/>
  <c r="Q43" i="28"/>
  <c r="P43" i="28"/>
  <c r="O43" i="28"/>
  <c r="N43" i="28"/>
  <c r="M43" i="28"/>
  <c r="L43" i="28"/>
  <c r="K43" i="28"/>
  <c r="F43" i="28"/>
  <c r="E43" i="28"/>
  <c r="C43" i="28"/>
  <c r="Q42" i="28"/>
  <c r="P42" i="28"/>
  <c r="O42" i="28"/>
  <c r="N42" i="28"/>
  <c r="M42" i="28"/>
  <c r="L42" i="28"/>
  <c r="K42" i="28"/>
  <c r="F42" i="28"/>
  <c r="C42" i="28"/>
  <c r="D41" i="27"/>
  <c r="D42" i="27" s="1"/>
  <c r="C41" i="27"/>
  <c r="C42" i="27" s="1"/>
  <c r="B41" i="27"/>
  <c r="E43" i="1"/>
  <c r="E43" i="4"/>
  <c r="E43" i="5"/>
  <c r="E43" i="6"/>
  <c r="E43" i="8"/>
  <c r="E43" i="7"/>
  <c r="E43" i="9"/>
  <c r="E43" i="10"/>
  <c r="E43" i="11"/>
  <c r="E43" i="13"/>
  <c r="E43" i="14"/>
  <c r="E43" i="15"/>
  <c r="E43" i="16"/>
  <c r="E43" i="17"/>
  <c r="E43" i="18"/>
  <c r="E43" i="19"/>
  <c r="E43" i="20"/>
  <c r="E43" i="21"/>
  <c r="E43" i="22"/>
  <c r="E43" i="23"/>
  <c r="E43" i="24"/>
  <c r="E43" i="25"/>
  <c r="E43" i="26"/>
  <c r="AA7" i="29" l="1"/>
  <c r="AA10" i="29"/>
  <c r="AA15" i="29"/>
  <c r="AA19" i="29"/>
  <c r="AA11" i="29"/>
  <c r="AA12" i="29"/>
  <c r="AA16" i="29"/>
  <c r="AA20" i="29"/>
  <c r="AA8" i="29"/>
  <c r="AA13" i="29"/>
  <c r="AA17" i="29"/>
  <c r="AA21" i="29"/>
  <c r="AA9" i="29"/>
  <c r="AA14" i="29"/>
  <c r="AA18" i="29"/>
  <c r="D43" i="27"/>
  <c r="C42" i="21"/>
  <c r="F42" i="21"/>
  <c r="K42" i="21"/>
  <c r="L42" i="21"/>
  <c r="M42" i="21"/>
  <c r="N42" i="21"/>
  <c r="O42" i="21"/>
  <c r="P42" i="21"/>
  <c r="Q42" i="21"/>
  <c r="C43" i="21"/>
  <c r="F43" i="21"/>
  <c r="K43" i="21"/>
  <c r="L43" i="21"/>
  <c r="M43" i="21"/>
  <c r="N43" i="21"/>
  <c r="O43" i="21"/>
  <c r="P43" i="21"/>
  <c r="Q43" i="21"/>
  <c r="P43" i="1"/>
  <c r="P42" i="1"/>
  <c r="P43" i="4"/>
  <c r="P42" i="4"/>
  <c r="P43" i="5"/>
  <c r="P42" i="5"/>
  <c r="P43" i="6"/>
  <c r="P42" i="6"/>
  <c r="P43" i="7"/>
  <c r="P42" i="7"/>
  <c r="P43" i="8"/>
  <c r="P42" i="8"/>
  <c r="P43" i="9"/>
  <c r="P42" i="9"/>
  <c r="P43" i="10"/>
  <c r="P42" i="10"/>
  <c r="P43" i="11"/>
  <c r="P42" i="11"/>
  <c r="P43" i="13"/>
  <c r="P42" i="13"/>
  <c r="P43" i="15"/>
  <c r="P42" i="15"/>
  <c r="P43" i="16"/>
  <c r="P42" i="16"/>
  <c r="P43" i="17"/>
  <c r="P42" i="17"/>
  <c r="P43" i="18"/>
  <c r="P42" i="18"/>
  <c r="P43" i="19"/>
  <c r="P42" i="19"/>
  <c r="P43" i="20"/>
  <c r="P42" i="20"/>
  <c r="P43" i="22"/>
  <c r="P42" i="22"/>
  <c r="P43" i="23"/>
  <c r="P42" i="23"/>
  <c r="P43" i="24"/>
  <c r="P42" i="24"/>
  <c r="P43" i="25"/>
  <c r="P42" i="25"/>
  <c r="P43" i="26"/>
  <c r="P42" i="26"/>
  <c r="Q43" i="14"/>
  <c r="P43" i="14"/>
  <c r="O43" i="14"/>
  <c r="N43" i="14"/>
  <c r="M43" i="14"/>
  <c r="L43" i="14"/>
  <c r="K43" i="14"/>
  <c r="F43" i="14"/>
  <c r="C43" i="14"/>
  <c r="Q42" i="14"/>
  <c r="P42" i="14"/>
  <c r="O42" i="14"/>
  <c r="N42" i="14"/>
  <c r="M42" i="14"/>
  <c r="L42" i="14"/>
  <c r="K42" i="14"/>
  <c r="F42" i="14"/>
  <c r="C42" i="14"/>
  <c r="AA6" i="29" l="1"/>
  <c r="W2" i="29"/>
  <c r="X2" i="29" s="1"/>
  <c r="AA26" i="29" s="1"/>
  <c r="AB19" i="29" s="1"/>
  <c r="Q43" i="1"/>
  <c r="O43" i="1"/>
  <c r="N43" i="1"/>
  <c r="M43" i="1"/>
  <c r="L43" i="1"/>
  <c r="K43" i="1"/>
  <c r="F43" i="1"/>
  <c r="C43" i="1"/>
  <c r="Q42" i="1"/>
  <c r="O42" i="1"/>
  <c r="N42" i="1"/>
  <c r="M42" i="1"/>
  <c r="L42" i="1"/>
  <c r="K42" i="1"/>
  <c r="F42" i="1"/>
  <c r="C42" i="1"/>
  <c r="Q43" i="4"/>
  <c r="O43" i="4"/>
  <c r="N43" i="4"/>
  <c r="M43" i="4"/>
  <c r="L43" i="4"/>
  <c r="K43" i="4"/>
  <c r="F43" i="4"/>
  <c r="C43" i="4"/>
  <c r="Q42" i="4"/>
  <c r="O42" i="4"/>
  <c r="N42" i="4"/>
  <c r="M42" i="4"/>
  <c r="L42" i="4"/>
  <c r="K42" i="4"/>
  <c r="F42" i="4"/>
  <c r="C42" i="4"/>
  <c r="Q43" i="5"/>
  <c r="O43" i="5"/>
  <c r="N43" i="5"/>
  <c r="M43" i="5"/>
  <c r="L43" i="5"/>
  <c r="K43" i="5"/>
  <c r="F43" i="5"/>
  <c r="C43" i="5"/>
  <c r="Q42" i="5"/>
  <c r="O42" i="5"/>
  <c r="N42" i="5"/>
  <c r="M42" i="5"/>
  <c r="L42" i="5"/>
  <c r="K42" i="5"/>
  <c r="F42" i="5"/>
  <c r="C42" i="5"/>
  <c r="Q43" i="6"/>
  <c r="O43" i="6"/>
  <c r="N43" i="6"/>
  <c r="M43" i="6"/>
  <c r="L43" i="6"/>
  <c r="K43" i="6"/>
  <c r="F43" i="6"/>
  <c r="C43" i="6"/>
  <c r="Q42" i="6"/>
  <c r="O42" i="6"/>
  <c r="N42" i="6"/>
  <c r="M42" i="6"/>
  <c r="L42" i="6"/>
  <c r="K42" i="6"/>
  <c r="F42" i="6"/>
  <c r="C42" i="6"/>
  <c r="Q43" i="7"/>
  <c r="O43" i="7"/>
  <c r="N43" i="7"/>
  <c r="M43" i="7"/>
  <c r="L43" i="7"/>
  <c r="K43" i="7"/>
  <c r="F43" i="7"/>
  <c r="C43" i="7"/>
  <c r="Q42" i="7"/>
  <c r="O42" i="7"/>
  <c r="N42" i="7"/>
  <c r="M42" i="7"/>
  <c r="L42" i="7"/>
  <c r="K42" i="7"/>
  <c r="F42" i="7"/>
  <c r="C42" i="7"/>
  <c r="Q43" i="8"/>
  <c r="O43" i="8"/>
  <c r="N43" i="8"/>
  <c r="M43" i="8"/>
  <c r="L43" i="8"/>
  <c r="K43" i="8"/>
  <c r="F43" i="8"/>
  <c r="C43" i="8"/>
  <c r="Q42" i="8"/>
  <c r="O42" i="8"/>
  <c r="N42" i="8"/>
  <c r="M42" i="8"/>
  <c r="L42" i="8"/>
  <c r="K42" i="8"/>
  <c r="F42" i="8"/>
  <c r="C42" i="8"/>
  <c r="Q43" i="9"/>
  <c r="O43" i="9"/>
  <c r="N43" i="9"/>
  <c r="M43" i="9"/>
  <c r="L43" i="9"/>
  <c r="K43" i="9"/>
  <c r="F43" i="9"/>
  <c r="C43" i="9"/>
  <c r="Q42" i="9"/>
  <c r="O42" i="9"/>
  <c r="N42" i="9"/>
  <c r="M42" i="9"/>
  <c r="L42" i="9"/>
  <c r="K42" i="9"/>
  <c r="F42" i="9"/>
  <c r="C42" i="9"/>
  <c r="Q43" i="10"/>
  <c r="O43" i="10"/>
  <c r="N43" i="10"/>
  <c r="M43" i="10"/>
  <c r="L43" i="10"/>
  <c r="K43" i="10"/>
  <c r="F43" i="10"/>
  <c r="C43" i="10"/>
  <c r="Q42" i="10"/>
  <c r="O42" i="10"/>
  <c r="N42" i="10"/>
  <c r="M42" i="10"/>
  <c r="L42" i="10"/>
  <c r="K42" i="10"/>
  <c r="F42" i="10"/>
  <c r="C42" i="10"/>
  <c r="Q43" i="11"/>
  <c r="O43" i="11"/>
  <c r="N43" i="11"/>
  <c r="M43" i="11"/>
  <c r="L43" i="11"/>
  <c r="K43" i="11"/>
  <c r="F43" i="11"/>
  <c r="C43" i="11"/>
  <c r="Q42" i="11"/>
  <c r="O42" i="11"/>
  <c r="N42" i="11"/>
  <c r="M42" i="11"/>
  <c r="L42" i="11"/>
  <c r="K42" i="11"/>
  <c r="F42" i="11"/>
  <c r="C42" i="11"/>
  <c r="Q43" i="13"/>
  <c r="O43" i="13"/>
  <c r="N43" i="13"/>
  <c r="M43" i="13"/>
  <c r="L43" i="13"/>
  <c r="K43" i="13"/>
  <c r="F43" i="13"/>
  <c r="C43" i="13"/>
  <c r="Q42" i="13"/>
  <c r="O42" i="13"/>
  <c r="N42" i="13"/>
  <c r="M42" i="13"/>
  <c r="L42" i="13"/>
  <c r="K42" i="13"/>
  <c r="F42" i="13"/>
  <c r="C42" i="13"/>
  <c r="Q43" i="15"/>
  <c r="O43" i="15"/>
  <c r="N43" i="15"/>
  <c r="M43" i="15"/>
  <c r="L43" i="15"/>
  <c r="K43" i="15"/>
  <c r="F43" i="15"/>
  <c r="C43" i="15"/>
  <c r="Q42" i="15"/>
  <c r="O42" i="15"/>
  <c r="N42" i="15"/>
  <c r="M42" i="15"/>
  <c r="L42" i="15"/>
  <c r="K42" i="15"/>
  <c r="F42" i="15"/>
  <c r="C42" i="15"/>
  <c r="Q43" i="16"/>
  <c r="O43" i="16"/>
  <c r="N43" i="16"/>
  <c r="M43" i="16"/>
  <c r="L43" i="16"/>
  <c r="K43" i="16"/>
  <c r="F43" i="16"/>
  <c r="C43" i="16"/>
  <c r="Q42" i="16"/>
  <c r="O42" i="16"/>
  <c r="N42" i="16"/>
  <c r="M42" i="16"/>
  <c r="L42" i="16"/>
  <c r="K42" i="16"/>
  <c r="F42" i="16"/>
  <c r="C42" i="16"/>
  <c r="Q43" i="17"/>
  <c r="O43" i="17"/>
  <c r="N43" i="17"/>
  <c r="M43" i="17"/>
  <c r="L43" i="17"/>
  <c r="K43" i="17"/>
  <c r="F43" i="17"/>
  <c r="C43" i="17"/>
  <c r="Q42" i="17"/>
  <c r="O42" i="17"/>
  <c r="N42" i="17"/>
  <c r="M42" i="17"/>
  <c r="L42" i="17"/>
  <c r="K42" i="17"/>
  <c r="F42" i="17"/>
  <c r="C42" i="17"/>
  <c r="Q43" i="18"/>
  <c r="O43" i="18"/>
  <c r="N43" i="18"/>
  <c r="M43" i="18"/>
  <c r="L43" i="18"/>
  <c r="K43" i="18"/>
  <c r="F43" i="18"/>
  <c r="C43" i="18"/>
  <c r="Q42" i="18"/>
  <c r="O42" i="18"/>
  <c r="N42" i="18"/>
  <c r="M42" i="18"/>
  <c r="L42" i="18"/>
  <c r="K42" i="18"/>
  <c r="F42" i="18"/>
  <c r="C42" i="18"/>
  <c r="Q43" i="19"/>
  <c r="O43" i="19"/>
  <c r="N43" i="19"/>
  <c r="M43" i="19"/>
  <c r="L43" i="19"/>
  <c r="K43" i="19"/>
  <c r="F43" i="19"/>
  <c r="C43" i="19"/>
  <c r="Q42" i="19"/>
  <c r="O42" i="19"/>
  <c r="N42" i="19"/>
  <c r="M42" i="19"/>
  <c r="L42" i="19"/>
  <c r="K42" i="19"/>
  <c r="F42" i="19"/>
  <c r="C42" i="19"/>
  <c r="Q43" i="20"/>
  <c r="O43" i="20"/>
  <c r="N43" i="20"/>
  <c r="M43" i="20"/>
  <c r="L43" i="20"/>
  <c r="K43" i="20"/>
  <c r="F43" i="20"/>
  <c r="C43" i="20"/>
  <c r="Q42" i="20"/>
  <c r="O42" i="20"/>
  <c r="N42" i="20"/>
  <c r="M42" i="20"/>
  <c r="L42" i="20"/>
  <c r="K42" i="20"/>
  <c r="F42" i="20"/>
  <c r="C42" i="20"/>
  <c r="Q43" i="22"/>
  <c r="O43" i="22"/>
  <c r="N43" i="22"/>
  <c r="M43" i="22"/>
  <c r="L43" i="22"/>
  <c r="K43" i="22"/>
  <c r="F43" i="22"/>
  <c r="C43" i="22"/>
  <c r="Q42" i="22"/>
  <c r="O42" i="22"/>
  <c r="N42" i="22"/>
  <c r="M42" i="22"/>
  <c r="L42" i="22"/>
  <c r="K42" i="22"/>
  <c r="F42" i="22"/>
  <c r="C42" i="22"/>
  <c r="Q43" i="23"/>
  <c r="O43" i="23"/>
  <c r="N43" i="23"/>
  <c r="M43" i="23"/>
  <c r="L43" i="23"/>
  <c r="K43" i="23"/>
  <c r="F43" i="23"/>
  <c r="C43" i="23"/>
  <c r="Q42" i="23"/>
  <c r="O42" i="23"/>
  <c r="N42" i="23"/>
  <c r="M42" i="23"/>
  <c r="L42" i="23"/>
  <c r="K42" i="23"/>
  <c r="F42" i="23"/>
  <c r="C42" i="23"/>
  <c r="Q43" i="24"/>
  <c r="O43" i="24"/>
  <c r="N43" i="24"/>
  <c r="M43" i="24"/>
  <c r="L43" i="24"/>
  <c r="K43" i="24"/>
  <c r="F43" i="24"/>
  <c r="C43" i="24"/>
  <c r="Q42" i="24"/>
  <c r="O42" i="24"/>
  <c r="N42" i="24"/>
  <c r="M42" i="24"/>
  <c r="L42" i="24"/>
  <c r="K42" i="24"/>
  <c r="F42" i="24"/>
  <c r="C42" i="24"/>
  <c r="Q43" i="25"/>
  <c r="O43" i="25"/>
  <c r="N43" i="25"/>
  <c r="M43" i="25"/>
  <c r="L43" i="25"/>
  <c r="K43" i="25"/>
  <c r="F43" i="25"/>
  <c r="C43" i="25"/>
  <c r="Q42" i="25"/>
  <c r="O42" i="25"/>
  <c r="N42" i="25"/>
  <c r="M42" i="25"/>
  <c r="L42" i="25"/>
  <c r="K42" i="25"/>
  <c r="F42" i="25"/>
  <c r="C42" i="25"/>
  <c r="Q43" i="26"/>
  <c r="O43" i="26"/>
  <c r="N43" i="26"/>
  <c r="M43" i="26"/>
  <c r="L43" i="26"/>
  <c r="K43" i="26"/>
  <c r="F43" i="26"/>
  <c r="C43" i="26"/>
  <c r="Q42" i="26"/>
  <c r="O42" i="26"/>
  <c r="N42" i="26"/>
  <c r="M42" i="26"/>
  <c r="L42" i="26"/>
  <c r="K42" i="26"/>
  <c r="F42" i="26"/>
  <c r="C42" i="26"/>
  <c r="AB10" i="29" l="1"/>
  <c r="AB21" i="29"/>
  <c r="AB13" i="29"/>
  <c r="AB14" i="29"/>
  <c r="AB12" i="29"/>
  <c r="AB7" i="29"/>
  <c r="AB9" i="29"/>
  <c r="AB17" i="29"/>
  <c r="AB15" i="29"/>
  <c r="AB18" i="29"/>
  <c r="AB8" i="29"/>
  <c r="AB6" i="29"/>
  <c r="AB16" i="29"/>
  <c r="AB20" i="29"/>
  <c r="AB11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Met Office</author>
  </authors>
  <commentList>
    <comment ref="G39" authorId="0" shapeId="0" xr:uid="{18BEC1A1-4F7D-48ED-924D-7EAD5C8EC1C0}">
      <text>
        <r>
          <rPr>
            <sz val="9"/>
            <color indexed="81"/>
            <rFont val="Tahoma"/>
            <family val="2"/>
          </rPr>
          <t>Ensure the correct visibility was entered.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Met Office</author>
  </authors>
  <commentList>
    <comment ref="AH39" authorId="0" shapeId="0" xr:uid="{3DAA6F4D-A091-4179-ABEE-3DCC1FD6AC59}">
      <text>
        <r>
          <rPr>
            <sz val="9"/>
            <color indexed="81"/>
            <rFont val="Tahoma"/>
            <family val="2"/>
          </rPr>
          <t xml:space="preserve"> ro was noted but not recorded. </t>
        </r>
      </text>
    </comment>
  </commentList>
</comments>
</file>

<file path=xl/sharedStrings.xml><?xml version="1.0" encoding="utf-8"?>
<sst xmlns="http://schemas.openxmlformats.org/spreadsheetml/2006/main" count="2007" uniqueCount="242">
  <si>
    <t>Weather Indicator</t>
  </si>
  <si>
    <t>Dry Bulb</t>
  </si>
  <si>
    <t>Wet Bulb</t>
  </si>
  <si>
    <t>Vapour Pressure</t>
  </si>
  <si>
    <t>Relative humidity</t>
  </si>
  <si>
    <t>Dew Point</t>
  </si>
  <si>
    <t>Form</t>
  </si>
  <si>
    <t>Height</t>
  </si>
  <si>
    <t>REMARKS</t>
  </si>
  <si>
    <t>SUM</t>
  </si>
  <si>
    <t>MEANS</t>
  </si>
  <si>
    <t>TEMP AND HUMIDITY</t>
  </si>
  <si>
    <t>RAINFALL</t>
  </si>
  <si>
    <t>TEMPERATURE</t>
  </si>
  <si>
    <t>SUMS</t>
  </si>
  <si>
    <t xml:space="preserve">1/2(Max+Min) </t>
  </si>
  <si>
    <t>Amount</t>
  </si>
  <si>
    <t>Indicator</t>
  </si>
  <si>
    <t>DAY</t>
  </si>
  <si>
    <t>HOUR</t>
  </si>
  <si>
    <t>WIND</t>
  </si>
  <si>
    <t>PRESENT WEATHER</t>
  </si>
  <si>
    <t>PAST WEATHER</t>
  </si>
  <si>
    <t>Total cloud Amt.</t>
  </si>
  <si>
    <t>Wind indicator</t>
  </si>
  <si>
    <t>DIRECTION</t>
  </si>
  <si>
    <t>SPEED</t>
  </si>
  <si>
    <t>VISIBILITY</t>
  </si>
  <si>
    <t>SEA LEVEL 
PRESSURE</t>
  </si>
  <si>
    <t>CLOUDS</t>
  </si>
  <si>
    <r>
      <t>Form of C</t>
    </r>
    <r>
      <rPr>
        <vertAlign val="superscript"/>
        <sz val="8"/>
        <color rgb="FF00B050"/>
        <rFont val="Arial"/>
        <family val="2"/>
      </rPr>
      <t>L</t>
    </r>
  </si>
  <si>
    <r>
      <t>Form of C</t>
    </r>
    <r>
      <rPr>
        <vertAlign val="subscript"/>
        <sz val="8"/>
        <color rgb="FF00B050"/>
        <rFont val="Arial"/>
        <family val="2"/>
      </rPr>
      <t>M</t>
    </r>
  </si>
  <si>
    <r>
      <t>Form of C</t>
    </r>
    <r>
      <rPr>
        <vertAlign val="subscript"/>
        <sz val="8"/>
        <color rgb="FF00B050"/>
        <rFont val="Arial"/>
        <family val="2"/>
      </rPr>
      <t>H</t>
    </r>
  </si>
  <si>
    <r>
      <t>CLOUDS REPORTED BY 8N</t>
    </r>
    <r>
      <rPr>
        <b/>
        <vertAlign val="subscript"/>
        <sz val="10"/>
        <color theme="4" tint="-0.249977111117893"/>
        <rFont val="Arial"/>
        <family val="2"/>
      </rPr>
      <t>s</t>
    </r>
    <r>
      <rPr>
        <b/>
        <sz val="10"/>
        <color theme="4" tint="-0.249977111117893"/>
        <rFont val="Arial"/>
        <family val="2"/>
      </rPr>
      <t>Ch</t>
    </r>
    <r>
      <rPr>
        <b/>
        <vertAlign val="subscript"/>
        <sz val="10"/>
        <color theme="4" tint="-0.249977111117893"/>
        <rFont val="Arial"/>
        <family val="2"/>
      </rPr>
      <t>s</t>
    </r>
    <r>
      <rPr>
        <b/>
        <sz val="10"/>
        <color theme="4" tint="-0.249977111117893"/>
        <rFont val="Arial"/>
        <family val="2"/>
      </rPr>
      <t>h</t>
    </r>
    <r>
      <rPr>
        <b/>
        <vertAlign val="subscript"/>
        <sz val="10"/>
        <color theme="4" tint="-0.249977111117893"/>
        <rFont val="Arial"/>
        <family val="2"/>
      </rPr>
      <t>s</t>
    </r>
    <r>
      <rPr>
        <b/>
        <sz val="10"/>
        <color theme="4" tint="-0.249977111117893"/>
        <rFont val="Arial"/>
        <family val="2"/>
      </rPr>
      <t xml:space="preserve"> GROUPS</t>
    </r>
  </si>
  <si>
    <r>
      <t>Total amt. N</t>
    </r>
    <r>
      <rPr>
        <vertAlign val="subscript"/>
        <sz val="8"/>
        <color rgb="FF00B050"/>
        <rFont val="Arial"/>
        <family val="2"/>
      </rPr>
      <t>h</t>
    </r>
  </si>
  <si>
    <t>Max thrown back</t>
  </si>
  <si>
    <t>Min</t>
  </si>
  <si>
    <t>Total amt. for the day thrown back</t>
  </si>
  <si>
    <t>Lowest layer</t>
  </si>
  <si>
    <t>3/8 or more</t>
  </si>
  <si>
    <t>5/8 or more</t>
  </si>
  <si>
    <t>Cb cloud</t>
  </si>
  <si>
    <t>Day</t>
  </si>
  <si>
    <t>Time (LST)</t>
  </si>
  <si>
    <t>Wind Direction</t>
  </si>
  <si>
    <t>N</t>
  </si>
  <si>
    <t>NNE</t>
  </si>
  <si>
    <t>NE</t>
  </si>
  <si>
    <t>ENE</t>
  </si>
  <si>
    <t>E</t>
  </si>
  <si>
    <t>ESE</t>
  </si>
  <si>
    <t>SE</t>
  </si>
  <si>
    <t>SSE</t>
  </si>
  <si>
    <t>S</t>
  </si>
  <si>
    <t>SSW</t>
  </si>
  <si>
    <t>SW</t>
  </si>
  <si>
    <t>WSW</t>
  </si>
  <si>
    <t>W</t>
  </si>
  <si>
    <t>WNW</t>
  </si>
  <si>
    <t>NW</t>
  </si>
  <si>
    <t>NNW</t>
  </si>
  <si>
    <t>WD*10</t>
  </si>
  <si>
    <t>VRB spells</t>
  </si>
  <si>
    <t>Calm spells</t>
  </si>
  <si>
    <t>Count</t>
  </si>
  <si>
    <t>Total</t>
  </si>
  <si>
    <t>Grand Total Entries</t>
  </si>
  <si>
    <t>Direction</t>
  </si>
  <si>
    <t>Frequency</t>
  </si>
  <si>
    <t>%</t>
  </si>
  <si>
    <t>Average speed</t>
  </si>
  <si>
    <t>Wind Speed</t>
  </si>
  <si>
    <t>Only for ave speed</t>
  </si>
  <si>
    <t>Calm</t>
  </si>
  <si>
    <t>Variable</t>
  </si>
  <si>
    <t>Should equal 744 for months with 31 days, 720 for months with 30 days</t>
  </si>
  <si>
    <r>
      <rPr>
        <b/>
        <sz val="10"/>
        <rFont val="Arial"/>
        <family val="2"/>
      </rPr>
      <t>Meteorological Services, MBIA</t>
    </r>
    <r>
      <rPr>
        <b/>
        <i/>
        <sz val="10"/>
        <rFont val="Arial"/>
        <family val="2"/>
      </rPr>
      <t xml:space="preserve"> </t>
    </r>
    <r>
      <rPr>
        <b/>
        <i/>
        <sz val="10"/>
        <color rgb="FFFF0000"/>
        <rFont val="Arial"/>
        <family val="2"/>
      </rPr>
      <t>Windrose</t>
    </r>
  </si>
  <si>
    <t>Combined N (only for ave speed)</t>
  </si>
  <si>
    <t>Final Compilation</t>
  </si>
  <si>
    <r>
      <rPr>
        <b/>
        <sz val="9"/>
        <rFont val="Arial"/>
        <family val="2"/>
      </rPr>
      <t>Meteorological Services, MBIA</t>
    </r>
    <r>
      <rPr>
        <b/>
        <i/>
        <sz val="9"/>
        <rFont val="Arial"/>
        <family val="2"/>
      </rPr>
      <t xml:space="preserve"> </t>
    </r>
    <r>
      <rPr>
        <b/>
        <i/>
        <sz val="9"/>
        <color rgb="FFFF0000"/>
        <rFont val="Arial"/>
        <family val="2"/>
      </rPr>
      <t>Windrose</t>
    </r>
  </si>
  <si>
    <t>S.rule - Formula</t>
  </si>
  <si>
    <t>Formula</t>
  </si>
  <si>
    <t>#######</t>
  </si>
  <si>
    <t>*********</t>
  </si>
  <si>
    <t>&amp;&amp;&amp;&amp;&amp;&amp;</t>
  </si>
  <si>
    <t>hz</t>
  </si>
  <si>
    <t>pro ended @ 13:25 hz</t>
  </si>
  <si>
    <t>jp-nne hz</t>
  </si>
  <si>
    <t xml:space="preserve">hz jp-ne </t>
  </si>
  <si>
    <t>/</t>
  </si>
  <si>
    <t>jp-ne hz</t>
  </si>
  <si>
    <t>jp-se,s hz</t>
  </si>
  <si>
    <t>pro @  15:50-52</t>
  </si>
  <si>
    <t>jp-ne, tcu-ne</t>
  </si>
  <si>
    <t>pro @ 03:21-23</t>
  </si>
  <si>
    <t>halo seen</t>
  </si>
  <si>
    <t>jp-ne</t>
  </si>
  <si>
    <t>pro @ 06:08-10</t>
  </si>
  <si>
    <t>jp-se hz</t>
  </si>
  <si>
    <t>tcu-ne,e cb-s, jp-ne</t>
  </si>
  <si>
    <t>jp-ene</t>
  </si>
  <si>
    <t>tcu-ene, jp-ene</t>
  </si>
  <si>
    <t xml:space="preserve">pro @ 04:33-36 jp-ne </t>
  </si>
  <si>
    <t>pro @ 08:50-52 hz</t>
  </si>
  <si>
    <t>pro @ 09:05-08,35-pr 47-&gt; cont hz</t>
  </si>
  <si>
    <t>pr ended @ 10:20, ro @ 10:48-56</t>
  </si>
  <si>
    <t>ro @ 13:15-20, pr @ 13:30-&gt; cont hz</t>
  </si>
  <si>
    <t xml:space="preserve">pro cont </t>
  </si>
  <si>
    <t>pro @ 16:05-&gt;</t>
  </si>
  <si>
    <t>jp-n</t>
  </si>
  <si>
    <t>pro @ 02:06-12</t>
  </si>
  <si>
    <t>pro @ 06:48-cont ,cb-ne,</t>
  </si>
  <si>
    <t>pro cont @ 07:58, cb-se, tcu-alquads</t>
  </si>
  <si>
    <t>jp-ne, tcu-ne,s</t>
  </si>
  <si>
    <t>ro @ 09:02-56</t>
  </si>
  <si>
    <t>pro @ 07:16-25, jp-ne,se,s hz</t>
  </si>
  <si>
    <t>pro @ 10:51-&gt; cont</t>
  </si>
  <si>
    <t>pro ended @ 11:08</t>
  </si>
  <si>
    <t>pro @ 10:50-56</t>
  </si>
  <si>
    <t>jo-se hz</t>
  </si>
  <si>
    <t>cb-s hz</t>
  </si>
  <si>
    <t>pro @ 17:16-21 jp-ne hz</t>
  </si>
  <si>
    <t>pro @ 18:52-57</t>
  </si>
  <si>
    <t>hz jp-ne</t>
  </si>
  <si>
    <t>jp-n hz</t>
  </si>
  <si>
    <t>pro @ 02:22-30,43-48 jp-ne</t>
  </si>
  <si>
    <t>pro @ 03:05-16,48-&gt;</t>
  </si>
  <si>
    <t xml:space="preserve">pro @ 04:05,20-30 jp-e </t>
  </si>
  <si>
    <t>pro @ 05:21-&gt;</t>
  </si>
  <si>
    <t>pro @ 07:17-47 jp-e,s,w</t>
  </si>
  <si>
    <t>pro @ 09:43-&gt; cont</t>
  </si>
  <si>
    <t>pro @  15:50-58 hz</t>
  </si>
  <si>
    <t>pro @ 16:46-&gt;</t>
  </si>
  <si>
    <t>pro ended @ 17:05 hz</t>
  </si>
  <si>
    <t xml:space="preserve">pro @ 02:26-&gt; cont </t>
  </si>
  <si>
    <t>pro-ro @ 03:30-&gt; cont</t>
  </si>
  <si>
    <t>ro ended @ 04:14 hz</t>
  </si>
  <si>
    <t>pro @ 10:46-52</t>
  </si>
  <si>
    <t>pro @ 11:56</t>
  </si>
  <si>
    <t>pro cont @ 12:03, jp-ne</t>
  </si>
  <si>
    <t>jp-s hz</t>
  </si>
  <si>
    <t>halo seen hz</t>
  </si>
  <si>
    <t xml:space="preserve">jp-ne </t>
  </si>
  <si>
    <t>pro @ 03:46-&gt; hz</t>
  </si>
  <si>
    <t xml:space="preserve">pro -ro @04:10-18, jp-n  </t>
  </si>
  <si>
    <t>ro-05:28-&gt; cont hz</t>
  </si>
  <si>
    <t>ro-roro @ 06:28-&gt;</t>
  </si>
  <si>
    <t>roro cont , ended @ 38</t>
  </si>
  <si>
    <t>pro @ 08: 48-&gt; cont hz</t>
  </si>
  <si>
    <t>pro ended @ 35 ,pro @ 09:53-&gt; cont</t>
  </si>
  <si>
    <t>pro ended @ 10:38</t>
  </si>
  <si>
    <t>jp-nw</t>
  </si>
  <si>
    <t>jp-ne,ese,w-nw hz</t>
  </si>
  <si>
    <t>pro @ 13:32-&gt; cont hz</t>
  </si>
  <si>
    <t>pro changed to ro @ 14:05-&gt; cont</t>
  </si>
  <si>
    <t>ro change to roro @ 15:05-&gt;ended @ 27</t>
  </si>
  <si>
    <t>jp-s</t>
  </si>
  <si>
    <t>pro @ 17:18-30, jp-s</t>
  </si>
  <si>
    <t>jp-n,s,ne, pro @ 18:52-58</t>
  </si>
  <si>
    <t>pro @ 02:10-15</t>
  </si>
  <si>
    <t>pro @ 03:36- PR @ 38-&gt;</t>
  </si>
  <si>
    <t>PR cont to pro @ 04:05-&gt;25</t>
  </si>
  <si>
    <t>pro @ 06:10-19,30-36</t>
  </si>
  <si>
    <t xml:space="preserve">pro @ 08:20-54 jp-ne </t>
  </si>
  <si>
    <t>pro @ 09:15-17 jp-n,e</t>
  </si>
  <si>
    <t>pro @ 11:10-ro @ 30-&gt; cont</t>
  </si>
  <si>
    <t>ro ended @ 12:10</t>
  </si>
  <si>
    <t>tcu-ne,s cb top-s</t>
  </si>
  <si>
    <t>//</t>
  </si>
  <si>
    <t>cb-s</t>
  </si>
  <si>
    <t>pro @ 04:53-&gt; cont</t>
  </si>
  <si>
    <t>pro ended @ 05:28</t>
  </si>
  <si>
    <t>pro @ 11:24-41, jp-ne,n hz</t>
  </si>
  <si>
    <t>pro @ 12:10-pr @ 12:55-&gt; ltg-12:26 hz</t>
  </si>
  <si>
    <t>pro ended @ 13:08, pro @ 13:15-&gt; cont cb-s, t/ltg-13:27 hz</t>
  </si>
  <si>
    <t>pro ended @ 14:12, cb-nne,s jp-ne</t>
  </si>
  <si>
    <t>tcu-s hz</t>
  </si>
  <si>
    <t xml:space="preserve">pro @ 00:42-&gt; cont </t>
  </si>
  <si>
    <t>pro @ 01:26, pro @ 01:40-&gt; cont</t>
  </si>
  <si>
    <t>pro ended @ 02:21, jp-s</t>
  </si>
  <si>
    <t>PR @ 03:25-32 jp-n</t>
  </si>
  <si>
    <t>jp-n , ne</t>
  </si>
  <si>
    <t>pro @ 05:08-10,27-35</t>
  </si>
  <si>
    <t>pro cont  @ 06:12,34-35</t>
  </si>
  <si>
    <t>pr @ 10:30-34,38--39</t>
  </si>
  <si>
    <t>pro @ 12:44-48 jp-s</t>
  </si>
  <si>
    <t>pro @ 13:12-14</t>
  </si>
  <si>
    <t>pro @ 15:01-04,52-53 hz</t>
  </si>
  <si>
    <t>jp-sw hz</t>
  </si>
  <si>
    <t xml:space="preserve">pro @ 03:40-52 </t>
  </si>
  <si>
    <t>pro @ 05:46-&gt; cont</t>
  </si>
  <si>
    <t xml:space="preserve">pro changed to ro @ 06:46-&gt; cont </t>
  </si>
  <si>
    <t>ro-&gt; r @ 07:12-&gt; roro @ 46-&gt; cont</t>
  </si>
  <si>
    <t>roro ended @ 09:16, jp-s,ne</t>
  </si>
  <si>
    <t>pro @ 10:25-41</t>
  </si>
  <si>
    <t>pro @ 11:25 changed to ro @ 43-&gt;58</t>
  </si>
  <si>
    <t>pro @ 12:08-&gt;pr @ 18-&gt; pro 26-&gt; ro @ 40-&gt;</t>
  </si>
  <si>
    <t>ro ended @ 13:28</t>
  </si>
  <si>
    <t>pro @ 03:01-05,39-43 jp-n hz</t>
  </si>
  <si>
    <t>pro @05:21-pr @ 27-&gt;cont hz</t>
  </si>
  <si>
    <t>pro @ 06:35-&gt; cont</t>
  </si>
  <si>
    <t>pro cont to ro @ 07:17</t>
  </si>
  <si>
    <t>roro cont hz</t>
  </si>
  <si>
    <t>roro cont</t>
  </si>
  <si>
    <t>roro cont ended @ 10:25</t>
  </si>
  <si>
    <t>roro ended @ 11:25, ro @ 48-&gt; cont</t>
  </si>
  <si>
    <t>ro ended @ 12:11, pro @ 11-&gt; cont</t>
  </si>
  <si>
    <t>pro @ 13:05</t>
  </si>
  <si>
    <t>cb-ne hz</t>
  </si>
  <si>
    <t>pro @ 15:40-&gt; cont hz</t>
  </si>
  <si>
    <t>pro ended @ 16:32 jp-ne hz</t>
  </si>
  <si>
    <t>pro cont to 23:32</t>
  </si>
  <si>
    <t>pro @ 00:47-&gt;</t>
  </si>
  <si>
    <t>pro cont 01:25</t>
  </si>
  <si>
    <t>pro @ 03:17-25</t>
  </si>
  <si>
    <t>ro @ 06:50-57</t>
  </si>
  <si>
    <t>jp-n,nw,se, tcu-alquads</t>
  </si>
  <si>
    <t>pro @ 16:11-13 jp-ne</t>
  </si>
  <si>
    <t>jp-ene,ese</t>
  </si>
  <si>
    <t>pro @ 18:01-08</t>
  </si>
  <si>
    <t>pro @ 19:07-10</t>
  </si>
  <si>
    <t>pro @ 22:56-59</t>
  </si>
  <si>
    <t>pro @ 21:43-52 jp-ne,n</t>
  </si>
  <si>
    <t>pro @ 19:12-17 hz</t>
  </si>
  <si>
    <t>pro @ 20:38-52 hz</t>
  </si>
  <si>
    <t>Pr @ 22:42-&gt; pro @ 4-&gt;</t>
  </si>
  <si>
    <t xml:space="preserve">jp-ese </t>
  </si>
  <si>
    <t>Checked by VBA: 10:16:24 AM 3/17/2020</t>
  </si>
  <si>
    <t>Checked by VBA: 10:16:25 AM 3/17/2020</t>
  </si>
  <si>
    <t>Checked by VBA: 10:16:26 AM 3/17/2020</t>
  </si>
  <si>
    <t>Checked by VBA: 10:16:27 AM 3/17/2020</t>
  </si>
  <si>
    <t>Checked by VBA: 10:16:28 AM 3/17/2020</t>
  </si>
  <si>
    <t>Checked by VBA: 10:16:29 AM 3/17/2020</t>
  </si>
  <si>
    <t>Checked by VBA: 10:16:30 AM 3/17/2020</t>
  </si>
  <si>
    <t>Checked by VBA: 10:16:31 AM 3/17/2020</t>
  </si>
  <si>
    <t>Checked by VBA: 10:16:32 AM 3/17/2020</t>
  </si>
  <si>
    <t>Checked by VBA: 10:16:33 AM 3/17/2020</t>
  </si>
  <si>
    <t>Checked by VBA: 10:16:34 AM 3/17/2020</t>
  </si>
  <si>
    <t>Checked by VBA: 10:16:35 AM 3/17/2020</t>
  </si>
  <si>
    <t>hz; ro ---&gt; roro 17:05-17:30</t>
  </si>
  <si>
    <t>slt hz</t>
  </si>
  <si>
    <t>Checked by: F. Frank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</si>
</sst>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"/>
    <numFmt numFmtId="165" formatCode="0000"/>
    <numFmt numFmtId="166" formatCode="000"/>
    <numFmt numFmtId="167" formatCode="0.0"/>
    <numFmt numFmtId="168" formatCode="h:mm;@"/>
    <numFmt numFmtId="169" formatCode="0.0%"/>
  </numFmts>
  <fonts count="31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color theme="4" tint="-0.249977111117893"/>
      <name val="Arial"/>
      <family val="2"/>
    </font>
    <font>
      <sz val="8"/>
      <color rgb="FFFF0000"/>
      <name val="Arial"/>
      <family val="2"/>
    </font>
    <font>
      <b/>
      <sz val="10"/>
      <color theme="4" tint="-0.249977111117893"/>
      <name val="Arial"/>
      <family val="2"/>
    </font>
    <font>
      <b/>
      <sz val="10"/>
      <color rgb="FF00B050"/>
      <name val="Arial"/>
      <family val="2"/>
    </font>
    <font>
      <sz val="8"/>
      <color rgb="FF00B050"/>
      <name val="Arial"/>
      <family val="2"/>
    </font>
    <font>
      <vertAlign val="superscript"/>
      <sz val="8"/>
      <color rgb="FF00B050"/>
      <name val="Arial"/>
      <family val="2"/>
    </font>
    <font>
      <vertAlign val="subscript"/>
      <sz val="8"/>
      <color rgb="FF00B050"/>
      <name val="Arial"/>
      <family val="2"/>
    </font>
    <font>
      <b/>
      <vertAlign val="subscript"/>
      <sz val="10"/>
      <color theme="4" tint="-0.249977111117893"/>
      <name val="Arial"/>
      <family val="2"/>
    </font>
    <font>
      <b/>
      <sz val="10"/>
      <color theme="9" tint="-0.249977111117893"/>
      <name val="Arial"/>
      <family val="2"/>
    </font>
    <font>
      <sz val="8"/>
      <color theme="9" tint="-0.249977111117893"/>
      <name val="Arial"/>
      <family val="2"/>
    </font>
    <font>
      <b/>
      <sz val="10"/>
      <color rgb="FFFF0000"/>
      <name val="Arial"/>
      <family val="2"/>
    </font>
    <font>
      <sz val="9"/>
      <color rgb="FFFF0000"/>
      <name val="Arial"/>
      <family val="2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i/>
      <sz val="10"/>
      <color rgb="FFFF0000"/>
      <name val="Arial"/>
      <family val="2"/>
    </font>
    <font>
      <b/>
      <sz val="22"/>
      <name val="Cambria"/>
      <family val="1"/>
      <scheme val="major"/>
    </font>
    <font>
      <b/>
      <sz val="10"/>
      <name val="Cambria"/>
      <family val="1"/>
      <scheme val="major"/>
    </font>
    <font>
      <sz val="10"/>
      <name val="Cambria"/>
      <family val="1"/>
      <scheme val="major"/>
    </font>
    <font>
      <b/>
      <i/>
      <sz val="9"/>
      <name val="Arial"/>
      <family val="2"/>
    </font>
    <font>
      <b/>
      <sz val="9"/>
      <name val="Arial"/>
      <family val="2"/>
    </font>
    <font>
      <b/>
      <i/>
      <sz val="9"/>
      <color rgb="FFFF0000"/>
      <name val="Arial"/>
      <family val="2"/>
    </font>
    <font>
      <sz val="9"/>
      <color indexed="81"/>
      <name val="Tahoma"/>
      <family val="2"/>
    </font>
    <font>
      <sz val="10"/>
      <color rgb="FF00B05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4" fillId="0" borderId="0" xfId="0" applyFont="1"/>
    <xf numFmtId="165" fontId="0" fillId="0" borderId="0" xfId="0" applyNumberFormat="1"/>
    <xf numFmtId="0" fontId="1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5" fillId="0" borderId="3" xfId="0" applyFont="1" applyBorder="1" applyAlignment="1">
      <alignment vertical="center" textRotation="90"/>
    </xf>
    <xf numFmtId="0" fontId="5" fillId="0" borderId="3" xfId="0" applyFont="1" applyBorder="1" applyAlignment="1">
      <alignment vertical="center"/>
    </xf>
    <xf numFmtId="0" fontId="0" fillId="0" borderId="0" xfId="0" applyAlignment="1">
      <alignment horizontal="center"/>
    </xf>
    <xf numFmtId="0" fontId="18" fillId="0" borderId="0" xfId="0" applyFont="1"/>
    <xf numFmtId="166" fontId="0" fillId="0" borderId="0" xfId="0" applyNumberFormat="1" applyAlignment="1">
      <alignment horizontal="center"/>
    </xf>
    <xf numFmtId="164" fontId="1" fillId="0" borderId="0" xfId="0" applyNumberFormat="1" applyFont="1"/>
    <xf numFmtId="167" fontId="0" fillId="0" borderId="0" xfId="0" applyNumberFormat="1" applyAlignment="1">
      <alignment horizontal="center"/>
    </xf>
    <xf numFmtId="167" fontId="4" fillId="0" borderId="0" xfId="0" applyNumberFormat="1" applyFont="1" applyAlignment="1">
      <alignment horizontal="center"/>
    </xf>
    <xf numFmtId="167" fontId="0" fillId="0" borderId="0" xfId="0" applyNumberFormat="1"/>
    <xf numFmtId="1" fontId="4" fillId="0" borderId="0" xfId="0" applyNumberFormat="1" applyFont="1"/>
    <xf numFmtId="164" fontId="4" fillId="0" borderId="0" xfId="0" applyNumberFormat="1" applyFont="1"/>
    <xf numFmtId="0" fontId="4" fillId="0" borderId="0" xfId="0" applyFont="1" applyAlignment="1">
      <alignment wrapText="1"/>
    </xf>
    <xf numFmtId="165" fontId="4" fillId="0" borderId="0" xfId="0" applyNumberFormat="1" applyFont="1"/>
    <xf numFmtId="1" fontId="1" fillId="0" borderId="0" xfId="0" applyNumberFormat="1" applyFont="1"/>
    <xf numFmtId="165" fontId="1" fillId="0" borderId="0" xfId="0" applyNumberFormat="1" applyFont="1"/>
    <xf numFmtId="164" fontId="1" fillId="0" borderId="14" xfId="0" applyNumberFormat="1" applyFont="1" applyBorder="1"/>
    <xf numFmtId="0" fontId="1" fillId="0" borderId="14" xfId="0" applyFont="1" applyBorder="1"/>
    <xf numFmtId="1" fontId="1" fillId="0" borderId="14" xfId="0" applyNumberFormat="1" applyFont="1" applyBorder="1"/>
    <xf numFmtId="0" fontId="1" fillId="0" borderId="14" xfId="0" applyFont="1" applyBorder="1" applyAlignment="1">
      <alignment wrapText="1"/>
    </xf>
    <xf numFmtId="165" fontId="1" fillId="0" borderId="14" xfId="0" applyNumberFormat="1" applyFont="1" applyBorder="1"/>
    <xf numFmtId="20" fontId="0" fillId="0" borderId="0" xfId="0" applyNumberFormat="1"/>
    <xf numFmtId="0" fontId="21" fillId="0" borderId="16" xfId="0" applyFont="1" applyBorder="1" applyAlignment="1">
      <alignment horizontal="center"/>
    </xf>
    <xf numFmtId="0" fontId="21" fillId="0" borderId="17" xfId="0" applyFont="1" applyBorder="1" applyAlignment="1">
      <alignment horizontal="center" wrapText="1"/>
    </xf>
    <xf numFmtId="0" fontId="21" fillId="0" borderId="17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2" borderId="22" xfId="0" applyFill="1" applyBorder="1"/>
    <xf numFmtId="0" fontId="0" fillId="0" borderId="19" xfId="0" applyBorder="1" applyAlignment="1">
      <alignment horizontal="center"/>
    </xf>
    <xf numFmtId="0" fontId="1" fillId="0" borderId="19" xfId="0" applyFont="1" applyBorder="1"/>
    <xf numFmtId="169" fontId="0" fillId="0" borderId="0" xfId="0" applyNumberFormat="1"/>
    <xf numFmtId="0" fontId="4" fillId="0" borderId="0" xfId="0" applyFont="1" applyAlignment="1">
      <alignment horizontal="center"/>
    </xf>
    <xf numFmtId="0" fontId="24" fillId="0" borderId="19" xfId="0" applyFont="1" applyBorder="1" applyAlignment="1">
      <alignment horizontal="center"/>
    </xf>
    <xf numFmtId="0" fontId="24" fillId="0" borderId="19" xfId="0" applyFont="1" applyBorder="1" applyAlignment="1">
      <alignment horizontal="center" wrapText="1"/>
    </xf>
    <xf numFmtId="0" fontId="25" fillId="0" borderId="23" xfId="0" applyFont="1" applyBorder="1" applyAlignment="1">
      <alignment horizontal="center"/>
    </xf>
    <xf numFmtId="0" fontId="25" fillId="0" borderId="0" xfId="0" applyFont="1" applyAlignment="1">
      <alignment horizontal="center"/>
    </xf>
    <xf numFmtId="169" fontId="25" fillId="0" borderId="0" xfId="0" applyNumberFormat="1" applyFont="1" applyAlignment="1">
      <alignment horizontal="center"/>
    </xf>
    <xf numFmtId="1" fontId="25" fillId="2" borderId="24" xfId="0" applyNumberFormat="1" applyFont="1" applyFill="1" applyBorder="1" applyAlignment="1">
      <alignment horizontal="center"/>
    </xf>
    <xf numFmtId="1" fontId="25" fillId="0" borderId="24" xfId="0" applyNumberFormat="1" applyFont="1" applyBorder="1" applyAlignment="1">
      <alignment horizontal="center"/>
    </xf>
    <xf numFmtId="0" fontId="25" fillId="2" borderId="20" xfId="0" applyFont="1" applyFill="1" applyBorder="1" applyAlignment="1">
      <alignment horizontal="center"/>
    </xf>
    <xf numFmtId="1" fontId="25" fillId="2" borderId="22" xfId="0" applyNumberFormat="1" applyFont="1" applyFill="1" applyBorder="1" applyAlignment="1">
      <alignment horizontal="center"/>
    </xf>
    <xf numFmtId="1" fontId="25" fillId="2" borderId="26" xfId="0" applyNumberFormat="1" applyFont="1" applyFill="1" applyBorder="1" applyAlignment="1">
      <alignment horizontal="center"/>
    </xf>
    <xf numFmtId="0" fontId="25" fillId="3" borderId="20" xfId="0" applyFont="1" applyFill="1" applyBorder="1" applyAlignment="1">
      <alignment horizontal="center"/>
    </xf>
    <xf numFmtId="0" fontId="25" fillId="3" borderId="21" xfId="0" applyFont="1" applyFill="1" applyBorder="1" applyAlignment="1">
      <alignment horizontal="center"/>
    </xf>
    <xf numFmtId="169" fontId="25" fillId="3" borderId="21" xfId="0" applyNumberFormat="1" applyFont="1" applyFill="1" applyBorder="1" applyAlignment="1">
      <alignment horizontal="center" vertical="center"/>
    </xf>
    <xf numFmtId="1" fontId="25" fillId="3" borderId="22" xfId="0" applyNumberFormat="1" applyFont="1" applyFill="1" applyBorder="1"/>
    <xf numFmtId="0" fontId="25" fillId="3" borderId="25" xfId="0" applyFont="1" applyFill="1" applyBorder="1" applyAlignment="1">
      <alignment horizontal="center"/>
    </xf>
    <xf numFmtId="0" fontId="25" fillId="3" borderId="14" xfId="0" applyFont="1" applyFill="1" applyBorder="1" applyAlignment="1">
      <alignment horizontal="center"/>
    </xf>
    <xf numFmtId="169" fontId="25" fillId="3" borderId="14" xfId="0" applyNumberFormat="1" applyFont="1" applyFill="1" applyBorder="1" applyAlignment="1">
      <alignment horizontal="center" vertical="center"/>
    </xf>
    <xf numFmtId="0" fontId="25" fillId="3" borderId="26" xfId="0" applyFont="1" applyFill="1" applyBorder="1"/>
    <xf numFmtId="0" fontId="24" fillId="0" borderId="25" xfId="0" applyFont="1" applyBorder="1" applyAlignment="1">
      <alignment horizontal="center"/>
    </xf>
    <xf numFmtId="0" fontId="24" fillId="0" borderId="14" xfId="0" applyFont="1" applyBorder="1"/>
    <xf numFmtId="169" fontId="24" fillId="0" borderId="14" xfId="0" applyNumberFormat="1" applyFont="1" applyBorder="1" applyAlignment="1">
      <alignment horizontal="center"/>
    </xf>
    <xf numFmtId="0" fontId="25" fillId="0" borderId="26" xfId="0" applyFont="1" applyBorder="1"/>
    <xf numFmtId="0" fontId="17" fillId="0" borderId="0" xfId="0" applyFont="1"/>
    <xf numFmtId="0" fontId="16" fillId="0" borderId="0" xfId="0" applyFont="1"/>
    <xf numFmtId="0" fontId="19" fillId="0" borderId="0" xfId="0" applyFont="1"/>
    <xf numFmtId="1" fontId="0" fillId="0" borderId="0" xfId="0" applyNumberFormat="1"/>
    <xf numFmtId="1" fontId="30" fillId="0" borderId="0" xfId="0" applyNumberFormat="1" applyFont="1"/>
    <xf numFmtId="164" fontId="30" fillId="0" borderId="0" xfId="0" applyNumberFormat="1" applyFont="1"/>
    <xf numFmtId="165" fontId="30" fillId="0" borderId="0" xfId="0" applyNumberFormat="1" applyFont="1"/>
    <xf numFmtId="0" fontId="30" fillId="0" borderId="0" xfId="0" applyFont="1"/>
    <xf numFmtId="0" fontId="30" fillId="0" borderId="0" xfId="0" applyFont="1" applyAlignment="1">
      <alignment wrapText="1"/>
    </xf>
    <xf numFmtId="0" fontId="27" fillId="0" borderId="27" xfId="0" applyFont="1" applyBorder="1" applyAlignment="1">
      <alignment horizontal="center"/>
    </xf>
    <xf numFmtId="0" fontId="27" fillId="0" borderId="12" xfId="0" applyFont="1" applyBorder="1" applyAlignment="1">
      <alignment horizontal="center"/>
    </xf>
    <xf numFmtId="0" fontId="27" fillId="0" borderId="13" xfId="0" applyFont="1" applyBorder="1" applyAlignment="1">
      <alignment horizontal="center"/>
    </xf>
    <xf numFmtId="0" fontId="4" fillId="0" borderId="27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textRotation="90"/>
    </xf>
    <xf numFmtId="0" fontId="14" fillId="0" borderId="3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 shrinkToFit="1"/>
    </xf>
    <xf numFmtId="0" fontId="14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8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20" fillId="0" borderId="1" xfId="0" applyFont="1" applyBorder="1" applyAlignment="1">
      <alignment horizontal="center" vertical="center" wrapText="1"/>
    </xf>
    <xf numFmtId="0" fontId="30" fillId="0" borderId="0" xfId="0" applyFont="1" applyAlignment="1">
      <alignment horizontal="left"/>
    </xf>
    <xf numFmtId="0" fontId="30" fillId="0" borderId="8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wrapText="1"/>
    </xf>
    <xf numFmtId="0" fontId="26" fillId="0" borderId="20" xfId="0" applyFont="1" applyBorder="1" applyAlignment="1">
      <alignment horizontal="center" wrapText="1"/>
    </xf>
    <xf numFmtId="0" fontId="26" fillId="0" borderId="21" xfId="0" applyFont="1" applyBorder="1" applyAlignment="1">
      <alignment horizontal="center" wrapText="1"/>
    </xf>
    <xf numFmtId="0" fontId="26" fillId="0" borderId="22" xfId="0" applyFont="1" applyBorder="1" applyAlignment="1">
      <alignment horizontal="center" wrapText="1"/>
    </xf>
    <xf numFmtId="0" fontId="26" fillId="0" borderId="25" xfId="0" applyFont="1" applyBorder="1" applyAlignment="1">
      <alignment horizontal="center" wrapText="1"/>
    </xf>
    <xf numFmtId="0" fontId="26" fillId="0" borderId="14" xfId="0" applyFont="1" applyBorder="1" applyAlignment="1">
      <alignment horizontal="center" wrapText="1"/>
    </xf>
    <xf numFmtId="0" fontId="26" fillId="0" borderId="26" xfId="0" applyFont="1" applyBorder="1" applyAlignment="1">
      <alignment horizontal="center" wrapText="1"/>
    </xf>
    <xf numFmtId="0" fontId="25" fillId="2" borderId="21" xfId="0" applyFont="1" applyFill="1" applyBorder="1" applyAlignment="1">
      <alignment horizontal="center" wrapText="1"/>
    </xf>
    <xf numFmtId="0" fontId="25" fillId="2" borderId="25" xfId="0" applyFont="1" applyFill="1" applyBorder="1" applyAlignment="1">
      <alignment horizontal="center"/>
    </xf>
    <xf numFmtId="0" fontId="25" fillId="2" borderId="14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23" fillId="4" borderId="16" xfId="0" applyFont="1" applyFill="1" applyBorder="1" applyAlignment="1">
      <alignment horizontal="center"/>
    </xf>
    <xf numFmtId="0" fontId="23" fillId="4" borderId="17" xfId="0" applyFont="1" applyFill="1" applyBorder="1" applyAlignment="1">
      <alignment horizontal="center"/>
    </xf>
    <xf numFmtId="0" fontId="23" fillId="4" borderId="18" xfId="0" applyFont="1" applyFill="1" applyBorder="1" applyAlignment="1">
      <alignment horizontal="center"/>
    </xf>
    <xf numFmtId="0" fontId="21" fillId="2" borderId="23" xfId="0" applyFont="1" applyFill="1" applyBorder="1" applyAlignment="1">
      <alignment horizontal="center" wrapText="1"/>
    </xf>
    <xf numFmtId="0" fontId="21" fillId="2" borderId="0" xfId="0" applyFont="1" applyFill="1" applyAlignment="1">
      <alignment horizontal="center" wrapText="1"/>
    </xf>
    <xf numFmtId="0" fontId="1" fillId="0" borderId="1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196850393700793E-2"/>
          <c:y val="2.8252405949256338E-2"/>
          <c:w val="0.52696172353455828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strRef>
              <c:f>'CL2'!$B$8</c:f>
              <c:strCache>
                <c:ptCount val="1"/>
                <c:pt idx="0">
                  <c:v>Total amt. for the day thrown back</c:v>
                </c:pt>
              </c:strCache>
            </c:strRef>
          </c:tx>
          <c:marker>
            <c:symbol val="none"/>
          </c:marker>
          <c:val>
            <c:numRef>
              <c:f>'CL2'!$B$9:$B$40</c:f>
              <c:numCache>
                <c:formatCode>0.0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DC-47FA-814C-8CED54061B28}"/>
            </c:ext>
          </c:extLst>
        </c:ser>
        <c:ser>
          <c:idx val="1"/>
          <c:order val="1"/>
          <c:tx>
            <c:strRef>
              <c:f>'CL2'!$C$8</c:f>
              <c:strCache>
                <c:ptCount val="1"/>
                <c:pt idx="0">
                  <c:v>Max thrown back</c:v>
                </c:pt>
              </c:strCache>
            </c:strRef>
          </c:tx>
          <c:marker>
            <c:symbol val="none"/>
          </c:marker>
          <c:val>
            <c:numRef>
              <c:f>'CL2'!$C$9:$C$40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DC-47FA-814C-8CED54061B28}"/>
            </c:ext>
          </c:extLst>
        </c:ser>
        <c:ser>
          <c:idx val="2"/>
          <c:order val="2"/>
          <c:tx>
            <c:strRef>
              <c:f>'CL2'!$D$8</c:f>
              <c:strCache>
                <c:ptCount val="1"/>
                <c:pt idx="0">
                  <c:v>Min</c:v>
                </c:pt>
              </c:strCache>
            </c:strRef>
          </c:tx>
          <c:marker>
            <c:symbol val="none"/>
          </c:marker>
          <c:val>
            <c:numRef>
              <c:f>'CL2'!$D$9:$D$40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DC-47FA-814C-8CED54061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104960"/>
        <c:axId val="96726976"/>
      </c:lineChart>
      <c:catAx>
        <c:axId val="136104960"/>
        <c:scaling>
          <c:orientation val="minMax"/>
        </c:scaling>
        <c:delete val="0"/>
        <c:axPos val="b"/>
        <c:majorTickMark val="out"/>
        <c:minorTickMark val="none"/>
        <c:tickLblPos val="nextTo"/>
        <c:crossAx val="96726976"/>
        <c:crosses val="autoZero"/>
        <c:auto val="1"/>
        <c:lblAlgn val="ctr"/>
        <c:lblOffset val="100"/>
        <c:noMultiLvlLbl val="0"/>
      </c:catAx>
      <c:valAx>
        <c:axId val="96726976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1361049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Meteorological Services, MBIA </a:t>
            </a:r>
          </a:p>
          <a:p>
            <a:pPr>
              <a:defRPr/>
            </a:pPr>
            <a:r>
              <a:rPr lang="en-US"/>
              <a:t>Wind rose: April, 2004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>
              <a:noFill/>
            </a:ln>
          </c:spPr>
          <c:marker>
            <c:symbol val="diamond"/>
            <c:size val="7"/>
            <c:spPr>
              <a:ln>
                <a:gradFill>
                  <a:gsLst>
                    <a:gs pos="0">
                      <a:schemeClr val="accent1">
                        <a:tint val="66000"/>
                        <a:satMod val="160000"/>
                      </a:schemeClr>
                    </a:gs>
                    <a:gs pos="50000">
                      <a:schemeClr val="accent1">
                        <a:tint val="44500"/>
                        <a:satMod val="160000"/>
                      </a:schemeClr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5400000" scaled="0"/>
                </a:gradFill>
              </a:ln>
            </c:spPr>
          </c:marker>
          <c:cat>
            <c:strRef>
              <c:f>'Wind rose'!$Z$6:$Z$21</c:f>
              <c:strCache>
                <c:ptCount val="16"/>
                <c:pt idx="0">
                  <c:v>N</c:v>
                </c:pt>
                <c:pt idx="1">
                  <c:v>NNE</c:v>
                </c:pt>
                <c:pt idx="2">
                  <c:v>NE</c:v>
                </c:pt>
                <c:pt idx="3">
                  <c:v>ENE</c:v>
                </c:pt>
                <c:pt idx="4">
                  <c:v>E</c:v>
                </c:pt>
                <c:pt idx="5">
                  <c:v>ESE</c:v>
                </c:pt>
                <c:pt idx="6">
                  <c:v>SE</c:v>
                </c:pt>
                <c:pt idx="7">
                  <c:v>SSE</c:v>
                </c:pt>
                <c:pt idx="8">
                  <c:v>S</c:v>
                </c:pt>
                <c:pt idx="9">
                  <c:v>SSW</c:v>
                </c:pt>
                <c:pt idx="10">
                  <c:v>SW</c:v>
                </c:pt>
                <c:pt idx="11">
                  <c:v>WSW</c:v>
                </c:pt>
                <c:pt idx="12">
                  <c:v>W</c:v>
                </c:pt>
                <c:pt idx="13">
                  <c:v>WNW</c:v>
                </c:pt>
                <c:pt idx="14">
                  <c:v>NW</c:v>
                </c:pt>
                <c:pt idx="15">
                  <c:v>NNW</c:v>
                </c:pt>
              </c:strCache>
            </c:strRef>
          </c:cat>
          <c:val>
            <c:numRef>
              <c:f>'Wind rose'!$AB$6:$AB$21</c:f>
              <c:numCache>
                <c:formatCode>0.0%</c:formatCode>
                <c:ptCount val="16"/>
                <c:pt idx="0">
                  <c:v>2.7777777777777779E-3</c:v>
                </c:pt>
                <c:pt idx="1">
                  <c:v>1.5277777777777777E-2</c:v>
                </c:pt>
                <c:pt idx="2">
                  <c:v>3.6111111111111108E-2</c:v>
                </c:pt>
                <c:pt idx="3">
                  <c:v>0.18194444444444444</c:v>
                </c:pt>
                <c:pt idx="4">
                  <c:v>0.47222222222222221</c:v>
                </c:pt>
                <c:pt idx="5">
                  <c:v>0.15555555555555556</c:v>
                </c:pt>
                <c:pt idx="6">
                  <c:v>1.5277777777777777E-2</c:v>
                </c:pt>
                <c:pt idx="7">
                  <c:v>1.3888888888888889E-3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1.3888888888888889E-3</c:v>
                </c:pt>
                <c:pt idx="12">
                  <c:v>1.3888888888888889E-3</c:v>
                </c:pt>
                <c:pt idx="13">
                  <c:v>0</c:v>
                </c:pt>
                <c:pt idx="14">
                  <c:v>1.3888888888888889E-3</c:v>
                </c:pt>
                <c:pt idx="15">
                  <c:v>1.3888888888888889E-3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C-4003-A63D-B1952283A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15040"/>
        <c:axId val="99008512"/>
      </c:radarChart>
      <c:catAx>
        <c:axId val="89815040"/>
        <c:scaling>
          <c:orientation val="minMax"/>
        </c:scaling>
        <c:delete val="0"/>
        <c:axPos val="b"/>
        <c:majorGridlines/>
        <c:numFmt formatCode="General" sourceLinked="0"/>
        <c:majorTickMark val="none"/>
        <c:minorTickMark val="none"/>
        <c:tickLblPos val="nextTo"/>
        <c:crossAx val="99008512"/>
        <c:crosses val="autoZero"/>
        <c:auto val="1"/>
        <c:lblAlgn val="ctr"/>
        <c:lblOffset val="100"/>
        <c:noMultiLvlLbl val="0"/>
      </c:catAx>
      <c:valAx>
        <c:axId val="9900851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89815040"/>
        <c:crosses val="autoZero"/>
        <c:crossBetween val="between"/>
      </c:valAx>
    </c:plotArea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  <a:ln>
      <a:noFill/>
    </a:ln>
    <a:effectLst/>
  </c:spPr>
  <c:txPr>
    <a:bodyPr/>
    <a:lstStyle/>
    <a:p>
      <a:pPr>
        <a:defRPr>
          <a:latin typeface="+mn-lt"/>
        </a:defRPr>
      </a:pPr>
      <a:endParaRPr lang="en-GD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7620</xdr:rowOff>
    </xdr:from>
    <xdr:to>
      <xdr:col>29</xdr:col>
      <xdr:colOff>7620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66700" y="175260"/>
          <a:ext cx="7437120" cy="62484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METEOROLOGICAL OFFICE, MAURICE BISHOP INTERNATIONAL AIRPORT</a:t>
          </a:r>
          <a:br>
            <a:rPr lang="en-US" sz="1000" b="1" u="none">
              <a:latin typeface="Arial" pitchFamily="34" charset="0"/>
              <a:cs typeface="Arial" pitchFamily="34" charset="0"/>
            </a:rPr>
          </a:br>
          <a:r>
            <a:rPr lang="en-US" sz="1000" b="1" u="none">
              <a:latin typeface="Arial" pitchFamily="34" charset="0"/>
              <a:cs typeface="Arial" pitchFamily="34" charset="0"/>
            </a:rPr>
            <a:t>STATION NUMBER               		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Return of Observation at Fixed Hours</a:t>
          </a:r>
          <a:r>
            <a:rPr lang="en-US" sz="1000" b="1" u="none">
              <a:latin typeface="Arial" pitchFamily="34" charset="0"/>
              <a:cs typeface="Arial" pitchFamily="34" charset="0"/>
            </a:rPr>
            <a:t>                                                              </a:t>
          </a:r>
          <a:br>
            <a:rPr lang="en-US" sz="1000" b="1">
              <a:latin typeface="Arial" pitchFamily="34" charset="0"/>
              <a:cs typeface="Arial" pitchFamily="34" charset="0"/>
            </a:rPr>
          </a:b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Lat: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12.0°N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Long: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61.7°W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nn: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08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Record type: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</a:t>
          </a:r>
          <a:r>
            <a:rPr lang="en-US" sz="1100" b="1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Year:  2004    Month:  April   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Hour: 1900LST (2300Z)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	        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	      </a:t>
          </a:r>
          <a:r>
            <a:rPr lang="en-US" sz="1000" b="1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	      </a:t>
          </a:r>
          <a:endParaRPr lang="en-US" sz="1000"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7620</xdr:rowOff>
    </xdr:from>
    <xdr:to>
      <xdr:col>29</xdr:col>
      <xdr:colOff>7620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93370" y="169545"/>
          <a:ext cx="7229475" cy="62103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METEOROLOGICAL OFFICE, MAURICE BISHOP INTERNATIONAL AIRPORT</a:t>
          </a:r>
          <a:br>
            <a:rPr lang="en-US" sz="1000" b="1" u="none">
              <a:latin typeface="Arial" pitchFamily="34" charset="0"/>
              <a:cs typeface="Arial" pitchFamily="34" charset="0"/>
            </a:rPr>
          </a:br>
          <a:r>
            <a:rPr lang="en-US" sz="1000" b="1" u="none">
              <a:latin typeface="Arial" pitchFamily="34" charset="0"/>
              <a:cs typeface="Arial" pitchFamily="34" charset="0"/>
            </a:rPr>
            <a:t>STATION NUMBER               		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Return of Observation at Fixed Hours</a:t>
          </a:r>
          <a:r>
            <a:rPr lang="en-US" sz="1000" b="1" u="none">
              <a:latin typeface="Arial" pitchFamily="34" charset="0"/>
              <a:cs typeface="Arial" pitchFamily="34" charset="0"/>
            </a:rPr>
            <a:t>                                                              </a:t>
          </a:r>
          <a:br>
            <a:rPr lang="en-US" sz="1000" b="1">
              <a:latin typeface="Arial" pitchFamily="34" charset="0"/>
              <a:cs typeface="Arial" pitchFamily="34" charset="0"/>
            </a:rPr>
          </a:br>
          <a:r>
            <a:rPr lang="en-US" sz="1000" b="1">
              <a:latin typeface="Arial" pitchFamily="34" charset="0"/>
              <a:cs typeface="Arial" pitchFamily="34" charset="0"/>
            </a:rPr>
            <a:t>Lat: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12.0°N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Long: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61.7°W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</a:t>
          </a:r>
          <a:r>
            <a:rPr lang="en-US" sz="1000" b="1" baseline="0">
              <a:latin typeface="Arial" pitchFamily="34" charset="0"/>
              <a:cs typeface="Arial" pitchFamily="34" charset="0"/>
            </a:rPr>
            <a:t>nn: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08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 Record type: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Year:   2004   Month:   April    Hour: 1800LST (2200Z)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	        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	      </a:t>
          </a:r>
          <a:r>
            <a:rPr lang="en-US" sz="1000" b="1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	      </a:t>
          </a:r>
          <a:endParaRPr lang="en-US" sz="1000"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7620</xdr:rowOff>
    </xdr:from>
    <xdr:to>
      <xdr:col>29</xdr:col>
      <xdr:colOff>7620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293370" y="169545"/>
          <a:ext cx="7229475" cy="62103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METEOROLOGICAL OFFICE, MAURICE BISHOP INTERNATIONAL AIRPORT</a:t>
          </a:r>
          <a:br>
            <a:rPr lang="en-US" sz="1000" b="1" u="none">
              <a:latin typeface="Arial" pitchFamily="34" charset="0"/>
              <a:cs typeface="Arial" pitchFamily="34" charset="0"/>
            </a:rPr>
          </a:br>
          <a:r>
            <a:rPr lang="en-US" sz="1000" b="1" u="none">
              <a:latin typeface="Arial" pitchFamily="34" charset="0"/>
              <a:cs typeface="Arial" pitchFamily="34" charset="0"/>
            </a:rPr>
            <a:t>STATION NUMBER               		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Return of Observation at Fixed Hours</a:t>
          </a:r>
          <a:r>
            <a:rPr lang="en-US" sz="1000" b="1" u="none">
              <a:latin typeface="Arial" pitchFamily="34" charset="0"/>
              <a:cs typeface="Arial" pitchFamily="34" charset="0"/>
            </a:rPr>
            <a:t>                                                              </a:t>
          </a:r>
          <a:br>
            <a:rPr lang="en-US" sz="1000" b="1">
              <a:latin typeface="Arial" pitchFamily="34" charset="0"/>
              <a:cs typeface="Arial" pitchFamily="34" charset="0"/>
            </a:rPr>
          </a:br>
          <a:r>
            <a:rPr lang="en-US" sz="1000" b="1">
              <a:latin typeface="Arial" pitchFamily="34" charset="0"/>
              <a:cs typeface="Arial" pitchFamily="34" charset="0"/>
            </a:rPr>
            <a:t>Lat: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12.0°N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Long: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61.7°W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</a:t>
          </a:r>
          <a:r>
            <a:rPr lang="en-US" sz="1000" b="1" baseline="0">
              <a:latin typeface="Arial" pitchFamily="34" charset="0"/>
              <a:cs typeface="Arial" pitchFamily="34" charset="0"/>
            </a:rPr>
            <a:t>nn: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08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 Record type: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Year: 2004     Month:  April    Hour: 1700LST (2100Z)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	        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	      </a:t>
          </a:r>
          <a:r>
            <a:rPr lang="en-US" sz="1000" b="1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	      </a:t>
          </a:r>
          <a:endParaRPr lang="en-US" sz="1000"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7620</xdr:rowOff>
    </xdr:from>
    <xdr:to>
      <xdr:col>29</xdr:col>
      <xdr:colOff>7620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93370" y="169545"/>
          <a:ext cx="7229475" cy="62103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METEOROLOGICAL OFFICE, MAURICE BISHOP INTERNATIONAL AIRPORT</a:t>
          </a:r>
          <a:br>
            <a:rPr lang="en-US" sz="1000" b="1" u="none">
              <a:latin typeface="Arial" pitchFamily="34" charset="0"/>
              <a:cs typeface="Arial" pitchFamily="34" charset="0"/>
            </a:rPr>
          </a:br>
          <a:r>
            <a:rPr lang="en-US" sz="1000" b="1" u="none">
              <a:latin typeface="Arial" pitchFamily="34" charset="0"/>
              <a:cs typeface="Arial" pitchFamily="34" charset="0"/>
            </a:rPr>
            <a:t>STATION NUMBER               		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Return of Observation at Fixed Hours</a:t>
          </a:r>
          <a:r>
            <a:rPr lang="en-US" sz="1000" b="1" u="none">
              <a:latin typeface="Arial" pitchFamily="34" charset="0"/>
              <a:cs typeface="Arial" pitchFamily="34" charset="0"/>
            </a:rPr>
            <a:t>                                                              </a:t>
          </a:r>
          <a:br>
            <a:rPr lang="en-US" sz="1000" b="1">
              <a:latin typeface="Arial" pitchFamily="34" charset="0"/>
              <a:cs typeface="Arial" pitchFamily="34" charset="0"/>
            </a:rPr>
          </a:br>
          <a:r>
            <a:rPr lang="en-US" sz="1000" b="1">
              <a:latin typeface="Arial" pitchFamily="34" charset="0"/>
              <a:cs typeface="Arial" pitchFamily="34" charset="0"/>
            </a:rPr>
            <a:t>Lat: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12.0°N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Long: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61.7°W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</a:t>
          </a:r>
          <a:r>
            <a:rPr lang="en-US" sz="1000" b="1" baseline="0">
              <a:latin typeface="Arial" pitchFamily="34" charset="0"/>
              <a:cs typeface="Arial" pitchFamily="34" charset="0"/>
            </a:rPr>
            <a:t>nn: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08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 Record type: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Year:  2004    Month:  April    Hour: 1600LST (2000Z)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	        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	      </a:t>
          </a:r>
          <a:r>
            <a:rPr lang="en-US" sz="1000" b="1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	      </a:t>
          </a:r>
          <a:endParaRPr lang="en-US" sz="1000"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7620</xdr:rowOff>
    </xdr:from>
    <xdr:to>
      <xdr:col>29</xdr:col>
      <xdr:colOff>7620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293370" y="169545"/>
          <a:ext cx="7229475" cy="62103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METEOROLOGICAL OFFICE, MAURICE BISHOP INTERNATIONAL AIRPORT</a:t>
          </a:r>
          <a:br>
            <a:rPr lang="en-US" sz="1000" b="1" u="none">
              <a:latin typeface="Arial" pitchFamily="34" charset="0"/>
              <a:cs typeface="Arial" pitchFamily="34" charset="0"/>
            </a:rPr>
          </a:br>
          <a:r>
            <a:rPr lang="en-US" sz="1000" b="1" u="none">
              <a:latin typeface="Arial" pitchFamily="34" charset="0"/>
              <a:cs typeface="Arial" pitchFamily="34" charset="0"/>
            </a:rPr>
            <a:t>STATION NUMBER               		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Return of Observation at Fixed Hours</a:t>
          </a:r>
          <a:r>
            <a:rPr lang="en-US" sz="1000" b="1" u="none">
              <a:latin typeface="Arial" pitchFamily="34" charset="0"/>
              <a:cs typeface="Arial" pitchFamily="34" charset="0"/>
            </a:rPr>
            <a:t>                                                              </a:t>
          </a:r>
          <a:br>
            <a:rPr lang="en-US" sz="1000" b="1">
              <a:latin typeface="Arial" pitchFamily="34" charset="0"/>
              <a:cs typeface="Arial" pitchFamily="34" charset="0"/>
            </a:rPr>
          </a:br>
          <a:r>
            <a:rPr lang="en-US" sz="1000" b="1">
              <a:latin typeface="Arial" pitchFamily="34" charset="0"/>
              <a:cs typeface="Arial" pitchFamily="34" charset="0"/>
            </a:rPr>
            <a:t>Lat: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12.0⁰N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000" b="1" baseline="0">
              <a:latin typeface="Arial" pitchFamily="34" charset="0"/>
              <a:cs typeface="Arial" pitchFamily="34" charset="0"/>
            </a:rPr>
            <a:t>Long: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61.7⁰W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 nn: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08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 Record type: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Year: 2004    Month: April       Hour: 1500LST (1900Z)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	        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	      </a:t>
          </a:r>
          <a:r>
            <a:rPr lang="en-US" sz="1000" b="1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	      </a:t>
          </a:r>
          <a:endParaRPr lang="en-US" sz="1000"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7620</xdr:rowOff>
    </xdr:from>
    <xdr:to>
      <xdr:col>29</xdr:col>
      <xdr:colOff>7620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293370" y="169545"/>
          <a:ext cx="7229475" cy="62103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METEOROLOGICAL OFFICE, MAURICE BISHOP INTERNATIONAL AIRPORT</a:t>
          </a:r>
          <a:br>
            <a:rPr lang="en-US" sz="1000" b="1" u="none">
              <a:latin typeface="Arial" pitchFamily="34" charset="0"/>
              <a:cs typeface="Arial" pitchFamily="34" charset="0"/>
            </a:rPr>
          </a:br>
          <a:r>
            <a:rPr lang="en-US" sz="1000" b="1" u="none">
              <a:latin typeface="Arial" pitchFamily="34" charset="0"/>
              <a:cs typeface="Arial" pitchFamily="34" charset="0"/>
            </a:rPr>
            <a:t>STATION NUMBER               		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Return of Observation at Fixed Hours</a:t>
          </a:r>
          <a:r>
            <a:rPr lang="en-US" sz="1000" b="1" u="none">
              <a:latin typeface="Arial" pitchFamily="34" charset="0"/>
              <a:cs typeface="Arial" pitchFamily="34" charset="0"/>
            </a:rPr>
            <a:t>                                                              </a:t>
          </a:r>
          <a:br>
            <a:rPr lang="en-US" sz="1000" b="1">
              <a:latin typeface="Arial" pitchFamily="34" charset="0"/>
              <a:cs typeface="Arial" pitchFamily="34" charset="0"/>
            </a:rPr>
          </a:br>
          <a:r>
            <a:rPr lang="en-US" sz="1000" b="1">
              <a:latin typeface="Arial" pitchFamily="34" charset="0"/>
              <a:cs typeface="Arial" pitchFamily="34" charset="0"/>
            </a:rPr>
            <a:t>Lat: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12.0⁰N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000" b="1" baseline="0">
              <a:latin typeface="Arial" pitchFamily="34" charset="0"/>
              <a:cs typeface="Arial" pitchFamily="34" charset="0"/>
            </a:rPr>
            <a:t>Long: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61.7⁰W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 nn: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08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 Record type: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Year: 2004     Month: April      Hour: 1400LST (1800Z)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	        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	      </a:t>
          </a:r>
          <a:r>
            <a:rPr lang="en-US" sz="1000" b="1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	      </a:t>
          </a:r>
          <a:endParaRPr lang="en-US" sz="1000"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7620</xdr:rowOff>
    </xdr:from>
    <xdr:to>
      <xdr:col>29</xdr:col>
      <xdr:colOff>7620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93370" y="169545"/>
          <a:ext cx="7229475" cy="62103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METEOROLOGICAL OFFICE, MAURICE BISHOP INTERNATIONAL AIRPORT</a:t>
          </a:r>
          <a:br>
            <a:rPr lang="en-US" sz="1000" b="1" u="none">
              <a:latin typeface="Arial" pitchFamily="34" charset="0"/>
              <a:cs typeface="Arial" pitchFamily="34" charset="0"/>
            </a:rPr>
          </a:br>
          <a:r>
            <a:rPr lang="en-US" sz="1000" b="1" u="none">
              <a:latin typeface="Arial" pitchFamily="34" charset="0"/>
              <a:cs typeface="Arial" pitchFamily="34" charset="0"/>
            </a:rPr>
            <a:t>STATION NUMBER               		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Return of Observation at Fixed Hours</a:t>
          </a:r>
          <a:r>
            <a:rPr lang="en-US" sz="1000" b="1" u="none">
              <a:latin typeface="Arial" pitchFamily="34" charset="0"/>
              <a:cs typeface="Arial" pitchFamily="34" charset="0"/>
            </a:rPr>
            <a:t>                                                              </a:t>
          </a:r>
          <a:br>
            <a:rPr lang="en-US" sz="1000" b="1">
              <a:latin typeface="Arial" pitchFamily="34" charset="0"/>
              <a:cs typeface="Arial" pitchFamily="34" charset="0"/>
            </a:rPr>
          </a:br>
          <a:r>
            <a:rPr lang="en-US" sz="1000" b="1">
              <a:latin typeface="Arial" pitchFamily="34" charset="0"/>
              <a:cs typeface="Arial" pitchFamily="34" charset="0"/>
            </a:rPr>
            <a:t>Lat: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12.0°N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000" b="1" baseline="0">
              <a:latin typeface="Arial" pitchFamily="34" charset="0"/>
              <a:cs typeface="Arial" pitchFamily="34" charset="0"/>
            </a:rPr>
            <a:t>Long: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61.7°W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 nn: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08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 Record type: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Year:  2004    Month:  April      Hour: 1300LST (1700Z)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	        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	      </a:t>
          </a:r>
          <a:r>
            <a:rPr lang="en-US" sz="1000" b="1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	      </a:t>
          </a:r>
          <a:endParaRPr lang="en-US" sz="1000"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7620</xdr:rowOff>
    </xdr:from>
    <xdr:to>
      <xdr:col>29</xdr:col>
      <xdr:colOff>7620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293370" y="169545"/>
          <a:ext cx="7229475" cy="62103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METEOROLOGICAL OFFICE, MAURICE BISHOP INTERNATIONAL AIRPORT</a:t>
          </a:r>
          <a:br>
            <a:rPr lang="en-US" sz="1000" b="1" u="none">
              <a:latin typeface="Arial" pitchFamily="34" charset="0"/>
              <a:cs typeface="Arial" pitchFamily="34" charset="0"/>
            </a:rPr>
          </a:br>
          <a:r>
            <a:rPr lang="en-US" sz="1000" b="1" u="none">
              <a:latin typeface="Arial" pitchFamily="34" charset="0"/>
              <a:cs typeface="Arial" pitchFamily="34" charset="0"/>
            </a:rPr>
            <a:t>STATION NUMBER               		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Return of Observation at Fixed Hours</a:t>
          </a:r>
          <a:r>
            <a:rPr lang="en-US" sz="1000" b="1" u="none">
              <a:latin typeface="Arial" pitchFamily="34" charset="0"/>
              <a:cs typeface="Arial" pitchFamily="34" charset="0"/>
            </a:rPr>
            <a:t>                                                              </a:t>
          </a:r>
          <a:br>
            <a:rPr lang="en-US" sz="1000" b="1">
              <a:latin typeface="Arial" pitchFamily="34" charset="0"/>
              <a:cs typeface="Arial" pitchFamily="34" charset="0"/>
            </a:rPr>
          </a:br>
          <a:r>
            <a:rPr lang="en-US" sz="1000" b="1">
              <a:latin typeface="Arial" pitchFamily="34" charset="0"/>
              <a:cs typeface="Arial" pitchFamily="34" charset="0"/>
            </a:rPr>
            <a:t>Lat: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12.0°N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000" b="1" baseline="0">
              <a:latin typeface="Arial" pitchFamily="34" charset="0"/>
              <a:cs typeface="Arial" pitchFamily="34" charset="0"/>
            </a:rPr>
            <a:t>Long: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61.7°W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 nn: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08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 Record type: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Year: 2004     Month: April   Hour: 1200LST (1600Z)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	        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	      </a:t>
          </a:r>
          <a:r>
            <a:rPr lang="en-US" sz="1000" b="1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	      </a:t>
          </a:r>
          <a:endParaRPr lang="en-US" sz="1000"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7620</xdr:rowOff>
    </xdr:from>
    <xdr:to>
      <xdr:col>29</xdr:col>
      <xdr:colOff>7620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293370" y="169545"/>
          <a:ext cx="7229475" cy="62103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METEOROLOGICAL OFFICE, MAURICE BISHOP INTERNATIONAL AIRPORT</a:t>
          </a:r>
          <a:br>
            <a:rPr lang="en-US" sz="1000" b="1" u="none">
              <a:latin typeface="Arial" pitchFamily="34" charset="0"/>
              <a:cs typeface="Arial" pitchFamily="34" charset="0"/>
            </a:rPr>
          </a:br>
          <a:r>
            <a:rPr lang="en-US" sz="1000" b="1" u="none">
              <a:latin typeface="Arial" pitchFamily="34" charset="0"/>
              <a:cs typeface="Arial" pitchFamily="34" charset="0"/>
            </a:rPr>
            <a:t>STATION NUMBER               		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Return of Observation at Fixed Hours</a:t>
          </a:r>
          <a:r>
            <a:rPr lang="en-US" sz="1000" b="1" u="none">
              <a:latin typeface="Arial" pitchFamily="34" charset="0"/>
              <a:cs typeface="Arial" pitchFamily="34" charset="0"/>
            </a:rPr>
            <a:t>                                                              </a:t>
          </a:r>
          <a:br>
            <a:rPr lang="en-US" sz="1000" b="1">
              <a:latin typeface="Arial" pitchFamily="34" charset="0"/>
              <a:cs typeface="Arial" pitchFamily="34" charset="0"/>
            </a:rPr>
          </a:br>
          <a:r>
            <a:rPr lang="en-US" sz="1000" b="1">
              <a:latin typeface="Arial" pitchFamily="34" charset="0"/>
              <a:cs typeface="Arial" pitchFamily="34" charset="0"/>
            </a:rPr>
            <a:t>Lat: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12.0°N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000" b="1" baseline="0">
              <a:latin typeface="Arial" pitchFamily="34" charset="0"/>
              <a:cs typeface="Arial" pitchFamily="34" charset="0"/>
            </a:rPr>
            <a:t>Long: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61.7°W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 nn: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08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 Record type: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Year:  2004    Month:   April    Hour: 1100LST (1500Z)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	        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	      </a:t>
          </a:r>
          <a:r>
            <a:rPr lang="en-US" sz="1000" b="1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	      </a:t>
          </a:r>
          <a:endParaRPr lang="en-US" sz="1000"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7620</xdr:rowOff>
    </xdr:from>
    <xdr:to>
      <xdr:col>29</xdr:col>
      <xdr:colOff>7620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293370" y="169545"/>
          <a:ext cx="7229475" cy="62103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METEOROLOGICAL OFFICE, MAURICE BISHOP INTERNATIONAL AIRPORT</a:t>
          </a:r>
          <a:br>
            <a:rPr lang="en-US" sz="1000" b="1" u="none">
              <a:latin typeface="Arial" pitchFamily="34" charset="0"/>
              <a:cs typeface="Arial" pitchFamily="34" charset="0"/>
            </a:rPr>
          </a:br>
          <a:r>
            <a:rPr lang="en-US" sz="1000" b="1" u="none">
              <a:latin typeface="Arial" pitchFamily="34" charset="0"/>
              <a:cs typeface="Arial" pitchFamily="34" charset="0"/>
            </a:rPr>
            <a:t>STATION NUMBER               		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Return of Observation at Fixed Hours</a:t>
          </a:r>
          <a:r>
            <a:rPr lang="en-US" sz="1000" b="1" u="none">
              <a:latin typeface="Arial" pitchFamily="34" charset="0"/>
              <a:cs typeface="Arial" pitchFamily="34" charset="0"/>
            </a:rPr>
            <a:t>                                                              </a:t>
          </a:r>
          <a:br>
            <a:rPr lang="en-US" sz="1000" b="1">
              <a:latin typeface="Arial" pitchFamily="34" charset="0"/>
              <a:cs typeface="Arial" pitchFamily="34" charset="0"/>
            </a:rPr>
          </a:br>
          <a:r>
            <a:rPr lang="en-US" sz="1000" b="1">
              <a:latin typeface="Arial" pitchFamily="34" charset="0"/>
              <a:cs typeface="Arial" pitchFamily="34" charset="0"/>
            </a:rPr>
            <a:t>Lat: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12.0°N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Long: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61.7°W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</a:t>
          </a:r>
          <a:r>
            <a:rPr lang="en-US" sz="1000" b="1" baseline="0">
              <a:latin typeface="Arial" pitchFamily="34" charset="0"/>
              <a:cs typeface="Arial" pitchFamily="34" charset="0"/>
            </a:rPr>
            <a:t>nn: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08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 Record type: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Year:  2004    Month:  April    Hour: 1000LST (1400Z)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	        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	      </a:t>
          </a:r>
          <a:r>
            <a:rPr lang="en-US" sz="1000" b="1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	      </a:t>
          </a:r>
          <a:endParaRPr lang="en-US" sz="1000"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7620</xdr:rowOff>
    </xdr:from>
    <xdr:to>
      <xdr:col>29</xdr:col>
      <xdr:colOff>7620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293370" y="169545"/>
          <a:ext cx="7229475" cy="62103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METEOROLOGICAL OFFICE, MAURICE BISHOP INTERNATIONAL AIRPORT</a:t>
          </a:r>
          <a:br>
            <a:rPr lang="en-US" sz="1000" b="1" u="none">
              <a:latin typeface="Arial" pitchFamily="34" charset="0"/>
              <a:cs typeface="Arial" pitchFamily="34" charset="0"/>
            </a:rPr>
          </a:br>
          <a:r>
            <a:rPr lang="en-US" sz="1000" b="1" u="none">
              <a:latin typeface="Arial" pitchFamily="34" charset="0"/>
              <a:cs typeface="Arial" pitchFamily="34" charset="0"/>
            </a:rPr>
            <a:t>STATION NUMBER               		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Return of Observation at Fixed Hours</a:t>
          </a:r>
          <a:r>
            <a:rPr lang="en-US" sz="1000" b="1" u="none">
              <a:latin typeface="Arial" pitchFamily="34" charset="0"/>
              <a:cs typeface="Arial" pitchFamily="34" charset="0"/>
            </a:rPr>
            <a:t>                                                              </a:t>
          </a:r>
          <a:br>
            <a:rPr lang="en-US" sz="1000" b="1">
              <a:latin typeface="Arial" pitchFamily="34" charset="0"/>
              <a:cs typeface="Arial" pitchFamily="34" charset="0"/>
            </a:rPr>
          </a:br>
          <a:r>
            <a:rPr lang="en-US" sz="1000" b="1">
              <a:latin typeface="Arial" pitchFamily="34" charset="0"/>
              <a:cs typeface="Arial" pitchFamily="34" charset="0"/>
            </a:rPr>
            <a:t>Lat: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12.0°N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Long: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61.7°W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</a:t>
          </a:r>
          <a:r>
            <a:rPr lang="en-US" sz="1000" b="1" baseline="0">
              <a:latin typeface="Arial" pitchFamily="34" charset="0"/>
              <a:cs typeface="Arial" pitchFamily="34" charset="0"/>
            </a:rPr>
            <a:t>nn: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08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 Record type: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Year:  2004    Month:  April     Hour: 0900LST (1300Z)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	        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	      </a:t>
          </a:r>
          <a:r>
            <a:rPr lang="en-US" sz="1000" b="1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	      </a:t>
          </a:r>
          <a:endParaRPr lang="en-US" sz="1000"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7620</xdr:rowOff>
    </xdr:from>
    <xdr:to>
      <xdr:col>29</xdr:col>
      <xdr:colOff>7620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293370" y="169545"/>
          <a:ext cx="7229475" cy="62103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METEOROLOGICAL OFFICE, MAURICE BISHOP INTERNATIONAL AIRPORT</a:t>
          </a:r>
          <a:br>
            <a:rPr lang="en-US" sz="1000" b="1" u="none">
              <a:latin typeface="Arial" pitchFamily="34" charset="0"/>
              <a:cs typeface="Arial" pitchFamily="34" charset="0"/>
            </a:rPr>
          </a:br>
          <a:r>
            <a:rPr lang="en-US" sz="1000" b="1" u="none">
              <a:latin typeface="Arial" pitchFamily="34" charset="0"/>
              <a:cs typeface="Arial" pitchFamily="34" charset="0"/>
            </a:rPr>
            <a:t>STATION NUMBER               		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Return of Observation at Fixed Hours</a:t>
          </a:r>
          <a:r>
            <a:rPr lang="en-US" sz="1000" b="1" u="none">
              <a:latin typeface="Arial" pitchFamily="34" charset="0"/>
              <a:cs typeface="Arial" pitchFamily="34" charset="0"/>
            </a:rPr>
            <a:t>                                                              </a:t>
          </a:r>
          <a:br>
            <a:rPr lang="en-US" sz="1000" b="1">
              <a:latin typeface="Arial" pitchFamily="34" charset="0"/>
              <a:cs typeface="Arial" pitchFamily="34" charset="0"/>
            </a:rPr>
          </a:br>
          <a:r>
            <a:rPr lang="en-US" sz="1000" b="1">
              <a:latin typeface="Arial" pitchFamily="34" charset="0"/>
              <a:cs typeface="Arial" pitchFamily="34" charset="0"/>
            </a:rPr>
            <a:t>Lat: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12.0°N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Long: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61.7°W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</a:t>
          </a:r>
          <a:r>
            <a:rPr lang="en-US" sz="1000" b="1" baseline="0">
              <a:latin typeface="Arial" pitchFamily="34" charset="0"/>
              <a:cs typeface="Arial" pitchFamily="34" charset="0"/>
            </a:rPr>
            <a:t>nn: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08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 Record type: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Year:  2004    Month:  April     Hour: 0800LST (1200Z)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	        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	      </a:t>
          </a:r>
          <a:r>
            <a:rPr lang="en-US" sz="1000" b="1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	      </a:t>
          </a:r>
          <a:endParaRPr lang="en-US" sz="1000"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1</xdr:row>
      <xdr:rowOff>15240</xdr:rowOff>
    </xdr:from>
    <xdr:to>
      <xdr:col>14</xdr:col>
      <xdr:colOff>320040</xdr:colOff>
      <xdr:row>4</xdr:row>
      <xdr:rowOff>160020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182880" y="182880"/>
          <a:ext cx="8671560" cy="6477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METEOROLOGICAL OFFICE, MAURICE BISHOP INTERNATIONAL AIRPORT</a:t>
          </a:r>
          <a:br>
            <a:rPr lang="en-US" sz="1000" b="1" u="none">
              <a:latin typeface="Arial" pitchFamily="34" charset="0"/>
              <a:cs typeface="Arial" pitchFamily="34" charset="0"/>
            </a:rPr>
          </a:br>
          <a:r>
            <a:rPr lang="en-US" sz="1000" b="1" u="none">
              <a:latin typeface="Arial" pitchFamily="34" charset="0"/>
              <a:cs typeface="Arial" pitchFamily="34" charset="0"/>
            </a:rPr>
            <a:t>STATION NUMBER               		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Return of Daily Observations (CL2)</a:t>
          </a:r>
          <a:br>
            <a:rPr lang="en-US" sz="1000" b="1">
              <a:latin typeface="Arial" pitchFamily="34" charset="0"/>
              <a:cs typeface="Arial" pitchFamily="34" charset="0"/>
            </a:rPr>
          </a:br>
          <a:r>
            <a:rPr lang="en-US" sz="1000" b="1">
              <a:latin typeface="Arial" pitchFamily="34" charset="0"/>
              <a:cs typeface="Arial" pitchFamily="34" charset="0"/>
            </a:rPr>
            <a:t>Lat: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12.0°N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Long: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61.7°W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</a:t>
          </a:r>
          <a:r>
            <a:rPr lang="en-US" sz="1000" b="1" baseline="0">
              <a:latin typeface="Arial" pitchFamily="34" charset="0"/>
              <a:cs typeface="Arial" pitchFamily="34" charset="0"/>
            </a:rPr>
            <a:t>nn: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08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Record type: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	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Year:     Month:     Hour: 0800LST (1200Z)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	        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	      </a:t>
          </a:r>
          <a:r>
            <a:rPr lang="en-US" sz="1000" b="1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	      </a:t>
          </a:r>
          <a:endParaRPr lang="en-US" sz="1000"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4</xdr:col>
      <xdr:colOff>466725</xdr:colOff>
      <xdr:row>10</xdr:row>
      <xdr:rowOff>57156</xdr:rowOff>
    </xdr:from>
    <xdr:to>
      <xdr:col>12</xdr:col>
      <xdr:colOff>161925</xdr:colOff>
      <xdr:row>27</xdr:row>
      <xdr:rowOff>47631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7620</xdr:rowOff>
    </xdr:from>
    <xdr:to>
      <xdr:col>29</xdr:col>
      <xdr:colOff>7620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293370" y="169545"/>
          <a:ext cx="7229475" cy="62103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METEOROLOGICAL OFFICE, MAURICE BISHOP INTERNATIONAL AIRPORT</a:t>
          </a:r>
          <a:br>
            <a:rPr lang="en-US" sz="1000" b="1" u="none">
              <a:latin typeface="Arial" pitchFamily="34" charset="0"/>
              <a:cs typeface="Arial" pitchFamily="34" charset="0"/>
            </a:rPr>
          </a:br>
          <a:r>
            <a:rPr lang="en-US" sz="1000" b="1" u="none">
              <a:latin typeface="Arial" pitchFamily="34" charset="0"/>
              <a:cs typeface="Arial" pitchFamily="34" charset="0"/>
            </a:rPr>
            <a:t>STATION NUMBER               		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Return of Observation at Fixed Hours</a:t>
          </a:r>
          <a:r>
            <a:rPr lang="en-US" sz="1000" b="1" u="none">
              <a:latin typeface="Arial" pitchFamily="34" charset="0"/>
              <a:cs typeface="Arial" pitchFamily="34" charset="0"/>
            </a:rPr>
            <a:t>                                                              </a:t>
          </a:r>
          <a:br>
            <a:rPr lang="en-US" sz="1000" b="1">
              <a:latin typeface="Arial" pitchFamily="34" charset="0"/>
              <a:cs typeface="Arial" pitchFamily="34" charset="0"/>
            </a:rPr>
          </a:br>
          <a:r>
            <a:rPr lang="en-US" sz="1000" b="1">
              <a:latin typeface="Arial" pitchFamily="34" charset="0"/>
              <a:cs typeface="Arial" pitchFamily="34" charset="0"/>
            </a:rPr>
            <a:t>Lat: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12.0⁰N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000" b="1" baseline="0">
              <a:latin typeface="Arial" pitchFamily="34" charset="0"/>
              <a:cs typeface="Arial" pitchFamily="34" charset="0"/>
            </a:rPr>
            <a:t>Long: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61.7⁰W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 nn: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08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 Record type: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Year:  2004    Month:  April     Hour: 0700LST (1100Z)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	        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	      </a:t>
          </a:r>
          <a:r>
            <a:rPr lang="en-US" sz="1000" b="1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	      </a:t>
          </a:r>
          <a:endParaRPr lang="en-US" sz="1000"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7620</xdr:rowOff>
    </xdr:from>
    <xdr:to>
      <xdr:col>29</xdr:col>
      <xdr:colOff>7620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/>
      </xdr:nvSpPr>
      <xdr:spPr>
        <a:xfrm>
          <a:off x="293370" y="169545"/>
          <a:ext cx="7229475" cy="62103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METEOROLOGICAL OFFICE, MAURICE BISHOP INTERNATIONAL AIRPORT</a:t>
          </a:r>
          <a:br>
            <a:rPr lang="en-US" sz="1000" b="1" u="none">
              <a:latin typeface="Arial" pitchFamily="34" charset="0"/>
              <a:cs typeface="Arial" pitchFamily="34" charset="0"/>
            </a:rPr>
          </a:br>
          <a:r>
            <a:rPr lang="en-US" sz="1000" b="1" u="none">
              <a:latin typeface="Arial" pitchFamily="34" charset="0"/>
              <a:cs typeface="Arial" pitchFamily="34" charset="0"/>
            </a:rPr>
            <a:t>STATION NUMBER               		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Return of Observation at Fixed Hours</a:t>
          </a:r>
          <a:r>
            <a:rPr lang="en-US" sz="1000" b="1" u="none">
              <a:latin typeface="Arial" pitchFamily="34" charset="0"/>
              <a:cs typeface="Arial" pitchFamily="34" charset="0"/>
            </a:rPr>
            <a:t>                                                              </a:t>
          </a:r>
          <a:br>
            <a:rPr lang="en-US" sz="1000" b="1">
              <a:latin typeface="Arial" pitchFamily="34" charset="0"/>
              <a:cs typeface="Arial" pitchFamily="34" charset="0"/>
            </a:rPr>
          </a:br>
          <a:r>
            <a:rPr lang="en-US" sz="1000" b="1">
              <a:latin typeface="Arial" pitchFamily="34" charset="0"/>
              <a:cs typeface="Arial" pitchFamily="34" charset="0"/>
            </a:rPr>
            <a:t>Lat: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12.0°N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Long: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61.7°W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</a:t>
          </a:r>
          <a:r>
            <a:rPr lang="en-US" sz="1000" b="1" baseline="0">
              <a:latin typeface="Arial" pitchFamily="34" charset="0"/>
              <a:cs typeface="Arial" pitchFamily="34" charset="0"/>
            </a:rPr>
            <a:t>nn: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08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 Record type: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Year: 2004      Month:   April   Hour: 0600LST (1000Z)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	        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	      </a:t>
          </a:r>
          <a:r>
            <a:rPr lang="en-US" sz="1000" b="1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	      </a:t>
          </a:r>
          <a:endParaRPr lang="en-US" sz="1000"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7620</xdr:rowOff>
    </xdr:from>
    <xdr:to>
      <xdr:col>29</xdr:col>
      <xdr:colOff>7620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/>
      </xdr:nvSpPr>
      <xdr:spPr>
        <a:xfrm>
          <a:off x="293370" y="169545"/>
          <a:ext cx="7219950" cy="62103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METEOROLOGICAL OFFICE, MAURICE BISHOP INTERNATIONAL AIRPORT</a:t>
          </a:r>
          <a:br>
            <a:rPr lang="en-US" sz="1000" b="1" u="none">
              <a:latin typeface="Arial" pitchFamily="34" charset="0"/>
              <a:cs typeface="Arial" pitchFamily="34" charset="0"/>
            </a:rPr>
          </a:br>
          <a:r>
            <a:rPr lang="en-US" sz="1000" b="1" u="none">
              <a:latin typeface="Arial" pitchFamily="34" charset="0"/>
              <a:cs typeface="Arial" pitchFamily="34" charset="0"/>
            </a:rPr>
            <a:t>STATION NUMBER               		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Return of Observation at Fixed Hours</a:t>
          </a:r>
          <a:r>
            <a:rPr lang="en-US" sz="1000" b="1" u="none">
              <a:latin typeface="Arial" pitchFamily="34" charset="0"/>
              <a:cs typeface="Arial" pitchFamily="34" charset="0"/>
            </a:rPr>
            <a:t>                                                              </a:t>
          </a:r>
          <a:br>
            <a:rPr lang="en-US" sz="1000" b="1">
              <a:latin typeface="Arial" pitchFamily="34" charset="0"/>
              <a:cs typeface="Arial" pitchFamily="34" charset="0"/>
            </a:rPr>
          </a:br>
          <a:r>
            <a:rPr lang="en-US" sz="1000" b="1">
              <a:latin typeface="Arial" pitchFamily="34" charset="0"/>
              <a:cs typeface="Arial" pitchFamily="34" charset="0"/>
            </a:rPr>
            <a:t>Lat: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12.0°N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Long: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61.7°W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</a:t>
          </a:r>
          <a:r>
            <a:rPr lang="en-US" sz="1000" b="1" baseline="0">
              <a:latin typeface="Arial" pitchFamily="34" charset="0"/>
              <a:cs typeface="Arial" pitchFamily="34" charset="0"/>
            </a:rPr>
            <a:t>nn: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08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 Record type: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Year:  2004    Month:  April     Hour: 0500LST (0900Z)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	        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	      </a:t>
          </a:r>
          <a:r>
            <a:rPr lang="en-US" sz="1000" b="1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	      </a:t>
          </a:r>
          <a:endParaRPr lang="en-US" sz="1000"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7620</xdr:rowOff>
    </xdr:from>
    <xdr:to>
      <xdr:col>29</xdr:col>
      <xdr:colOff>7620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/>
      </xdr:nvSpPr>
      <xdr:spPr>
        <a:xfrm>
          <a:off x="293370" y="169545"/>
          <a:ext cx="7229475" cy="62103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METEOROLOGICAL OFFICE, MAURICE BISHOP INTERNATIONAL AIRPORT</a:t>
          </a:r>
          <a:br>
            <a:rPr lang="en-US" sz="1000" b="1" u="none">
              <a:latin typeface="Arial" pitchFamily="34" charset="0"/>
              <a:cs typeface="Arial" pitchFamily="34" charset="0"/>
            </a:rPr>
          </a:br>
          <a:r>
            <a:rPr lang="en-US" sz="1000" b="1" u="none">
              <a:latin typeface="Arial" pitchFamily="34" charset="0"/>
              <a:cs typeface="Arial" pitchFamily="34" charset="0"/>
            </a:rPr>
            <a:t>STATION NUMBER               		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Return of Observation at Fixed Hours</a:t>
          </a:r>
          <a:r>
            <a:rPr lang="en-US" sz="1000" b="1" u="none">
              <a:latin typeface="Arial" pitchFamily="34" charset="0"/>
              <a:cs typeface="Arial" pitchFamily="34" charset="0"/>
            </a:rPr>
            <a:t>                                                              </a:t>
          </a:r>
          <a:br>
            <a:rPr lang="en-US" sz="1000" b="1">
              <a:latin typeface="Arial" pitchFamily="34" charset="0"/>
              <a:cs typeface="Arial" pitchFamily="34" charset="0"/>
            </a:rPr>
          </a:br>
          <a:r>
            <a:rPr lang="en-US" sz="1000" b="1">
              <a:latin typeface="Arial" pitchFamily="34" charset="0"/>
              <a:cs typeface="Arial" pitchFamily="34" charset="0"/>
            </a:rPr>
            <a:t>Lat: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12.0°N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Long: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61.7°W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</a:t>
          </a:r>
          <a:r>
            <a:rPr lang="en-US" sz="1000" b="1" baseline="0">
              <a:latin typeface="Arial" pitchFamily="34" charset="0"/>
              <a:cs typeface="Arial" pitchFamily="34" charset="0"/>
            </a:rPr>
            <a:t>nn: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08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 Record type: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Year: 2004     Month:  April      Hour: 0400LST (0800Z)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	        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	      </a:t>
          </a:r>
          <a:r>
            <a:rPr lang="en-US" sz="1000" b="1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	      </a:t>
          </a:r>
          <a:endParaRPr lang="en-US" sz="1000"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7620</xdr:rowOff>
    </xdr:from>
    <xdr:to>
      <xdr:col>29</xdr:col>
      <xdr:colOff>7620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/>
      </xdr:nvSpPr>
      <xdr:spPr>
        <a:xfrm>
          <a:off x="293370" y="169545"/>
          <a:ext cx="7229475" cy="62103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METEOROLOGICAL OFFICE, MAURICE BISHOP INTERNATIONAL AIRPORT</a:t>
          </a:r>
          <a:br>
            <a:rPr lang="en-US" sz="1000" b="1" u="none">
              <a:latin typeface="Arial" pitchFamily="34" charset="0"/>
              <a:cs typeface="Arial" pitchFamily="34" charset="0"/>
            </a:rPr>
          </a:br>
          <a:r>
            <a:rPr lang="en-US" sz="1000" b="1" u="none">
              <a:latin typeface="Arial" pitchFamily="34" charset="0"/>
              <a:cs typeface="Arial" pitchFamily="34" charset="0"/>
            </a:rPr>
            <a:t>STATION NUMBER               		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Return of Observation at Fixed Hours</a:t>
          </a:r>
          <a:r>
            <a:rPr lang="en-US" sz="1000" b="1" u="none">
              <a:latin typeface="Arial" pitchFamily="34" charset="0"/>
              <a:cs typeface="Arial" pitchFamily="34" charset="0"/>
            </a:rPr>
            <a:t>                                                              </a:t>
          </a:r>
          <a:br>
            <a:rPr lang="en-US" sz="1000" b="1">
              <a:latin typeface="Arial" pitchFamily="34" charset="0"/>
              <a:cs typeface="Arial" pitchFamily="34" charset="0"/>
            </a:rPr>
          </a:br>
          <a:r>
            <a:rPr lang="en-US" sz="1000" b="1">
              <a:latin typeface="Arial" pitchFamily="34" charset="0"/>
              <a:cs typeface="Arial" pitchFamily="34" charset="0"/>
            </a:rPr>
            <a:t>Lat: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12.0°N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Long: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61.7°W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</a:t>
          </a:r>
          <a:r>
            <a:rPr lang="en-US" sz="1000" b="1" baseline="0">
              <a:latin typeface="Arial" pitchFamily="34" charset="0"/>
              <a:cs typeface="Arial" pitchFamily="34" charset="0"/>
            </a:rPr>
            <a:t>nn: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08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 Record type: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Year:   2004   Month: April    Hour: 0300LST (0700Z)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	        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	      </a:t>
          </a:r>
          <a:r>
            <a:rPr lang="en-US" sz="1000" b="1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	      </a:t>
          </a:r>
          <a:endParaRPr lang="en-US" sz="1000"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7620</xdr:rowOff>
    </xdr:from>
    <xdr:to>
      <xdr:col>29</xdr:col>
      <xdr:colOff>7620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/>
      </xdr:nvSpPr>
      <xdr:spPr>
        <a:xfrm>
          <a:off x="293370" y="169545"/>
          <a:ext cx="7229475" cy="62103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METEOROLOGICAL OFFICE, MAURICE BISHOP INTERNATIONAL AIRPORT</a:t>
          </a:r>
          <a:br>
            <a:rPr lang="en-US" sz="1000" b="1" u="none">
              <a:latin typeface="Arial" pitchFamily="34" charset="0"/>
              <a:cs typeface="Arial" pitchFamily="34" charset="0"/>
            </a:rPr>
          </a:br>
          <a:r>
            <a:rPr lang="en-US" sz="1000" b="1" u="none">
              <a:latin typeface="Arial" pitchFamily="34" charset="0"/>
              <a:cs typeface="Arial" pitchFamily="34" charset="0"/>
            </a:rPr>
            <a:t>STATION NUMBER               		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Return of Observation at Fixed Hours</a:t>
          </a:r>
          <a:r>
            <a:rPr lang="en-US" sz="1000" b="1" u="none">
              <a:latin typeface="Arial" pitchFamily="34" charset="0"/>
              <a:cs typeface="Arial" pitchFamily="34" charset="0"/>
            </a:rPr>
            <a:t>                                                              </a:t>
          </a:r>
          <a:br>
            <a:rPr lang="en-US" sz="1000" b="1">
              <a:latin typeface="Arial" pitchFamily="34" charset="0"/>
              <a:cs typeface="Arial" pitchFamily="34" charset="0"/>
            </a:rPr>
          </a:br>
          <a:r>
            <a:rPr lang="en-US" sz="1000" b="1">
              <a:latin typeface="Arial" pitchFamily="34" charset="0"/>
              <a:cs typeface="Arial" pitchFamily="34" charset="0"/>
            </a:rPr>
            <a:t>Lat: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12.0°N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Long: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61.7°W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</a:t>
          </a:r>
          <a:r>
            <a:rPr lang="en-US" sz="1000" b="1" baseline="0">
              <a:latin typeface="Arial" pitchFamily="34" charset="0"/>
              <a:cs typeface="Arial" pitchFamily="34" charset="0"/>
            </a:rPr>
            <a:t>nn: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08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 Record type: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Year:  2004    Month:  April     Hour: 0200LST (0600Z)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	        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	      </a:t>
          </a:r>
          <a:r>
            <a:rPr lang="en-US" sz="1000" b="1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	      </a:t>
          </a:r>
          <a:endParaRPr lang="en-US" sz="1000"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7620</xdr:rowOff>
    </xdr:from>
    <xdr:to>
      <xdr:col>29</xdr:col>
      <xdr:colOff>7620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/>
      </xdr:nvSpPr>
      <xdr:spPr>
        <a:xfrm>
          <a:off x="293370" y="169545"/>
          <a:ext cx="7229475" cy="62103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METEOROLOGICAL OFFICE, MAURICE BISHOP INTERNATIONAL AIRPORT</a:t>
          </a:r>
          <a:br>
            <a:rPr lang="en-US" sz="1000" b="1" u="none">
              <a:latin typeface="Arial" pitchFamily="34" charset="0"/>
              <a:cs typeface="Arial" pitchFamily="34" charset="0"/>
            </a:rPr>
          </a:br>
          <a:r>
            <a:rPr lang="en-US" sz="1000" b="1" u="none">
              <a:latin typeface="Arial" pitchFamily="34" charset="0"/>
              <a:cs typeface="Arial" pitchFamily="34" charset="0"/>
            </a:rPr>
            <a:t>STATION NUMBER               		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Return of Observation at Fixed Hours</a:t>
          </a:r>
          <a:r>
            <a:rPr lang="en-US" sz="1000" b="1" u="none">
              <a:latin typeface="Arial" pitchFamily="34" charset="0"/>
              <a:cs typeface="Arial" pitchFamily="34" charset="0"/>
            </a:rPr>
            <a:t>                                                              </a:t>
          </a:r>
          <a:br>
            <a:rPr lang="en-US" sz="1000" b="1">
              <a:latin typeface="Arial" pitchFamily="34" charset="0"/>
              <a:cs typeface="Arial" pitchFamily="34" charset="0"/>
            </a:rPr>
          </a:br>
          <a:r>
            <a:rPr lang="en-US" sz="1000" b="1">
              <a:latin typeface="Arial" pitchFamily="34" charset="0"/>
              <a:cs typeface="Arial" pitchFamily="34" charset="0"/>
            </a:rPr>
            <a:t>Lat: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12.0°N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Long: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61.7°W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</a:t>
          </a:r>
          <a:r>
            <a:rPr lang="en-US" sz="1000" b="1" baseline="0">
              <a:latin typeface="Arial" pitchFamily="34" charset="0"/>
              <a:cs typeface="Arial" pitchFamily="34" charset="0"/>
            </a:rPr>
            <a:t>nn: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08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 Record type: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Year:  2004   Month: April     Hour: 0100LST (0500Z)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	        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	      </a:t>
          </a:r>
          <a:r>
            <a:rPr lang="en-US" sz="1000" b="1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	      </a:t>
          </a:r>
          <a:endParaRPr lang="en-US" sz="1000"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7620</xdr:rowOff>
    </xdr:from>
    <xdr:to>
      <xdr:col>29</xdr:col>
      <xdr:colOff>7620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/>
      </xdr:nvSpPr>
      <xdr:spPr>
        <a:xfrm>
          <a:off x="293370" y="169545"/>
          <a:ext cx="7229475" cy="62103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METEOROLOGICAL OFFICE, MAURICE BISHOP INTERNATIONAL AIRPORT</a:t>
          </a:r>
          <a:br>
            <a:rPr lang="en-US" sz="1000" b="1" u="none">
              <a:latin typeface="Arial" pitchFamily="34" charset="0"/>
              <a:cs typeface="Arial" pitchFamily="34" charset="0"/>
            </a:rPr>
          </a:br>
          <a:r>
            <a:rPr lang="en-US" sz="1000" b="1" u="none">
              <a:latin typeface="Arial" pitchFamily="34" charset="0"/>
              <a:cs typeface="Arial" pitchFamily="34" charset="0"/>
            </a:rPr>
            <a:t>STATION NUMBER               		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Return of Observation at Fixed Hours</a:t>
          </a:r>
          <a:r>
            <a:rPr lang="en-US" sz="1000" b="1" u="none">
              <a:latin typeface="Arial" pitchFamily="34" charset="0"/>
              <a:cs typeface="Arial" pitchFamily="34" charset="0"/>
            </a:rPr>
            <a:t>                                                              </a:t>
          </a:r>
          <a:br>
            <a:rPr lang="en-US" sz="1000" b="1">
              <a:latin typeface="Arial" pitchFamily="34" charset="0"/>
              <a:cs typeface="Arial" pitchFamily="34" charset="0"/>
            </a:rPr>
          </a:br>
          <a:r>
            <a:rPr lang="en-US" sz="1000" b="1">
              <a:latin typeface="Arial" pitchFamily="34" charset="0"/>
              <a:cs typeface="Arial" pitchFamily="34" charset="0"/>
            </a:rPr>
            <a:t>Lat: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12.0°N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Long: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61.7°W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</a:t>
          </a:r>
          <a:r>
            <a:rPr lang="en-US" sz="1000" b="1" baseline="0">
              <a:latin typeface="Arial" pitchFamily="34" charset="0"/>
              <a:cs typeface="Arial" pitchFamily="34" charset="0"/>
            </a:rPr>
            <a:t>nn: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08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 Record type: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Year: 2004     Month: April     Hour: 0000LST (0400Z)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	        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	      </a:t>
          </a:r>
          <a:r>
            <a:rPr lang="en-US" sz="1000" b="1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	      </a:t>
          </a:r>
          <a:endParaRPr lang="en-US" sz="1000"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7620</xdr:rowOff>
    </xdr:from>
    <xdr:to>
      <xdr:col>29</xdr:col>
      <xdr:colOff>7620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/>
      </xdr:nvSpPr>
      <xdr:spPr>
        <a:xfrm>
          <a:off x="293370" y="169545"/>
          <a:ext cx="7229475" cy="62103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METEOROLOGICAL OFFICE, MAURICE BISHOP INTERNATIONAL AIRPORT</a:t>
          </a:r>
          <a:br>
            <a:rPr lang="en-US" sz="1000" b="1" u="none">
              <a:latin typeface="Arial" pitchFamily="34" charset="0"/>
              <a:cs typeface="Arial" pitchFamily="34" charset="0"/>
            </a:rPr>
          </a:br>
          <a:r>
            <a:rPr lang="en-US" sz="1000" b="1" u="none">
              <a:latin typeface="Arial" pitchFamily="34" charset="0"/>
              <a:cs typeface="Arial" pitchFamily="34" charset="0"/>
            </a:rPr>
            <a:t>STATION NUMBER               		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Return of Observation at Fixed Hours</a:t>
          </a:r>
          <a:r>
            <a:rPr lang="en-US" sz="1000" b="1" u="none">
              <a:latin typeface="Arial" pitchFamily="34" charset="0"/>
              <a:cs typeface="Arial" pitchFamily="34" charset="0"/>
            </a:rPr>
            <a:t>                                                              </a:t>
          </a:r>
          <a:br>
            <a:rPr lang="en-US" sz="1000" b="1">
              <a:latin typeface="Arial" pitchFamily="34" charset="0"/>
              <a:cs typeface="Arial" pitchFamily="34" charset="0"/>
            </a:rPr>
          </a:br>
          <a:r>
            <a:rPr lang="en-US" sz="1000" b="1">
              <a:latin typeface="Arial" pitchFamily="34" charset="0"/>
              <a:cs typeface="Arial" pitchFamily="34" charset="0"/>
            </a:rPr>
            <a:t>Lat: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12.0°N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Long: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61.7°W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</a:t>
          </a:r>
          <a:r>
            <a:rPr lang="en-US" sz="1000" b="1" baseline="0">
              <a:latin typeface="Arial" pitchFamily="34" charset="0"/>
              <a:cs typeface="Arial" pitchFamily="34" charset="0"/>
            </a:rPr>
            <a:t>nn: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08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 Record type: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Year: 2004     Month: APRIL   Hour: 23000LST (0300Z)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	        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	      </a:t>
          </a:r>
          <a:r>
            <a:rPr lang="en-US" sz="1000" b="1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	      </a:t>
          </a:r>
          <a:endParaRPr lang="en-US" sz="1000"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7620</xdr:rowOff>
    </xdr:from>
    <xdr:to>
      <xdr:col>29</xdr:col>
      <xdr:colOff>7620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/>
      </xdr:nvSpPr>
      <xdr:spPr>
        <a:xfrm>
          <a:off x="293370" y="169545"/>
          <a:ext cx="7229475" cy="62103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METEOROLOGICAL OFFICE, MAURICE BISHOP INTERNATIONAL AIRPORT</a:t>
          </a:r>
          <a:br>
            <a:rPr lang="en-US" sz="1000" b="1" u="none">
              <a:latin typeface="Arial" pitchFamily="34" charset="0"/>
              <a:cs typeface="Arial" pitchFamily="34" charset="0"/>
            </a:rPr>
          </a:br>
          <a:r>
            <a:rPr lang="en-US" sz="1000" b="1" u="none">
              <a:latin typeface="Arial" pitchFamily="34" charset="0"/>
              <a:cs typeface="Arial" pitchFamily="34" charset="0"/>
            </a:rPr>
            <a:t>STATION NUMBER               		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Return of Observation at Fixed Hours</a:t>
          </a:r>
          <a:r>
            <a:rPr lang="en-US" sz="1000" b="1" u="none">
              <a:latin typeface="Arial" pitchFamily="34" charset="0"/>
              <a:cs typeface="Arial" pitchFamily="34" charset="0"/>
            </a:rPr>
            <a:t>                                                              </a:t>
          </a:r>
          <a:br>
            <a:rPr lang="en-US" sz="1000" b="1">
              <a:latin typeface="Arial" pitchFamily="34" charset="0"/>
              <a:cs typeface="Arial" pitchFamily="34" charset="0"/>
            </a:rPr>
          </a:br>
          <a:r>
            <a:rPr lang="en-US" sz="1000" b="1">
              <a:latin typeface="Arial" pitchFamily="34" charset="0"/>
              <a:cs typeface="Arial" pitchFamily="34" charset="0"/>
            </a:rPr>
            <a:t>Lat: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12.0°N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Long: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61.7°W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</a:t>
          </a:r>
          <a:r>
            <a:rPr lang="en-US" sz="1000" b="1" baseline="0">
              <a:latin typeface="Arial" pitchFamily="34" charset="0"/>
              <a:cs typeface="Arial" pitchFamily="34" charset="0"/>
            </a:rPr>
            <a:t>nn: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08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 Record type: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Year:   2004  Month: APRIL      Hour: 22000LST (0200Z)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	        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	      </a:t>
          </a:r>
          <a:r>
            <a:rPr lang="en-US" sz="1000" b="1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	      </a:t>
          </a:r>
          <a:endParaRPr lang="en-US" sz="1000"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7620</xdr:rowOff>
    </xdr:from>
    <xdr:to>
      <xdr:col>29</xdr:col>
      <xdr:colOff>7620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/>
      </xdr:nvSpPr>
      <xdr:spPr>
        <a:xfrm>
          <a:off x="293370" y="169545"/>
          <a:ext cx="7229475" cy="62103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METEOROLOGICAL OFFICE, MAURICE BISHOP INTERNATIONAL AIRPORT</a:t>
          </a:r>
          <a:br>
            <a:rPr lang="en-US" sz="1000" b="1" u="none">
              <a:latin typeface="Arial" pitchFamily="34" charset="0"/>
              <a:cs typeface="Arial" pitchFamily="34" charset="0"/>
            </a:rPr>
          </a:br>
          <a:r>
            <a:rPr lang="en-US" sz="1000" b="1" u="none">
              <a:latin typeface="Arial" pitchFamily="34" charset="0"/>
              <a:cs typeface="Arial" pitchFamily="34" charset="0"/>
            </a:rPr>
            <a:t>STATION NUMBER               		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Return of Observation at Fixed Hours</a:t>
          </a:r>
          <a:r>
            <a:rPr lang="en-US" sz="1000" b="1" u="none">
              <a:latin typeface="Arial" pitchFamily="34" charset="0"/>
              <a:cs typeface="Arial" pitchFamily="34" charset="0"/>
            </a:rPr>
            <a:t>                                                              </a:t>
          </a:r>
          <a:br>
            <a:rPr lang="en-US" sz="1000" b="1">
              <a:latin typeface="Arial" pitchFamily="34" charset="0"/>
              <a:cs typeface="Arial" pitchFamily="34" charset="0"/>
            </a:rPr>
          </a:br>
          <a:r>
            <a:rPr lang="en-US" sz="1000" b="1">
              <a:latin typeface="Arial" pitchFamily="34" charset="0"/>
              <a:cs typeface="Arial" pitchFamily="34" charset="0"/>
            </a:rPr>
            <a:t>Lat: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12.0°N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Long: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61.7°W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</a:t>
          </a:r>
          <a:r>
            <a:rPr lang="en-US" sz="1000" b="1" baseline="0">
              <a:latin typeface="Arial" pitchFamily="34" charset="0"/>
              <a:cs typeface="Arial" pitchFamily="34" charset="0"/>
            </a:rPr>
            <a:t>nn: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08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 Record type: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Year:  2004    Month: APRIL    Hour: 21000LST (0100Z)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	        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	      </a:t>
          </a:r>
          <a:r>
            <a:rPr lang="en-US" sz="1000" b="1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	      </a:t>
          </a:r>
          <a:endParaRPr lang="en-US" sz="1000"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7620</xdr:rowOff>
    </xdr:from>
    <xdr:to>
      <xdr:col>29</xdr:col>
      <xdr:colOff>7620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/>
      </xdr:nvSpPr>
      <xdr:spPr>
        <a:xfrm>
          <a:off x="293370" y="169545"/>
          <a:ext cx="7229475" cy="62103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METEOROLOGICAL OFFICE, MAURICE BISHOP INTERNATIONAL AIRPORT</a:t>
          </a:r>
          <a:br>
            <a:rPr lang="en-US" sz="1000" b="1" u="none">
              <a:latin typeface="Arial" pitchFamily="34" charset="0"/>
              <a:cs typeface="Arial" pitchFamily="34" charset="0"/>
            </a:rPr>
          </a:br>
          <a:r>
            <a:rPr lang="en-US" sz="1000" b="1" u="none">
              <a:latin typeface="Arial" pitchFamily="34" charset="0"/>
              <a:cs typeface="Arial" pitchFamily="34" charset="0"/>
            </a:rPr>
            <a:t>STATION NUMBER               		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Return of Observation at Fixed Hours</a:t>
          </a:r>
          <a:r>
            <a:rPr lang="en-US" sz="1000" b="1" u="none">
              <a:latin typeface="Arial" pitchFamily="34" charset="0"/>
              <a:cs typeface="Arial" pitchFamily="34" charset="0"/>
            </a:rPr>
            <a:t>                                                              </a:t>
          </a:r>
          <a:br>
            <a:rPr lang="en-US" sz="1000" b="1">
              <a:latin typeface="Arial" pitchFamily="34" charset="0"/>
              <a:cs typeface="Arial" pitchFamily="34" charset="0"/>
            </a:rPr>
          </a:br>
          <a:r>
            <a:rPr lang="en-US" sz="1000" b="1">
              <a:latin typeface="Arial" pitchFamily="34" charset="0"/>
              <a:cs typeface="Arial" pitchFamily="34" charset="0"/>
            </a:rPr>
            <a:t>Lat: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12.0°N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Long: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61.7°W</a:t>
          </a:r>
          <a:r>
            <a:rPr 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</a:t>
          </a:r>
          <a:r>
            <a:rPr lang="en-US" sz="1000" b="1" baseline="0">
              <a:latin typeface="Arial" pitchFamily="34" charset="0"/>
              <a:cs typeface="Arial" pitchFamily="34" charset="0"/>
            </a:rPr>
            <a:t>nn: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08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    Record type: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Year: 2004    Month: APRIL     Hour: 20000LST (0000Z)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	        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	      </a:t>
          </a:r>
          <a:r>
            <a:rPr lang="en-US" sz="1000" b="1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	      </a:t>
          </a:r>
          <a:endParaRPr lang="en-US" sz="1000"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171449</xdr:colOff>
      <xdr:row>3</xdr:row>
      <xdr:rowOff>0</xdr:rowOff>
    </xdr:from>
    <xdr:to>
      <xdr:col>37</xdr:col>
      <xdr:colOff>600075</xdr:colOff>
      <xdr:row>24</xdr:row>
      <xdr:rowOff>152400</xdr:rowOff>
    </xdr:to>
    <xdr:graphicFrame macro="">
      <xdr:nvGraphicFramePr>
        <xdr:cNvPr id="2" name="Chart 1" title="Wind rose for December 2014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0.01257</cdr:x>
      <cdr:y>0.17468</cdr:y>
    </cdr:from>
    <cdr:to>
      <cdr:x>0.20646</cdr:x>
      <cdr:y>0.8481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6676" y="657225"/>
          <a:ext cx="1028701" cy="2533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100" b="1" u="sng"/>
            <a:t>Additional</a:t>
          </a:r>
          <a:r>
            <a:rPr lang="en-US" sz="1100" b="1" u="sng" baseline="0"/>
            <a:t> data</a:t>
          </a:r>
        </a:p>
        <a:p xmlns:a="http://schemas.openxmlformats.org/drawingml/2006/main">
          <a:endParaRPr lang="en-US" sz="1100" baseline="0"/>
        </a:p>
        <a:p xmlns:a="http://schemas.openxmlformats.org/drawingml/2006/main">
          <a:r>
            <a:rPr lang="en-US" sz="1100"/>
            <a:t>Calm: 10%</a:t>
          </a:r>
        </a:p>
        <a:p xmlns:a="http://schemas.openxmlformats.org/drawingml/2006/main">
          <a:r>
            <a:rPr lang="en-US" sz="1100"/>
            <a:t>Variable: 1.4%</a:t>
          </a:r>
        </a:p>
      </cdr:txBody>
    </cdr:sp>
  </cdr:relSizeAnchor>
  <cdr:relSizeAnchor xmlns:cdr="http://schemas.openxmlformats.org/drawingml/2006/chartDrawing">
    <cdr:from>
      <cdr:x>0.79533</cdr:x>
      <cdr:y>0.17468</cdr:y>
    </cdr:from>
    <cdr:to>
      <cdr:x>0.99461</cdr:x>
      <cdr:y>0.9351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340773" y="692151"/>
          <a:ext cx="1087635" cy="30130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100" b="1" u="sng"/>
            <a:t>Average speed</a:t>
          </a:r>
        </a:p>
        <a:p xmlns:a="http://schemas.openxmlformats.org/drawingml/2006/main">
          <a:pPr algn="ctr"/>
          <a:r>
            <a:rPr lang="en-US" sz="1100" b="1" u="sng"/>
            <a:t>(knots)</a:t>
          </a:r>
        </a:p>
        <a:p xmlns:a="http://schemas.openxmlformats.org/drawingml/2006/main">
          <a:endParaRPr lang="en-US" sz="1100" b="1"/>
        </a:p>
        <a:p xmlns:a="http://schemas.openxmlformats.org/drawingml/2006/main">
          <a:r>
            <a:rPr lang="en-US" sz="1100" b="0"/>
            <a:t>N:</a:t>
          </a:r>
          <a:r>
            <a:rPr lang="en-US" sz="1100" b="0" baseline="0"/>
            <a:t> 6</a:t>
          </a:r>
          <a:endParaRPr lang="en-US" sz="1100" b="0"/>
        </a:p>
        <a:p xmlns:a="http://schemas.openxmlformats.org/drawingml/2006/main">
          <a:r>
            <a:rPr lang="en-US" sz="1100" b="0"/>
            <a:t>NNE: 7</a:t>
          </a:r>
        </a:p>
        <a:p xmlns:a="http://schemas.openxmlformats.org/drawingml/2006/main">
          <a:r>
            <a:rPr lang="en-US" sz="1100" b="0"/>
            <a:t>NE: 8</a:t>
          </a:r>
        </a:p>
        <a:p xmlns:a="http://schemas.openxmlformats.org/drawingml/2006/main">
          <a:r>
            <a:rPr lang="en-US" sz="1100" b="0"/>
            <a:t>ENE:</a:t>
          </a:r>
          <a:r>
            <a:rPr lang="en-US" sz="1100" b="0" baseline="0"/>
            <a:t> 9</a:t>
          </a:r>
        </a:p>
        <a:p xmlns:a="http://schemas.openxmlformats.org/drawingml/2006/main">
          <a:r>
            <a:rPr lang="en-US" sz="1100" b="0" baseline="0"/>
            <a:t>E: 11</a:t>
          </a:r>
        </a:p>
        <a:p xmlns:a="http://schemas.openxmlformats.org/drawingml/2006/main">
          <a:r>
            <a:rPr lang="en-US" sz="1100" b="0" baseline="0"/>
            <a:t>ESE:14</a:t>
          </a:r>
        </a:p>
        <a:p xmlns:a="http://schemas.openxmlformats.org/drawingml/2006/main">
          <a:r>
            <a:rPr lang="en-US" sz="1100" b="0" baseline="0"/>
            <a:t>SE: 11</a:t>
          </a:r>
        </a:p>
        <a:p xmlns:a="http://schemas.openxmlformats.org/drawingml/2006/main">
          <a:r>
            <a:rPr lang="en-US" sz="1100" b="0" baseline="0"/>
            <a:t>SSE: 10</a:t>
          </a:r>
        </a:p>
        <a:p xmlns:a="http://schemas.openxmlformats.org/drawingml/2006/main">
          <a:r>
            <a:rPr lang="en-US" sz="1100" b="0" baseline="0"/>
            <a:t>WSW: 5</a:t>
          </a:r>
        </a:p>
        <a:p xmlns:a="http://schemas.openxmlformats.org/drawingml/2006/main">
          <a:r>
            <a:rPr lang="en-US" sz="1100" b="0" baseline="0"/>
            <a:t>W: 5</a:t>
          </a:r>
        </a:p>
        <a:p xmlns:a="http://schemas.openxmlformats.org/drawingml/2006/main">
          <a:r>
            <a:rPr lang="en-US" sz="1100" b="0" baseline="0"/>
            <a:t>NW: 5</a:t>
          </a:r>
        </a:p>
        <a:p xmlns:a="http://schemas.openxmlformats.org/drawingml/2006/main">
          <a:r>
            <a:rPr lang="en-US" sz="1100" b="0" baseline="0"/>
            <a:t>NNW: 6</a:t>
          </a:r>
          <a:endParaRPr lang="en-US" sz="1100" b="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/>
      <a:bodyPr vertOverflow="clip" wrap="square" rtlCol="0"/>
      <a:lstStyle>
        <a:defPPr algn="ctr">
          <a:defRPr sz="1100" b="1" u="sng"/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49"/>
  <sheetViews>
    <sheetView workbookViewId="0">
      <pane xSplit="2" ySplit="9" topLeftCell="C13" activePane="bottomRight" state="frozen"/>
      <selection activeCell="AM2" sqref="AM2"/>
      <selection pane="topRight" activeCell="AM2" sqref="AM2"/>
      <selection pane="bottomLeft" activeCell="AM2" sqref="AM2"/>
      <selection pane="bottomRight" activeCell="AH42" sqref="AH42:AL42"/>
    </sheetView>
  </sheetViews>
  <sheetFormatPr defaultRowHeight="12.75" x14ac:dyDescent="0.2"/>
  <cols>
    <col min="1" max="1" width="4.28515625" bestFit="1" customWidth="1"/>
    <col min="2" max="2" width="5.140625" bestFit="1" customWidth="1"/>
    <col min="3" max="3" width="4" bestFit="1" customWidth="1"/>
    <col min="4" max="5" width="3" bestFit="1" customWidth="1"/>
    <col min="6" max="6" width="4" bestFit="1" customWidth="1"/>
    <col min="7" max="10" width="3" bestFit="1" customWidth="1"/>
    <col min="11" max="11" width="8.5703125" bestFit="1" customWidth="1"/>
    <col min="12" max="12" width="7" bestFit="1" customWidth="1"/>
    <col min="13" max="16" width="5" bestFit="1" customWidth="1"/>
    <col min="17" max="22" width="3" bestFit="1" customWidth="1"/>
    <col min="23" max="23" width="5.28515625" bestFit="1" customWidth="1"/>
    <col min="24" max="26" width="3" bestFit="1" customWidth="1"/>
    <col min="27" max="27" width="5.28515625" bestFit="1" customWidth="1"/>
    <col min="28" max="29" width="3" bestFit="1" customWidth="1"/>
    <col min="30" max="30" width="5.28515625" bestFit="1" customWidth="1"/>
    <col min="31" max="32" width="3" bestFit="1" customWidth="1"/>
    <col min="33" max="33" width="5.28515625" bestFit="1" customWidth="1"/>
    <col min="34" max="34" width="5.42578125" customWidth="1"/>
    <col min="40" max="42" width="4.7109375" customWidth="1"/>
    <col min="50" max="58" width="0" hidden="1" customWidth="1"/>
  </cols>
  <sheetData>
    <row r="1" spans="1:5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  <c r="P1" s="1"/>
      <c r="Q1" s="1"/>
      <c r="R1" s="1"/>
    </row>
    <row r="2" spans="1:57" ht="36.75" customHeight="1" x14ac:dyDescent="0.2">
      <c r="A2" s="1"/>
      <c r="B2" s="1"/>
      <c r="C2" s="1"/>
      <c r="D2" s="1"/>
      <c r="E2" s="1"/>
      <c r="F2" s="1"/>
      <c r="G2" s="1"/>
      <c r="H2" s="1"/>
      <c r="I2" s="2"/>
      <c r="J2" s="2"/>
      <c r="K2" s="1"/>
      <c r="L2" s="1"/>
      <c r="M2" s="1"/>
      <c r="O2" s="2"/>
      <c r="P2" s="1"/>
      <c r="Q2" s="1"/>
      <c r="R2" s="1"/>
    </row>
    <row r="3" spans="1:5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80"/>
      <c r="Q3" s="80"/>
      <c r="R3" s="80"/>
      <c r="S3" s="80"/>
      <c r="T3" s="80"/>
    </row>
    <row r="4" spans="1:5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7" spans="1:57" ht="14.25" x14ac:dyDescent="0.25">
      <c r="A7" s="7"/>
      <c r="B7" s="7"/>
      <c r="C7" s="7"/>
      <c r="D7" s="7"/>
      <c r="E7" s="81" t="s">
        <v>20</v>
      </c>
      <c r="F7" s="81"/>
      <c r="G7" s="7"/>
      <c r="H7" s="7"/>
      <c r="I7" s="7"/>
      <c r="J7" s="7"/>
      <c r="K7" s="7"/>
      <c r="L7" s="82" t="s">
        <v>11</v>
      </c>
      <c r="M7" s="82"/>
      <c r="N7" s="82"/>
      <c r="O7" s="82"/>
      <c r="P7" s="82"/>
      <c r="Q7" s="83" t="s">
        <v>29</v>
      </c>
      <c r="R7" s="83"/>
      <c r="S7" s="83"/>
      <c r="T7" s="83"/>
      <c r="U7" s="84" t="s">
        <v>33</v>
      </c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98" t="s">
        <v>8</v>
      </c>
      <c r="AI7" s="99"/>
      <c r="AJ7" s="99"/>
      <c r="AK7" s="99"/>
      <c r="AL7" s="100"/>
      <c r="AN7" s="73" t="s">
        <v>80</v>
      </c>
      <c r="AO7" s="74"/>
      <c r="AP7" s="75"/>
      <c r="AY7" s="76" t="s">
        <v>81</v>
      </c>
      <c r="AZ7" s="77"/>
      <c r="BA7" s="78"/>
    </row>
    <row r="8" spans="1:57" ht="16.5" customHeight="1" x14ac:dyDescent="0.2">
      <c r="A8" s="113" t="s">
        <v>18</v>
      </c>
      <c r="B8" s="89" t="s">
        <v>19</v>
      </c>
      <c r="C8" s="90" t="s">
        <v>23</v>
      </c>
      <c r="D8" s="88" t="s">
        <v>24</v>
      </c>
      <c r="E8" s="91" t="s">
        <v>25</v>
      </c>
      <c r="F8" s="86" t="s">
        <v>26</v>
      </c>
      <c r="G8" s="88" t="s">
        <v>27</v>
      </c>
      <c r="H8" s="88" t="s">
        <v>0</v>
      </c>
      <c r="I8" s="88" t="s">
        <v>21</v>
      </c>
      <c r="J8" s="88" t="s">
        <v>22</v>
      </c>
      <c r="K8" s="85" t="s">
        <v>28</v>
      </c>
      <c r="L8" s="79" t="s">
        <v>1</v>
      </c>
      <c r="M8" s="79" t="s">
        <v>2</v>
      </c>
      <c r="N8" s="79" t="s">
        <v>3</v>
      </c>
      <c r="O8" s="79" t="s">
        <v>4</v>
      </c>
      <c r="P8" s="79" t="s">
        <v>5</v>
      </c>
      <c r="Q8" s="92" t="s">
        <v>34</v>
      </c>
      <c r="R8" s="92" t="s">
        <v>30</v>
      </c>
      <c r="S8" s="92" t="s">
        <v>31</v>
      </c>
      <c r="T8" s="92" t="s">
        <v>32</v>
      </c>
      <c r="U8" s="93" t="s">
        <v>38</v>
      </c>
      <c r="V8" s="93"/>
      <c r="W8" s="93"/>
      <c r="X8" s="93" t="s">
        <v>39</v>
      </c>
      <c r="Y8" s="93"/>
      <c r="Z8" s="93"/>
      <c r="AA8" s="93"/>
      <c r="AB8" s="93" t="s">
        <v>40</v>
      </c>
      <c r="AC8" s="93"/>
      <c r="AD8" s="93"/>
      <c r="AE8" s="93" t="s">
        <v>41</v>
      </c>
      <c r="AF8" s="94"/>
      <c r="AG8" s="95"/>
      <c r="AH8" s="101"/>
      <c r="AI8" s="102"/>
      <c r="AJ8" s="102"/>
      <c r="AK8" s="102"/>
      <c r="AL8" s="103"/>
      <c r="AN8" s="79" t="s">
        <v>3</v>
      </c>
      <c r="AO8" s="79" t="s">
        <v>4</v>
      </c>
      <c r="AP8" s="79" t="s">
        <v>5</v>
      </c>
      <c r="AY8" s="79" t="s">
        <v>3</v>
      </c>
      <c r="AZ8" s="79" t="s">
        <v>4</v>
      </c>
      <c r="BA8" s="79" t="s">
        <v>5</v>
      </c>
    </row>
    <row r="9" spans="1:57" s="3" customFormat="1" ht="72" customHeight="1" x14ac:dyDescent="0.2">
      <c r="A9" s="113"/>
      <c r="B9" s="89"/>
      <c r="C9" s="90"/>
      <c r="D9" s="88"/>
      <c r="E9" s="91"/>
      <c r="F9" s="87"/>
      <c r="G9" s="88"/>
      <c r="H9" s="88"/>
      <c r="I9" s="88"/>
      <c r="J9" s="88"/>
      <c r="K9" s="85"/>
      <c r="L9" s="79"/>
      <c r="M9" s="79"/>
      <c r="N9" s="79"/>
      <c r="O9" s="79"/>
      <c r="P9" s="79"/>
      <c r="Q9" s="92"/>
      <c r="R9" s="92"/>
      <c r="S9" s="92"/>
      <c r="T9" s="92"/>
      <c r="U9" s="8" t="s">
        <v>16</v>
      </c>
      <c r="V9" s="8" t="s">
        <v>6</v>
      </c>
      <c r="W9" s="9" t="s">
        <v>7</v>
      </c>
      <c r="X9" s="8" t="s">
        <v>17</v>
      </c>
      <c r="Y9" s="8" t="s">
        <v>16</v>
      </c>
      <c r="Z9" s="8" t="s">
        <v>6</v>
      </c>
      <c r="AA9" s="9" t="s">
        <v>7</v>
      </c>
      <c r="AB9" s="8" t="s">
        <v>16</v>
      </c>
      <c r="AC9" s="8" t="s">
        <v>6</v>
      </c>
      <c r="AD9" s="9" t="s">
        <v>7</v>
      </c>
      <c r="AE9" s="8" t="s">
        <v>16</v>
      </c>
      <c r="AF9" s="8" t="s">
        <v>6</v>
      </c>
      <c r="AG9" s="9" t="s">
        <v>7</v>
      </c>
      <c r="AH9" s="104"/>
      <c r="AI9" s="105"/>
      <c r="AJ9" s="105"/>
      <c r="AK9" s="105"/>
      <c r="AL9" s="106"/>
      <c r="AN9" s="79"/>
      <c r="AO9" s="79"/>
      <c r="AP9" s="79"/>
      <c r="AY9" s="79"/>
      <c r="AZ9" s="79"/>
      <c r="BA9" s="79"/>
      <c r="BC9" s="3" t="s">
        <v>82</v>
      </c>
      <c r="BD9" s="3" t="s">
        <v>83</v>
      </c>
      <c r="BE9" s="3" t="s">
        <v>84</v>
      </c>
    </row>
    <row r="10" spans="1:57" x14ac:dyDescent="0.2">
      <c r="A10" s="13">
        <v>1</v>
      </c>
      <c r="B10" s="3">
        <v>19</v>
      </c>
      <c r="C10" s="17">
        <v>7</v>
      </c>
      <c r="D10" s="3">
        <v>4</v>
      </c>
      <c r="E10" s="18">
        <v>9</v>
      </c>
      <c r="F10" s="18">
        <v>11</v>
      </c>
      <c r="G10" s="18">
        <v>76</v>
      </c>
      <c r="H10" s="19">
        <v>2</v>
      </c>
      <c r="I10" s="18"/>
      <c r="J10" s="18"/>
      <c r="K10" s="20">
        <v>125</v>
      </c>
      <c r="L10" s="18">
        <v>271</v>
      </c>
      <c r="M10" s="18">
        <v>248</v>
      </c>
      <c r="N10" s="18">
        <v>295</v>
      </c>
      <c r="O10" s="18">
        <v>82</v>
      </c>
      <c r="P10" s="18">
        <v>238</v>
      </c>
      <c r="Q10" s="17">
        <v>1</v>
      </c>
      <c r="R10" s="17">
        <v>2</v>
      </c>
      <c r="S10" s="17">
        <v>0</v>
      </c>
      <c r="T10" s="17">
        <v>2</v>
      </c>
      <c r="U10" s="17">
        <v>1</v>
      </c>
      <c r="V10" s="3">
        <v>8</v>
      </c>
      <c r="W10" s="20">
        <v>63</v>
      </c>
      <c r="X10" s="17">
        <v>8</v>
      </c>
      <c r="Y10" s="17">
        <v>7</v>
      </c>
      <c r="Z10" s="17">
        <v>0</v>
      </c>
      <c r="AA10" s="20">
        <v>840</v>
      </c>
      <c r="AB10" s="3"/>
      <c r="AC10" s="3"/>
      <c r="AD10" s="20"/>
      <c r="AE10" s="3"/>
      <c r="AF10" s="3"/>
      <c r="AG10" s="20"/>
      <c r="AH10" s="96"/>
      <c r="AI10" s="96"/>
      <c r="AJ10" s="96"/>
      <c r="AK10" s="96"/>
      <c r="AL10" s="97"/>
      <c r="AN10" s="67">
        <f>N10-AY10</f>
        <v>-2.1098097345250721</v>
      </c>
      <c r="AO10" s="67">
        <f>O10-AZ10</f>
        <v>-0.84773035597383739</v>
      </c>
      <c r="AP10" s="67">
        <f>P10-BA10</f>
        <v>-1.3211153438733731</v>
      </c>
      <c r="AY10" s="67">
        <f t="shared" ref="AY10:AY40" si="0">10*(BE10-BD10*((L10/10)-(M10/10))*0.00066*(1+(0.00115*(M10/10))))</f>
        <v>297.10980973452507</v>
      </c>
      <c r="AZ10" s="67">
        <f t="shared" ref="AZ10:AZ40" si="1">((AY10/10)*100)/BC10</f>
        <v>82.847730355973837</v>
      </c>
      <c r="BA10" s="67">
        <f>(243.5*LN((AY10/10)/6.112))/(17.67-LN((AY10/10)/6.112))*10</f>
        <v>239.32111534387337</v>
      </c>
      <c r="BC10">
        <f>6.112*2.718^((17.67*(L10/10))/((L10/10)+243.5))</f>
        <v>35.862154395530958</v>
      </c>
      <c r="BD10">
        <v>1013.2</v>
      </c>
      <c r="BE10">
        <f>6.112*2.718^((17.67*(M10/10))/((M10/10)+243.5))</f>
        <v>31.29288340580451</v>
      </c>
    </row>
    <row r="11" spans="1:57" x14ac:dyDescent="0.2">
      <c r="A11" s="13">
        <v>2</v>
      </c>
      <c r="B11" s="3">
        <v>19</v>
      </c>
      <c r="C11" s="17">
        <v>4</v>
      </c>
      <c r="D11" s="3">
        <v>4</v>
      </c>
      <c r="E11" s="18">
        <v>8</v>
      </c>
      <c r="F11" s="18">
        <v>9</v>
      </c>
      <c r="G11" s="18">
        <v>75</v>
      </c>
      <c r="H11" s="19">
        <v>2</v>
      </c>
      <c r="I11" s="18"/>
      <c r="J11" s="18"/>
      <c r="K11" s="20">
        <v>119</v>
      </c>
      <c r="L11" s="18">
        <v>269</v>
      </c>
      <c r="M11" s="18">
        <v>246</v>
      </c>
      <c r="N11" s="18">
        <v>292</v>
      </c>
      <c r="O11" s="18">
        <v>82</v>
      </c>
      <c r="P11" s="18">
        <v>236</v>
      </c>
      <c r="Q11" s="17">
        <v>1</v>
      </c>
      <c r="R11" s="17">
        <v>2</v>
      </c>
      <c r="S11" s="17">
        <v>0</v>
      </c>
      <c r="T11" s="17">
        <v>1</v>
      </c>
      <c r="U11" s="17">
        <v>1</v>
      </c>
      <c r="V11" s="3">
        <v>8</v>
      </c>
      <c r="W11" s="20">
        <v>60</v>
      </c>
      <c r="X11" s="17">
        <v>8</v>
      </c>
      <c r="Y11" s="17">
        <v>3</v>
      </c>
      <c r="Z11" s="17">
        <v>0</v>
      </c>
      <c r="AA11" s="20">
        <v>840</v>
      </c>
      <c r="AB11" s="3"/>
      <c r="AC11" s="3"/>
      <c r="AD11" s="20"/>
      <c r="AE11" s="3"/>
      <c r="AF11" s="3"/>
      <c r="AG11" s="20"/>
      <c r="AH11" s="107"/>
      <c r="AI11" s="107"/>
      <c r="AJ11" s="107"/>
      <c r="AK11" s="107"/>
      <c r="AL11" s="108"/>
      <c r="AN11" s="67">
        <f t="shared" ref="AN11:AP39" si="2">N11-AY11</f>
        <v>-1.3923987738897949</v>
      </c>
      <c r="AO11" s="67">
        <f t="shared" si="2"/>
        <v>-0.77887775688614624</v>
      </c>
      <c r="AP11" s="67">
        <f t="shared" si="2"/>
        <v>-1.2298620738831119</v>
      </c>
      <c r="AY11" s="67">
        <f t="shared" si="0"/>
        <v>293.39239877388979</v>
      </c>
      <c r="AZ11" s="67">
        <f t="shared" si="1"/>
        <v>82.778877756886146</v>
      </c>
      <c r="BA11" s="67">
        <f t="shared" ref="BA11:BA40" si="3">(243.5*LN((AY11/10)/6.112))/(17.67-LN((AY11/10)/6.112))*10</f>
        <v>237.22986207388311</v>
      </c>
      <c r="BC11">
        <f t="shared" ref="BC11:BC40" si="4">6.112*2.718^((17.67*(L11/10))/((L11/10)+243.5))</f>
        <v>35.442906055764126</v>
      </c>
      <c r="BD11">
        <v>1013.2</v>
      </c>
      <c r="BE11">
        <f t="shared" ref="BE11:BE40" si="5">6.112*2.718^((17.67*(M11/10))/((M11/10)+243.5))</f>
        <v>30.920788561092973</v>
      </c>
    </row>
    <row r="12" spans="1:57" x14ac:dyDescent="0.2">
      <c r="A12" s="13">
        <v>3</v>
      </c>
      <c r="B12" s="3">
        <v>19</v>
      </c>
      <c r="C12" s="17">
        <v>2</v>
      </c>
      <c r="D12" s="3">
        <v>4</v>
      </c>
      <c r="E12" s="18">
        <v>7</v>
      </c>
      <c r="F12" s="18">
        <v>10</v>
      </c>
      <c r="G12" s="18">
        <v>75</v>
      </c>
      <c r="H12" s="19">
        <v>2</v>
      </c>
      <c r="I12" s="18"/>
      <c r="J12" s="18"/>
      <c r="K12" s="20">
        <v>124</v>
      </c>
      <c r="L12" s="18">
        <v>271</v>
      </c>
      <c r="M12" s="18">
        <v>242</v>
      </c>
      <c r="N12" s="18">
        <v>279</v>
      </c>
      <c r="O12" s="18">
        <v>78</v>
      </c>
      <c r="P12" s="18">
        <v>229</v>
      </c>
      <c r="Q12" s="17">
        <v>1</v>
      </c>
      <c r="R12" s="17">
        <v>2</v>
      </c>
      <c r="S12" s="17">
        <v>0</v>
      </c>
      <c r="T12" s="17">
        <v>2</v>
      </c>
      <c r="U12" s="17">
        <v>1</v>
      </c>
      <c r="V12" s="3">
        <v>8</v>
      </c>
      <c r="W12" s="20">
        <v>63</v>
      </c>
      <c r="X12" s="17">
        <v>8</v>
      </c>
      <c r="Y12" s="3"/>
      <c r="Z12" s="3"/>
      <c r="AA12" s="20"/>
      <c r="AB12" s="3"/>
      <c r="AC12" s="3"/>
      <c r="AD12" s="20"/>
      <c r="AE12" s="3"/>
      <c r="AF12" s="3"/>
      <c r="AG12" s="20"/>
      <c r="AH12" s="107"/>
      <c r="AI12" s="107"/>
      <c r="AJ12" s="107"/>
      <c r="AK12" s="107"/>
      <c r="AL12" s="108"/>
      <c r="AN12" s="67">
        <f t="shared" si="2"/>
        <v>-2.9496637795678566</v>
      </c>
      <c r="AO12" s="67">
        <f t="shared" si="2"/>
        <v>-0.6203920349814922</v>
      </c>
      <c r="AP12" s="67">
        <f t="shared" si="2"/>
        <v>-1.6437156448276653</v>
      </c>
      <c r="AY12" s="67">
        <f t="shared" si="0"/>
        <v>281.94966377956786</v>
      </c>
      <c r="AZ12" s="67">
        <f t="shared" si="1"/>
        <v>78.620392034981492</v>
      </c>
      <c r="BA12" s="67">
        <f t="shared" si="3"/>
        <v>230.64371564482767</v>
      </c>
      <c r="BC12">
        <f t="shared" si="4"/>
        <v>35.862154395530958</v>
      </c>
      <c r="BD12">
        <v>1013.2</v>
      </c>
      <c r="BE12">
        <f t="shared" si="5"/>
        <v>30.188200917340787</v>
      </c>
    </row>
    <row r="13" spans="1:57" x14ac:dyDescent="0.2">
      <c r="A13" s="13">
        <v>4</v>
      </c>
      <c r="B13" s="3">
        <v>19</v>
      </c>
      <c r="C13" s="17">
        <v>1</v>
      </c>
      <c r="D13" s="3">
        <v>4</v>
      </c>
      <c r="E13" s="18">
        <v>9</v>
      </c>
      <c r="F13" s="18">
        <v>13</v>
      </c>
      <c r="G13" s="18">
        <v>80</v>
      </c>
      <c r="H13" s="19">
        <v>2</v>
      </c>
      <c r="I13" s="18"/>
      <c r="J13" s="18"/>
      <c r="K13" s="20">
        <v>127</v>
      </c>
      <c r="L13" s="18">
        <v>271</v>
      </c>
      <c r="M13" s="18">
        <v>247</v>
      </c>
      <c r="N13" s="18">
        <v>291</v>
      </c>
      <c r="O13" s="18">
        <v>81</v>
      </c>
      <c r="P13" s="18">
        <v>236</v>
      </c>
      <c r="Q13" s="17">
        <v>1</v>
      </c>
      <c r="R13" s="17">
        <v>2</v>
      </c>
      <c r="S13" s="17">
        <v>0</v>
      </c>
      <c r="T13" s="17">
        <v>2</v>
      </c>
      <c r="U13" s="17">
        <v>1</v>
      </c>
      <c r="V13" s="3">
        <v>8</v>
      </c>
      <c r="W13" s="20">
        <v>66</v>
      </c>
      <c r="X13" s="17">
        <v>8</v>
      </c>
      <c r="Y13" s="3"/>
      <c r="Z13" s="3"/>
      <c r="AA13" s="20"/>
      <c r="AB13" s="3"/>
      <c r="AC13" s="3"/>
      <c r="AD13" s="20"/>
      <c r="AE13" s="3"/>
      <c r="AF13" s="3"/>
      <c r="AG13" s="20"/>
      <c r="AH13" s="107"/>
      <c r="AI13" s="107"/>
      <c r="AJ13" s="107"/>
      <c r="AK13" s="107"/>
      <c r="AL13" s="108"/>
      <c r="AN13" s="67">
        <f t="shared" si="2"/>
        <v>-3.5585274543502123</v>
      </c>
      <c r="AO13" s="67">
        <f t="shared" si="2"/>
        <v>-1.1363167994885686</v>
      </c>
      <c r="AP13" s="67">
        <f t="shared" si="2"/>
        <v>-1.8883610147632908</v>
      </c>
      <c r="AY13" s="67">
        <f t="shared" si="0"/>
        <v>294.55852745435021</v>
      </c>
      <c r="AZ13" s="67">
        <f t="shared" si="1"/>
        <v>82.136316799488569</v>
      </c>
      <c r="BA13" s="67">
        <f t="shared" si="3"/>
        <v>237.88836101476329</v>
      </c>
      <c r="BC13">
        <f t="shared" si="4"/>
        <v>35.862154395530958</v>
      </c>
      <c r="BD13">
        <v>1013.2</v>
      </c>
      <c r="BE13">
        <f t="shared" si="5"/>
        <v>31.106348979899021</v>
      </c>
    </row>
    <row r="14" spans="1:57" x14ac:dyDescent="0.2">
      <c r="A14" s="13">
        <v>5</v>
      </c>
      <c r="B14" s="3">
        <v>19</v>
      </c>
      <c r="C14" s="17">
        <v>6</v>
      </c>
      <c r="D14" s="3">
        <v>4</v>
      </c>
      <c r="E14" s="18">
        <v>10</v>
      </c>
      <c r="F14" s="18">
        <v>13</v>
      </c>
      <c r="G14" s="18">
        <v>78</v>
      </c>
      <c r="H14" s="19">
        <v>2</v>
      </c>
      <c r="I14" s="18"/>
      <c r="J14" s="18"/>
      <c r="K14" s="20">
        <v>122</v>
      </c>
      <c r="L14" s="18">
        <v>270</v>
      </c>
      <c r="M14" s="18">
        <v>246</v>
      </c>
      <c r="N14" s="18">
        <v>290</v>
      </c>
      <c r="O14" s="18">
        <v>81</v>
      </c>
      <c r="P14" s="18">
        <v>235</v>
      </c>
      <c r="Q14" s="17">
        <v>1</v>
      </c>
      <c r="R14" s="17">
        <v>1</v>
      </c>
      <c r="S14" s="17">
        <v>0</v>
      </c>
      <c r="T14" s="17">
        <v>1</v>
      </c>
      <c r="U14" s="17">
        <v>1</v>
      </c>
      <c r="V14" s="3">
        <v>8</v>
      </c>
      <c r="W14" s="20">
        <v>60</v>
      </c>
      <c r="X14" s="17">
        <v>8</v>
      </c>
      <c r="Y14" s="17">
        <v>5</v>
      </c>
      <c r="Z14" s="17">
        <v>0</v>
      </c>
      <c r="AA14" s="20">
        <v>900</v>
      </c>
      <c r="AB14" s="3"/>
      <c r="AC14" s="3"/>
      <c r="AD14" s="20"/>
      <c r="AE14" s="3"/>
      <c r="AF14" s="3"/>
      <c r="AG14" s="20"/>
      <c r="AH14" s="107"/>
      <c r="AI14" s="107"/>
      <c r="AJ14" s="107"/>
      <c r="AK14" s="107"/>
      <c r="AL14" s="108"/>
      <c r="AN14" s="67">
        <f t="shared" si="2"/>
        <v>-2.7047689114097011</v>
      </c>
      <c r="AO14" s="67">
        <f t="shared" si="2"/>
        <v>-1.1005382719583992</v>
      </c>
      <c r="AP14" s="67">
        <f t="shared" si="2"/>
        <v>-1.8404906043252538</v>
      </c>
      <c r="AY14" s="67">
        <f t="shared" si="0"/>
        <v>292.7047689114097</v>
      </c>
      <c r="AZ14" s="67">
        <f t="shared" si="1"/>
        <v>82.100538271958399</v>
      </c>
      <c r="BA14" s="67">
        <f t="shared" si="3"/>
        <v>236.84049060432525</v>
      </c>
      <c r="BC14">
        <f t="shared" si="4"/>
        <v>35.651991457330503</v>
      </c>
      <c r="BD14">
        <v>1013.2</v>
      </c>
      <c r="BE14">
        <f t="shared" si="5"/>
        <v>30.920788561092973</v>
      </c>
    </row>
    <row r="15" spans="1:57" x14ac:dyDescent="0.2">
      <c r="A15" s="13">
        <v>6</v>
      </c>
      <c r="B15" s="3">
        <v>19</v>
      </c>
      <c r="C15" s="17">
        <v>2</v>
      </c>
      <c r="D15" s="3">
        <v>4</v>
      </c>
      <c r="E15" s="18">
        <v>9</v>
      </c>
      <c r="F15" s="18">
        <v>12</v>
      </c>
      <c r="G15" s="18">
        <v>80</v>
      </c>
      <c r="H15" s="19">
        <v>2</v>
      </c>
      <c r="I15" s="18"/>
      <c r="J15" s="18"/>
      <c r="K15" s="20">
        <v>117</v>
      </c>
      <c r="L15" s="18">
        <v>270</v>
      </c>
      <c r="M15" s="18">
        <v>246</v>
      </c>
      <c r="N15" s="18">
        <v>291</v>
      </c>
      <c r="O15" s="18">
        <v>81</v>
      </c>
      <c r="P15" s="18">
        <v>236</v>
      </c>
      <c r="Q15" s="17">
        <v>1</v>
      </c>
      <c r="R15" s="17">
        <v>1</v>
      </c>
      <c r="S15" s="17">
        <v>0</v>
      </c>
      <c r="T15" s="17">
        <v>1</v>
      </c>
      <c r="U15" s="17">
        <v>1</v>
      </c>
      <c r="V15" s="3">
        <v>8</v>
      </c>
      <c r="W15" s="20">
        <v>66</v>
      </c>
      <c r="X15" s="17">
        <v>8</v>
      </c>
      <c r="Y15" s="3"/>
      <c r="Z15" s="3"/>
      <c r="AA15" s="20"/>
      <c r="AB15" s="3"/>
      <c r="AC15" s="3"/>
      <c r="AD15" s="20"/>
      <c r="AE15" s="3"/>
      <c r="AF15" s="3"/>
      <c r="AG15" s="20"/>
      <c r="AH15" s="107"/>
      <c r="AI15" s="107"/>
      <c r="AJ15" s="107"/>
      <c r="AK15" s="107"/>
      <c r="AL15" s="108"/>
      <c r="AN15" s="67">
        <f t="shared" si="2"/>
        <v>-1.7047689114097011</v>
      </c>
      <c r="AO15" s="67">
        <f t="shared" si="2"/>
        <v>-1.1005382719583992</v>
      </c>
      <c r="AP15" s="67">
        <f t="shared" si="2"/>
        <v>-0.8404906043252538</v>
      </c>
      <c r="AY15" s="67">
        <f t="shared" si="0"/>
        <v>292.7047689114097</v>
      </c>
      <c r="AZ15" s="67">
        <f t="shared" si="1"/>
        <v>82.100538271958399</v>
      </c>
      <c r="BA15" s="67">
        <f t="shared" si="3"/>
        <v>236.84049060432525</v>
      </c>
      <c r="BC15">
        <f t="shared" si="4"/>
        <v>35.651991457330503</v>
      </c>
      <c r="BD15">
        <v>1013.2</v>
      </c>
      <c r="BE15">
        <f t="shared" si="5"/>
        <v>30.920788561092973</v>
      </c>
    </row>
    <row r="16" spans="1:57" x14ac:dyDescent="0.2">
      <c r="A16" s="13">
        <v>7</v>
      </c>
      <c r="B16" s="3">
        <v>19</v>
      </c>
      <c r="C16" s="17">
        <v>4</v>
      </c>
      <c r="D16" s="3">
        <v>4</v>
      </c>
      <c r="E16" s="18">
        <v>9</v>
      </c>
      <c r="F16" s="18">
        <v>11</v>
      </c>
      <c r="G16" s="18">
        <v>76</v>
      </c>
      <c r="H16" s="19">
        <v>2</v>
      </c>
      <c r="I16" s="18"/>
      <c r="J16" s="18"/>
      <c r="K16" s="20">
        <v>108</v>
      </c>
      <c r="L16" s="18">
        <v>269</v>
      </c>
      <c r="M16" s="18">
        <v>238</v>
      </c>
      <c r="N16" s="18">
        <v>270</v>
      </c>
      <c r="O16" s="18">
        <v>76</v>
      </c>
      <c r="P16" s="18">
        <v>223</v>
      </c>
      <c r="Q16" s="17">
        <v>1</v>
      </c>
      <c r="R16" s="17">
        <v>2</v>
      </c>
      <c r="S16" s="17">
        <v>0</v>
      </c>
      <c r="T16" s="17">
        <v>2</v>
      </c>
      <c r="U16" s="17">
        <v>1</v>
      </c>
      <c r="V16" s="3">
        <v>8</v>
      </c>
      <c r="W16" s="20">
        <v>69</v>
      </c>
      <c r="X16" s="17">
        <v>8</v>
      </c>
      <c r="Y16" s="17">
        <v>4</v>
      </c>
      <c r="Z16" s="17">
        <v>0</v>
      </c>
      <c r="AA16" s="20">
        <v>840</v>
      </c>
      <c r="AB16" s="3"/>
      <c r="AC16" s="3"/>
      <c r="AD16" s="20"/>
      <c r="AE16" s="3"/>
      <c r="AF16" s="3"/>
      <c r="AG16" s="20"/>
      <c r="AH16" s="107"/>
      <c r="AI16" s="107"/>
      <c r="AJ16" s="107"/>
      <c r="AK16" s="107"/>
      <c r="AL16" s="108"/>
      <c r="AN16" s="67">
        <f t="shared" si="2"/>
        <v>-3.4110965282483221</v>
      </c>
      <c r="AO16" s="67">
        <f t="shared" si="2"/>
        <v>-1.1412750687194659</v>
      </c>
      <c r="AP16" s="67">
        <f t="shared" si="2"/>
        <v>-2.5747880216628118</v>
      </c>
      <c r="AY16" s="67">
        <f t="shared" si="0"/>
        <v>273.41109652824832</v>
      </c>
      <c r="AZ16" s="67">
        <f t="shared" si="1"/>
        <v>77.141275068719466</v>
      </c>
      <c r="BA16" s="67">
        <f t="shared" si="3"/>
        <v>225.57478802166281</v>
      </c>
      <c r="BC16">
        <f t="shared" si="4"/>
        <v>35.442906055764126</v>
      </c>
      <c r="BD16">
        <v>1013.2</v>
      </c>
      <c r="BE16">
        <f t="shared" si="5"/>
        <v>29.470855059888834</v>
      </c>
    </row>
    <row r="17" spans="1:57" x14ac:dyDescent="0.2">
      <c r="A17" s="13">
        <v>8</v>
      </c>
      <c r="B17" s="3">
        <v>19</v>
      </c>
      <c r="C17" s="17">
        <v>1</v>
      </c>
      <c r="D17" s="3">
        <v>4</v>
      </c>
      <c r="E17" s="18">
        <v>10</v>
      </c>
      <c r="F17" s="18">
        <v>14</v>
      </c>
      <c r="G17" s="18">
        <v>75</v>
      </c>
      <c r="H17" s="19">
        <v>2</v>
      </c>
      <c r="I17" s="18"/>
      <c r="J17" s="18"/>
      <c r="K17" s="20">
        <v>116</v>
      </c>
      <c r="L17" s="18">
        <v>273</v>
      </c>
      <c r="M17" s="18">
        <v>250</v>
      </c>
      <c r="N17" s="18">
        <v>299</v>
      </c>
      <c r="O17" s="18">
        <v>82</v>
      </c>
      <c r="P17" s="18">
        <v>240</v>
      </c>
      <c r="Q17" s="17">
        <v>1</v>
      </c>
      <c r="R17" s="17">
        <v>8</v>
      </c>
      <c r="S17" s="17">
        <v>0</v>
      </c>
      <c r="T17" s="17">
        <v>0</v>
      </c>
      <c r="U17" s="17">
        <v>1</v>
      </c>
      <c r="V17" s="3">
        <v>8</v>
      </c>
      <c r="W17" s="20">
        <v>63</v>
      </c>
      <c r="X17" s="17">
        <v>8</v>
      </c>
      <c r="Y17" s="3"/>
      <c r="Z17" s="3"/>
      <c r="AA17" s="20"/>
      <c r="AB17" s="3"/>
      <c r="AC17" s="3"/>
      <c r="AD17" s="20"/>
      <c r="AE17" s="3"/>
      <c r="AF17" s="3"/>
      <c r="AG17" s="20"/>
      <c r="AH17" s="107" t="s">
        <v>85</v>
      </c>
      <c r="AI17" s="107"/>
      <c r="AJ17" s="107"/>
      <c r="AK17" s="107"/>
      <c r="AL17" s="108"/>
      <c r="AN17" s="67">
        <f t="shared" si="2"/>
        <v>-1.8663542861599467</v>
      </c>
      <c r="AO17" s="67">
        <f t="shared" si="2"/>
        <v>-0.915884684281707</v>
      </c>
      <c r="AP17" s="67">
        <f t="shared" si="2"/>
        <v>-1.4112355436947439</v>
      </c>
      <c r="AY17" s="67">
        <f t="shared" si="0"/>
        <v>300.86635428615995</v>
      </c>
      <c r="AZ17" s="67">
        <f t="shared" si="1"/>
        <v>82.915884684281707</v>
      </c>
      <c r="BA17" s="67">
        <f t="shared" si="3"/>
        <v>241.41123554369474</v>
      </c>
      <c r="BC17">
        <f t="shared" si="4"/>
        <v>36.285731670326726</v>
      </c>
      <c r="BD17">
        <v>1013.2</v>
      </c>
      <c r="BE17">
        <f t="shared" si="5"/>
        <v>31.668891609615997</v>
      </c>
    </row>
    <row r="18" spans="1:57" x14ac:dyDescent="0.2">
      <c r="A18" s="13">
        <v>9</v>
      </c>
      <c r="B18" s="3">
        <v>19</v>
      </c>
      <c r="C18" s="17">
        <v>5</v>
      </c>
      <c r="D18" s="3">
        <v>4</v>
      </c>
      <c r="E18" s="18">
        <v>9</v>
      </c>
      <c r="F18" s="18">
        <v>12</v>
      </c>
      <c r="G18" s="18">
        <v>78</v>
      </c>
      <c r="H18" s="19">
        <v>2</v>
      </c>
      <c r="I18" s="18"/>
      <c r="J18" s="18"/>
      <c r="K18" s="20">
        <v>115</v>
      </c>
      <c r="L18" s="18">
        <v>270</v>
      </c>
      <c r="M18" s="18">
        <v>246</v>
      </c>
      <c r="N18" s="18">
        <v>291</v>
      </c>
      <c r="O18" s="18">
        <v>82</v>
      </c>
      <c r="P18" s="18">
        <v>236</v>
      </c>
      <c r="Q18" s="17">
        <v>1</v>
      </c>
      <c r="R18" s="17">
        <v>2</v>
      </c>
      <c r="S18" s="17">
        <v>0</v>
      </c>
      <c r="T18" s="17">
        <v>1</v>
      </c>
      <c r="U18" s="17">
        <v>1</v>
      </c>
      <c r="V18" s="3">
        <v>8</v>
      </c>
      <c r="W18" s="20">
        <v>66</v>
      </c>
      <c r="X18" s="17">
        <v>8</v>
      </c>
      <c r="Y18" s="17">
        <v>5</v>
      </c>
      <c r="Z18" s="17">
        <v>0</v>
      </c>
      <c r="AA18" s="20">
        <v>900</v>
      </c>
      <c r="AB18" s="3"/>
      <c r="AC18" s="3"/>
      <c r="AD18" s="20"/>
      <c r="AE18" s="3"/>
      <c r="AF18" s="3"/>
      <c r="AG18" s="20"/>
      <c r="AH18" s="107"/>
      <c r="AI18" s="107"/>
      <c r="AJ18" s="107"/>
      <c r="AK18" s="107"/>
      <c r="AL18" s="108"/>
      <c r="AN18" s="67">
        <f t="shared" si="2"/>
        <v>-1.7047689114097011</v>
      </c>
      <c r="AO18" s="67">
        <f t="shared" si="2"/>
        <v>-0.10053827195839915</v>
      </c>
      <c r="AP18" s="67">
        <f t="shared" si="2"/>
        <v>-0.8404906043252538</v>
      </c>
      <c r="AY18" s="67">
        <f t="shared" si="0"/>
        <v>292.7047689114097</v>
      </c>
      <c r="AZ18" s="67">
        <f t="shared" si="1"/>
        <v>82.100538271958399</v>
      </c>
      <c r="BA18" s="67">
        <f t="shared" si="3"/>
        <v>236.84049060432525</v>
      </c>
      <c r="BC18">
        <f t="shared" si="4"/>
        <v>35.651991457330503</v>
      </c>
      <c r="BD18">
        <v>1013.2</v>
      </c>
      <c r="BE18">
        <f t="shared" si="5"/>
        <v>30.920788561092973</v>
      </c>
    </row>
    <row r="19" spans="1:57" x14ac:dyDescent="0.2">
      <c r="A19" s="13">
        <v>10</v>
      </c>
      <c r="B19" s="3">
        <v>19</v>
      </c>
      <c r="C19" s="17">
        <v>4</v>
      </c>
      <c r="D19" s="3">
        <v>4</v>
      </c>
      <c r="E19" s="18">
        <v>8</v>
      </c>
      <c r="F19" s="18">
        <v>12</v>
      </c>
      <c r="G19" s="18">
        <v>75</v>
      </c>
      <c r="H19" s="19">
        <v>2</v>
      </c>
      <c r="I19" s="18"/>
      <c r="J19" s="18"/>
      <c r="K19" s="20">
        <v>91</v>
      </c>
      <c r="L19" s="18">
        <v>275</v>
      </c>
      <c r="M19" s="18">
        <v>250</v>
      </c>
      <c r="N19" s="18">
        <v>297</v>
      </c>
      <c r="O19" s="18">
        <v>80</v>
      </c>
      <c r="P19" s="18">
        <v>239</v>
      </c>
      <c r="Q19" s="17">
        <v>1</v>
      </c>
      <c r="R19" s="17">
        <v>2</v>
      </c>
      <c r="S19" s="17">
        <v>0</v>
      </c>
      <c r="T19" s="17">
        <v>1</v>
      </c>
      <c r="U19" s="17">
        <v>1</v>
      </c>
      <c r="V19" s="3">
        <v>8</v>
      </c>
      <c r="W19" s="20">
        <v>66</v>
      </c>
      <c r="X19" s="17">
        <v>8</v>
      </c>
      <c r="Y19" s="17">
        <v>4</v>
      </c>
      <c r="Z19" s="17">
        <v>0</v>
      </c>
      <c r="AA19" s="20">
        <v>900</v>
      </c>
      <c r="AB19" s="3"/>
      <c r="AC19" s="3"/>
      <c r="AD19" s="20"/>
      <c r="AE19" s="3"/>
      <c r="AF19" s="3"/>
      <c r="AG19" s="20"/>
      <c r="AH19" s="107"/>
      <c r="AI19" s="107"/>
      <c r="AJ19" s="107"/>
      <c r="AK19" s="107"/>
      <c r="AL19" s="108"/>
      <c r="AN19" s="67">
        <f t="shared" si="2"/>
        <v>-2.4904793461599866</v>
      </c>
      <c r="AO19" s="67">
        <f t="shared" si="2"/>
        <v>-1.5746378657556903</v>
      </c>
      <c r="AP19" s="67">
        <f t="shared" si="2"/>
        <v>-1.6483724122381318</v>
      </c>
      <c r="AY19" s="67">
        <f t="shared" si="0"/>
        <v>299.49047934615999</v>
      </c>
      <c r="AZ19" s="67">
        <f t="shared" si="1"/>
        <v>81.57463786575569</v>
      </c>
      <c r="BA19" s="67">
        <f t="shared" si="3"/>
        <v>240.64837241223813</v>
      </c>
      <c r="BC19">
        <f t="shared" si="4"/>
        <v>36.713675620481474</v>
      </c>
      <c r="BD19">
        <v>1013.2</v>
      </c>
      <c r="BE19">
        <f t="shared" si="5"/>
        <v>31.668891609615997</v>
      </c>
    </row>
    <row r="20" spans="1:57" x14ac:dyDescent="0.2">
      <c r="A20" s="13">
        <v>11</v>
      </c>
      <c r="B20" s="3">
        <v>19</v>
      </c>
      <c r="C20" s="17">
        <v>6</v>
      </c>
      <c r="D20" s="3">
        <v>4</v>
      </c>
      <c r="E20" s="18">
        <v>0</v>
      </c>
      <c r="F20" s="18">
        <v>0</v>
      </c>
      <c r="G20" s="18">
        <v>70</v>
      </c>
      <c r="H20" s="19">
        <v>1</v>
      </c>
      <c r="I20" s="18">
        <v>5</v>
      </c>
      <c r="J20" s="18">
        <v>22</v>
      </c>
      <c r="K20" s="20">
        <v>100</v>
      </c>
      <c r="L20" s="18">
        <v>269</v>
      </c>
      <c r="M20" s="18">
        <v>240</v>
      </c>
      <c r="N20" s="18">
        <v>276</v>
      </c>
      <c r="O20" s="18">
        <v>78</v>
      </c>
      <c r="P20" s="18">
        <v>227</v>
      </c>
      <c r="Q20" s="17">
        <v>2</v>
      </c>
      <c r="R20" s="17">
        <v>8</v>
      </c>
      <c r="S20" s="17">
        <v>0</v>
      </c>
      <c r="T20" s="17">
        <v>2</v>
      </c>
      <c r="U20" s="17">
        <v>2</v>
      </c>
      <c r="V20" s="3">
        <v>8</v>
      </c>
      <c r="W20" s="20">
        <v>54</v>
      </c>
      <c r="X20" s="17">
        <v>8</v>
      </c>
      <c r="Y20" s="17">
        <v>6</v>
      </c>
      <c r="Z20" s="17">
        <v>0</v>
      </c>
      <c r="AA20" s="20">
        <v>840</v>
      </c>
      <c r="AB20" s="3"/>
      <c r="AC20" s="3"/>
      <c r="AD20" s="20"/>
      <c r="AE20" s="3"/>
      <c r="AF20" s="3"/>
      <c r="AG20" s="20"/>
      <c r="AH20" s="107" t="s">
        <v>85</v>
      </c>
      <c r="AI20" s="107"/>
      <c r="AJ20" s="107"/>
      <c r="AK20" s="107"/>
      <c r="AL20" s="108"/>
      <c r="AN20" s="67">
        <f t="shared" si="2"/>
        <v>-2.3485120582206491</v>
      </c>
      <c r="AO20" s="67">
        <f t="shared" si="2"/>
        <v>-0.53433677822037851</v>
      </c>
      <c r="AP20" s="67">
        <f t="shared" si="2"/>
        <v>-1.522517951186785</v>
      </c>
      <c r="AY20" s="67">
        <f t="shared" si="0"/>
        <v>278.34851205822065</v>
      </c>
      <c r="AZ20" s="67">
        <f t="shared" si="1"/>
        <v>78.534336778220379</v>
      </c>
      <c r="BA20" s="67">
        <f t="shared" si="3"/>
        <v>228.52251795118679</v>
      </c>
      <c r="BC20">
        <f t="shared" si="4"/>
        <v>35.442906055764126</v>
      </c>
      <c r="BD20">
        <v>1013.2</v>
      </c>
      <c r="BE20">
        <f t="shared" si="5"/>
        <v>29.827639714302066</v>
      </c>
    </row>
    <row r="21" spans="1:57" x14ac:dyDescent="0.2">
      <c r="A21" s="13">
        <v>12</v>
      </c>
      <c r="B21" s="3">
        <v>19</v>
      </c>
      <c r="C21" s="17">
        <v>7</v>
      </c>
      <c r="D21" s="3">
        <v>4</v>
      </c>
      <c r="E21" s="18">
        <v>8</v>
      </c>
      <c r="F21" s="18">
        <v>5</v>
      </c>
      <c r="G21" s="18">
        <v>75</v>
      </c>
      <c r="H21" s="19">
        <v>2</v>
      </c>
      <c r="I21" s="18"/>
      <c r="J21" s="18"/>
      <c r="K21" s="20">
        <v>116</v>
      </c>
      <c r="L21" s="18">
        <v>265</v>
      </c>
      <c r="M21" s="18">
        <v>233</v>
      </c>
      <c r="N21" s="18">
        <v>262</v>
      </c>
      <c r="O21" s="18">
        <v>76</v>
      </c>
      <c r="P21" s="18">
        <v>218</v>
      </c>
      <c r="Q21" s="17">
        <v>2</v>
      </c>
      <c r="R21" s="17">
        <v>8</v>
      </c>
      <c r="S21" s="17">
        <v>4</v>
      </c>
      <c r="T21" s="17">
        <v>2</v>
      </c>
      <c r="U21" s="17">
        <v>1</v>
      </c>
      <c r="V21" s="3">
        <v>8</v>
      </c>
      <c r="W21" s="20">
        <v>63</v>
      </c>
      <c r="X21" s="17">
        <v>8</v>
      </c>
      <c r="Y21" s="17">
        <v>7</v>
      </c>
      <c r="Z21" s="17">
        <v>0</v>
      </c>
      <c r="AA21" s="20">
        <v>840</v>
      </c>
      <c r="AB21" s="3"/>
      <c r="AC21" s="3"/>
      <c r="AD21" s="20"/>
      <c r="AE21" s="3"/>
      <c r="AF21" s="3"/>
      <c r="AG21" s="20"/>
      <c r="AH21" s="107"/>
      <c r="AI21" s="107"/>
      <c r="AJ21" s="107"/>
      <c r="AK21" s="107"/>
      <c r="AL21" s="108"/>
      <c r="AN21" s="67">
        <f t="shared" si="2"/>
        <v>-1.9797950123631836</v>
      </c>
      <c r="AO21" s="67">
        <f t="shared" si="2"/>
        <v>-0.25672793838973007</v>
      </c>
      <c r="AP21" s="67">
        <f t="shared" si="2"/>
        <v>-1.8120396933232712</v>
      </c>
      <c r="AY21" s="67">
        <f t="shared" si="0"/>
        <v>263.97979501236318</v>
      </c>
      <c r="AZ21" s="67">
        <f t="shared" si="1"/>
        <v>76.25672793838973</v>
      </c>
      <c r="BA21" s="67">
        <f t="shared" si="3"/>
        <v>219.81203969332327</v>
      </c>
      <c r="BC21">
        <f t="shared" si="4"/>
        <v>34.617246523564582</v>
      </c>
      <c r="BD21">
        <v>1013.2</v>
      </c>
      <c r="BE21">
        <f t="shared" si="5"/>
        <v>28.595195942964317</v>
      </c>
    </row>
    <row r="22" spans="1:57" x14ac:dyDescent="0.2">
      <c r="A22" s="13">
        <v>13</v>
      </c>
      <c r="B22" s="3">
        <v>19</v>
      </c>
      <c r="C22" s="17">
        <v>1</v>
      </c>
      <c r="D22" s="3">
        <v>4</v>
      </c>
      <c r="E22" s="18">
        <v>7</v>
      </c>
      <c r="F22" s="18">
        <v>10</v>
      </c>
      <c r="G22" s="18">
        <v>78</v>
      </c>
      <c r="H22" s="19">
        <v>2</v>
      </c>
      <c r="I22" s="18"/>
      <c r="J22" s="18"/>
      <c r="K22" s="20">
        <v>125</v>
      </c>
      <c r="L22" s="18">
        <v>269</v>
      </c>
      <c r="M22" s="18">
        <v>240</v>
      </c>
      <c r="N22" s="18">
        <v>277</v>
      </c>
      <c r="O22" s="18">
        <v>78</v>
      </c>
      <c r="P22" s="18">
        <v>227</v>
      </c>
      <c r="Q22" s="17">
        <v>1</v>
      </c>
      <c r="R22" s="17">
        <v>2</v>
      </c>
      <c r="S22" s="17">
        <v>0</v>
      </c>
      <c r="T22" s="17">
        <v>1</v>
      </c>
      <c r="U22" s="17">
        <v>1</v>
      </c>
      <c r="V22" s="3">
        <v>8</v>
      </c>
      <c r="W22" s="20">
        <v>57</v>
      </c>
      <c r="X22" s="17">
        <v>8</v>
      </c>
      <c r="Y22" s="3"/>
      <c r="Z22" s="3"/>
      <c r="AA22" s="20"/>
      <c r="AB22" s="3"/>
      <c r="AC22" s="3"/>
      <c r="AD22" s="20"/>
      <c r="AE22" s="3"/>
      <c r="AF22" s="3"/>
      <c r="AG22" s="20"/>
      <c r="AH22" s="107"/>
      <c r="AI22" s="107"/>
      <c r="AJ22" s="107"/>
      <c r="AK22" s="107"/>
      <c r="AL22" s="108"/>
      <c r="AN22" s="67">
        <f t="shared" si="2"/>
        <v>-1.3485120582206491</v>
      </c>
      <c r="AO22" s="67">
        <f t="shared" si="2"/>
        <v>-0.53433677822037851</v>
      </c>
      <c r="AP22" s="67">
        <f t="shared" si="2"/>
        <v>-1.522517951186785</v>
      </c>
      <c r="AY22" s="67">
        <f t="shared" si="0"/>
        <v>278.34851205822065</v>
      </c>
      <c r="AZ22" s="67">
        <f t="shared" si="1"/>
        <v>78.534336778220379</v>
      </c>
      <c r="BA22" s="67">
        <f t="shared" si="3"/>
        <v>228.52251795118679</v>
      </c>
      <c r="BC22">
        <f t="shared" si="4"/>
        <v>35.442906055764126</v>
      </c>
      <c r="BD22">
        <v>1013.2</v>
      </c>
      <c r="BE22">
        <f t="shared" si="5"/>
        <v>29.827639714302066</v>
      </c>
    </row>
    <row r="23" spans="1:57" x14ac:dyDescent="0.2">
      <c r="A23" s="13">
        <v>14</v>
      </c>
      <c r="B23" s="3">
        <v>19</v>
      </c>
      <c r="C23" s="17">
        <v>6</v>
      </c>
      <c r="D23" s="3">
        <v>4</v>
      </c>
      <c r="E23" s="18">
        <v>6</v>
      </c>
      <c r="F23" s="18">
        <v>10</v>
      </c>
      <c r="G23" s="18">
        <v>76</v>
      </c>
      <c r="H23" s="19">
        <v>2</v>
      </c>
      <c r="I23" s="18"/>
      <c r="J23" s="18"/>
      <c r="K23" s="20">
        <v>118</v>
      </c>
      <c r="L23" s="18">
        <v>265</v>
      </c>
      <c r="M23" s="18">
        <v>236</v>
      </c>
      <c r="N23" s="18">
        <v>268</v>
      </c>
      <c r="O23" s="18">
        <v>77</v>
      </c>
      <c r="P23" s="18">
        <v>222</v>
      </c>
      <c r="Q23" s="17">
        <v>1</v>
      </c>
      <c r="R23" s="17">
        <v>8</v>
      </c>
      <c r="S23" s="17">
        <v>6</v>
      </c>
      <c r="T23" s="17">
        <v>1</v>
      </c>
      <c r="U23" s="17">
        <v>1</v>
      </c>
      <c r="V23" s="3">
        <v>8</v>
      </c>
      <c r="W23" s="20">
        <v>60</v>
      </c>
      <c r="X23" s="17">
        <v>8</v>
      </c>
      <c r="Y23" s="17">
        <v>5</v>
      </c>
      <c r="Z23" s="17">
        <v>0</v>
      </c>
      <c r="AA23" s="20">
        <v>840</v>
      </c>
      <c r="AB23" s="3"/>
      <c r="AC23" s="3"/>
      <c r="AD23" s="20"/>
      <c r="AE23" s="3"/>
      <c r="AF23" s="3"/>
      <c r="AG23" s="20"/>
      <c r="AH23" s="107"/>
      <c r="AI23" s="107"/>
      <c r="AJ23" s="107"/>
      <c r="AK23" s="107"/>
      <c r="AL23" s="108"/>
      <c r="AN23" s="67">
        <f t="shared" si="2"/>
        <v>-3.2591691167532986</v>
      </c>
      <c r="AO23" s="67">
        <f t="shared" si="2"/>
        <v>-1.3595451279183379</v>
      </c>
      <c r="AP23" s="67">
        <f t="shared" si="2"/>
        <v>-2.2754280524378601</v>
      </c>
      <c r="AY23" s="67">
        <f t="shared" si="0"/>
        <v>271.2591691167533</v>
      </c>
      <c r="AZ23" s="67">
        <f t="shared" si="1"/>
        <v>78.359545127918338</v>
      </c>
      <c r="BA23" s="67">
        <f t="shared" si="3"/>
        <v>224.27542805243786</v>
      </c>
      <c r="BC23">
        <f t="shared" si="4"/>
        <v>34.617246523564582</v>
      </c>
      <c r="BD23">
        <v>1013.2</v>
      </c>
      <c r="BE23">
        <f t="shared" si="5"/>
        <v>29.117813358347327</v>
      </c>
    </row>
    <row r="24" spans="1:57" x14ac:dyDescent="0.2">
      <c r="A24" s="13">
        <v>15</v>
      </c>
      <c r="B24" s="3">
        <v>19</v>
      </c>
      <c r="C24" s="17">
        <v>2</v>
      </c>
      <c r="D24" s="3">
        <v>4</v>
      </c>
      <c r="E24" s="18">
        <v>7</v>
      </c>
      <c r="F24" s="18">
        <v>8</v>
      </c>
      <c r="G24" s="18">
        <v>78</v>
      </c>
      <c r="H24" s="19">
        <v>2</v>
      </c>
      <c r="I24" s="18"/>
      <c r="J24" s="18"/>
      <c r="K24" s="20">
        <v>112</v>
      </c>
      <c r="L24" s="18">
        <v>269</v>
      </c>
      <c r="M24" s="18">
        <v>235</v>
      </c>
      <c r="N24" s="18">
        <v>261</v>
      </c>
      <c r="O24" s="18">
        <v>73</v>
      </c>
      <c r="P24" s="18">
        <v>218</v>
      </c>
      <c r="Q24" s="17">
        <v>1</v>
      </c>
      <c r="R24" s="17">
        <v>1</v>
      </c>
      <c r="S24" s="17">
        <v>0</v>
      </c>
      <c r="T24" s="17">
        <v>1</v>
      </c>
      <c r="U24" s="17">
        <v>1</v>
      </c>
      <c r="V24" s="3">
        <v>8</v>
      </c>
      <c r="W24" s="20">
        <v>63</v>
      </c>
      <c r="X24" s="17">
        <v>8</v>
      </c>
      <c r="Y24" s="3"/>
      <c r="Z24" s="3"/>
      <c r="AA24" s="20"/>
      <c r="AB24" s="3"/>
      <c r="AC24" s="3"/>
      <c r="AD24" s="20"/>
      <c r="AE24" s="3"/>
      <c r="AF24" s="3"/>
      <c r="AG24" s="20"/>
      <c r="AH24" s="107" t="s">
        <v>85</v>
      </c>
      <c r="AI24" s="107"/>
      <c r="AJ24" s="107"/>
      <c r="AK24" s="107"/>
      <c r="AL24" s="108"/>
      <c r="AN24" s="67">
        <f t="shared" si="2"/>
        <v>-5.0762027984500833</v>
      </c>
      <c r="AO24" s="67">
        <f t="shared" si="2"/>
        <v>-2.0717794922963861</v>
      </c>
      <c r="AP24" s="67">
        <f t="shared" si="2"/>
        <v>-3.1084137525241715</v>
      </c>
      <c r="AY24" s="67">
        <f t="shared" si="0"/>
        <v>266.07620279845008</v>
      </c>
      <c r="AZ24" s="67">
        <f t="shared" si="1"/>
        <v>75.071779492296386</v>
      </c>
      <c r="BA24" s="67">
        <f t="shared" si="3"/>
        <v>221.10841375252417</v>
      </c>
      <c r="BC24">
        <f t="shared" si="4"/>
        <v>35.442906055764126</v>
      </c>
      <c r="BD24">
        <v>1013.2</v>
      </c>
      <c r="BE24">
        <f t="shared" si="5"/>
        <v>28.94268568196501</v>
      </c>
    </row>
    <row r="25" spans="1:57" x14ac:dyDescent="0.2">
      <c r="A25" s="13">
        <v>16</v>
      </c>
      <c r="B25" s="3">
        <v>19</v>
      </c>
      <c r="C25" s="17">
        <v>6</v>
      </c>
      <c r="D25" s="3">
        <v>4</v>
      </c>
      <c r="E25" s="18">
        <v>10</v>
      </c>
      <c r="F25" s="18">
        <v>10</v>
      </c>
      <c r="G25" s="18">
        <v>68</v>
      </c>
      <c r="H25" s="19">
        <v>1</v>
      </c>
      <c r="I25" s="18">
        <v>15</v>
      </c>
      <c r="J25" s="18">
        <v>22</v>
      </c>
      <c r="K25" s="20">
        <v>128</v>
      </c>
      <c r="L25" s="18">
        <v>264</v>
      </c>
      <c r="M25" s="18">
        <v>238</v>
      </c>
      <c r="N25" s="18">
        <v>274</v>
      </c>
      <c r="O25" s="18">
        <v>80</v>
      </c>
      <c r="P25" s="18">
        <v>226</v>
      </c>
      <c r="Q25" s="17">
        <v>4</v>
      </c>
      <c r="R25" s="17">
        <v>8</v>
      </c>
      <c r="S25" s="17">
        <v>0</v>
      </c>
      <c r="T25" s="17">
        <v>2</v>
      </c>
      <c r="U25" s="17">
        <v>2</v>
      </c>
      <c r="V25" s="3">
        <v>8</v>
      </c>
      <c r="W25" s="20">
        <v>54</v>
      </c>
      <c r="X25" s="17">
        <v>8</v>
      </c>
      <c r="Y25" s="17">
        <v>5</v>
      </c>
      <c r="Z25" s="17">
        <v>0</v>
      </c>
      <c r="AA25" s="20">
        <v>840</v>
      </c>
      <c r="AB25" s="3"/>
      <c r="AC25" s="3"/>
      <c r="AD25" s="20"/>
      <c r="AE25" s="3"/>
      <c r="AF25" s="3"/>
      <c r="AG25" s="20"/>
      <c r="AH25" s="107" t="s">
        <v>100</v>
      </c>
      <c r="AI25" s="107"/>
      <c r="AJ25" s="107"/>
      <c r="AK25" s="107"/>
      <c r="AL25" s="108"/>
      <c r="AN25" s="67">
        <f t="shared" si="2"/>
        <v>-2.8461697654483373</v>
      </c>
      <c r="AO25" s="67">
        <f t="shared" si="2"/>
        <v>-0.44701610840833439</v>
      </c>
      <c r="AP25" s="67">
        <f t="shared" si="2"/>
        <v>-1.6304736819997743</v>
      </c>
      <c r="AY25" s="67">
        <f t="shared" si="0"/>
        <v>276.84616976544834</v>
      </c>
      <c r="AZ25" s="67">
        <f t="shared" si="1"/>
        <v>80.447016108408334</v>
      </c>
      <c r="BA25" s="67">
        <f t="shared" si="3"/>
        <v>227.63047368199977</v>
      </c>
      <c r="BC25">
        <f t="shared" si="4"/>
        <v>34.41347897756426</v>
      </c>
      <c r="BD25">
        <v>1013.2</v>
      </c>
      <c r="BE25">
        <f t="shared" si="5"/>
        <v>29.470855059888834</v>
      </c>
    </row>
    <row r="26" spans="1:57" x14ac:dyDescent="0.2">
      <c r="A26" s="13">
        <v>17</v>
      </c>
      <c r="B26" s="3">
        <v>19</v>
      </c>
      <c r="C26" s="17">
        <v>8</v>
      </c>
      <c r="D26" s="3">
        <v>4</v>
      </c>
      <c r="E26" s="18">
        <v>0</v>
      </c>
      <c r="F26" s="18">
        <v>0</v>
      </c>
      <c r="G26" s="18">
        <v>70</v>
      </c>
      <c r="H26" s="19">
        <v>1</v>
      </c>
      <c r="I26" s="18">
        <v>5</v>
      </c>
      <c r="J26" s="18">
        <v>22</v>
      </c>
      <c r="K26" s="20">
        <v>140</v>
      </c>
      <c r="L26" s="18">
        <v>241</v>
      </c>
      <c r="M26" s="18">
        <v>235</v>
      </c>
      <c r="N26" s="18">
        <v>284</v>
      </c>
      <c r="O26" s="18">
        <v>95</v>
      </c>
      <c r="P26" s="18">
        <v>232</v>
      </c>
      <c r="Q26" s="17">
        <v>6</v>
      </c>
      <c r="R26" s="17">
        <v>8</v>
      </c>
      <c r="S26" s="17">
        <v>4</v>
      </c>
      <c r="T26" s="17">
        <v>2</v>
      </c>
      <c r="U26" s="17">
        <v>2</v>
      </c>
      <c r="V26" s="3">
        <v>8</v>
      </c>
      <c r="W26" s="20">
        <v>45</v>
      </c>
      <c r="X26" s="17">
        <v>8</v>
      </c>
      <c r="Y26" s="17">
        <v>6</v>
      </c>
      <c r="Z26" s="17">
        <v>6</v>
      </c>
      <c r="AA26" s="20">
        <v>105</v>
      </c>
      <c r="AB26" s="3"/>
      <c r="AC26" s="3"/>
      <c r="AD26" s="20"/>
      <c r="AE26" s="3"/>
      <c r="AF26" s="3"/>
      <c r="AG26" s="20"/>
      <c r="AH26" s="107" t="s">
        <v>85</v>
      </c>
      <c r="AI26" s="107"/>
      <c r="AJ26" s="107"/>
      <c r="AK26" s="107"/>
      <c r="AL26" s="108"/>
      <c r="AN26" s="67">
        <f t="shared" si="2"/>
        <v>-1.3061531688500736</v>
      </c>
      <c r="AO26" s="67">
        <f t="shared" si="2"/>
        <v>-7.8452146817198809E-2</v>
      </c>
      <c r="AP26" s="67">
        <f t="shared" si="2"/>
        <v>-0.59953439207851034</v>
      </c>
      <c r="AY26" s="67">
        <f t="shared" si="0"/>
        <v>285.30615316885007</v>
      </c>
      <c r="AZ26" s="67">
        <f t="shared" si="1"/>
        <v>95.078452146817199</v>
      </c>
      <c r="BA26" s="67">
        <f t="shared" si="3"/>
        <v>232.59953439207851</v>
      </c>
      <c r="BC26">
        <f t="shared" si="4"/>
        <v>30.007446138089119</v>
      </c>
      <c r="BD26">
        <v>1013.2</v>
      </c>
      <c r="BE26">
        <f t="shared" si="5"/>
        <v>28.94268568196501</v>
      </c>
    </row>
    <row r="27" spans="1:57" x14ac:dyDescent="0.2">
      <c r="A27" s="13">
        <v>18</v>
      </c>
      <c r="B27" s="3">
        <v>19</v>
      </c>
      <c r="C27" s="17">
        <v>6</v>
      </c>
      <c r="D27" s="3">
        <v>4</v>
      </c>
      <c r="E27" s="18">
        <v>9</v>
      </c>
      <c r="F27" s="18">
        <v>8</v>
      </c>
      <c r="G27" s="18">
        <v>68</v>
      </c>
      <c r="H27" s="19">
        <v>1</v>
      </c>
      <c r="I27" s="18">
        <v>80</v>
      </c>
      <c r="J27" s="18">
        <v>22</v>
      </c>
      <c r="K27" s="20">
        <v>137</v>
      </c>
      <c r="L27" s="18">
        <v>270</v>
      </c>
      <c r="M27" s="18">
        <v>250</v>
      </c>
      <c r="N27" s="18">
        <v>300</v>
      </c>
      <c r="O27" s="18">
        <v>84</v>
      </c>
      <c r="P27" s="18">
        <v>241</v>
      </c>
      <c r="Q27" s="17">
        <v>5</v>
      </c>
      <c r="R27" s="17">
        <v>8</v>
      </c>
      <c r="S27" s="17">
        <v>0</v>
      </c>
      <c r="T27" s="17">
        <v>2</v>
      </c>
      <c r="U27" s="17">
        <v>4</v>
      </c>
      <c r="V27" s="3">
        <v>8</v>
      </c>
      <c r="W27" s="20">
        <v>54</v>
      </c>
      <c r="X27" s="17">
        <v>8</v>
      </c>
      <c r="Y27" s="3"/>
      <c r="Z27" s="3"/>
      <c r="AA27" s="20"/>
      <c r="AB27" s="3"/>
      <c r="AC27" s="3"/>
      <c r="AD27" s="20"/>
      <c r="AE27" s="3"/>
      <c r="AF27" s="3"/>
      <c r="AG27" s="20"/>
      <c r="AH27" s="107" t="s">
        <v>122</v>
      </c>
      <c r="AI27" s="107"/>
      <c r="AJ27" s="107"/>
      <c r="AK27" s="107"/>
      <c r="AL27" s="108"/>
      <c r="AN27" s="67">
        <f t="shared" si="2"/>
        <v>-2.9301666961599722</v>
      </c>
      <c r="AO27" s="67">
        <f t="shared" si="2"/>
        <v>-0.96865232864115569</v>
      </c>
      <c r="AP27" s="67">
        <f t="shared" si="2"/>
        <v>-1.5498224634573035</v>
      </c>
      <c r="AY27" s="67">
        <f t="shared" si="0"/>
        <v>302.93016669615997</v>
      </c>
      <c r="AZ27" s="67">
        <f t="shared" si="1"/>
        <v>84.968652328641156</v>
      </c>
      <c r="BA27" s="67">
        <f t="shared" si="3"/>
        <v>242.5498224634573</v>
      </c>
      <c r="BC27">
        <f t="shared" si="4"/>
        <v>35.651991457330503</v>
      </c>
      <c r="BD27">
        <v>1013.2</v>
      </c>
      <c r="BE27">
        <f t="shared" si="5"/>
        <v>31.668891609615997</v>
      </c>
    </row>
    <row r="28" spans="1:57" x14ac:dyDescent="0.2">
      <c r="A28" s="13">
        <v>19</v>
      </c>
      <c r="B28" s="3">
        <v>19</v>
      </c>
      <c r="C28" s="17">
        <v>5</v>
      </c>
      <c r="D28" s="3">
        <v>4</v>
      </c>
      <c r="E28" s="18">
        <v>9</v>
      </c>
      <c r="F28" s="18">
        <v>14</v>
      </c>
      <c r="G28" s="18">
        <v>72</v>
      </c>
      <c r="H28" s="19">
        <v>1</v>
      </c>
      <c r="I28" s="18">
        <v>5</v>
      </c>
      <c r="J28" s="18">
        <v>11</v>
      </c>
      <c r="K28" s="20">
        <v>117</v>
      </c>
      <c r="L28" s="18">
        <v>274</v>
      </c>
      <c r="M28" s="18">
        <v>247</v>
      </c>
      <c r="N28" s="18">
        <v>290</v>
      </c>
      <c r="O28" s="18">
        <v>79</v>
      </c>
      <c r="P28" s="18">
        <v>235</v>
      </c>
      <c r="Q28" s="17">
        <v>4</v>
      </c>
      <c r="R28" s="17">
        <v>8</v>
      </c>
      <c r="S28" s="17">
        <v>3</v>
      </c>
      <c r="T28" s="17">
        <v>1</v>
      </c>
      <c r="U28" s="17">
        <v>1</v>
      </c>
      <c r="V28" s="3">
        <v>8</v>
      </c>
      <c r="W28" s="20">
        <v>57</v>
      </c>
      <c r="X28" s="17">
        <v>8</v>
      </c>
      <c r="Y28" s="17">
        <v>4</v>
      </c>
      <c r="Z28" s="17">
        <v>6</v>
      </c>
      <c r="AA28" s="20">
        <v>114</v>
      </c>
      <c r="AB28" s="3"/>
      <c r="AC28" s="3"/>
      <c r="AD28" s="20"/>
      <c r="AE28" s="3"/>
      <c r="AF28" s="3"/>
      <c r="AG28" s="20"/>
      <c r="AH28" s="107" t="s">
        <v>85</v>
      </c>
      <c r="AI28" s="107"/>
      <c r="AJ28" s="107"/>
      <c r="AK28" s="107"/>
      <c r="AL28" s="108"/>
      <c r="AN28" s="67">
        <f t="shared" si="2"/>
        <v>-2.4954071612702364</v>
      </c>
      <c r="AO28" s="67">
        <f t="shared" si="2"/>
        <v>-1.1375822589078268</v>
      </c>
      <c r="AP28" s="67">
        <f t="shared" si="2"/>
        <v>-1.7217801002559554</v>
      </c>
      <c r="AY28" s="67">
        <f t="shared" si="0"/>
        <v>292.49540716127024</v>
      </c>
      <c r="AZ28" s="67">
        <f t="shared" si="1"/>
        <v>80.137582258907827</v>
      </c>
      <c r="BA28" s="67">
        <f t="shared" si="3"/>
        <v>236.72178010025596</v>
      </c>
      <c r="BC28">
        <f t="shared" si="4"/>
        <v>36.499155441984577</v>
      </c>
      <c r="BD28">
        <v>1013.2</v>
      </c>
      <c r="BE28">
        <f t="shared" si="5"/>
        <v>31.106348979899021</v>
      </c>
    </row>
    <row r="29" spans="1:57" x14ac:dyDescent="0.2">
      <c r="A29" s="13">
        <v>20</v>
      </c>
      <c r="B29" s="3">
        <v>19</v>
      </c>
      <c r="C29" s="17">
        <v>7</v>
      </c>
      <c r="D29" s="3">
        <v>4</v>
      </c>
      <c r="E29" s="18">
        <v>9</v>
      </c>
      <c r="F29" s="18">
        <v>13</v>
      </c>
      <c r="G29" s="18">
        <v>65</v>
      </c>
      <c r="H29" s="19">
        <v>1</v>
      </c>
      <c r="I29" s="18">
        <v>5</v>
      </c>
      <c r="J29" s="18">
        <v>22</v>
      </c>
      <c r="K29" s="20">
        <v>115</v>
      </c>
      <c r="L29" s="18">
        <v>260</v>
      </c>
      <c r="M29" s="18">
        <v>246</v>
      </c>
      <c r="N29" s="18">
        <v>298</v>
      </c>
      <c r="O29" s="18">
        <v>89</v>
      </c>
      <c r="P29" s="18">
        <v>240</v>
      </c>
      <c r="Q29" s="17">
        <v>6</v>
      </c>
      <c r="R29" s="17">
        <v>8</v>
      </c>
      <c r="S29" s="17">
        <v>3</v>
      </c>
      <c r="T29" s="17">
        <v>2</v>
      </c>
      <c r="U29" s="17">
        <v>5</v>
      </c>
      <c r="V29" s="3">
        <v>8</v>
      </c>
      <c r="W29" s="20">
        <v>51</v>
      </c>
      <c r="X29" s="17">
        <v>8</v>
      </c>
      <c r="Y29" s="17">
        <v>7</v>
      </c>
      <c r="Z29" s="17">
        <v>0</v>
      </c>
      <c r="AA29" s="20">
        <v>840</v>
      </c>
      <c r="AB29" s="3"/>
      <c r="AC29" s="3"/>
      <c r="AD29" s="20"/>
      <c r="AE29" s="3"/>
      <c r="AF29" s="3"/>
      <c r="AG29" s="20"/>
      <c r="AH29" s="107" t="s">
        <v>85</v>
      </c>
      <c r="AI29" s="107"/>
      <c r="AJ29" s="107"/>
      <c r="AK29" s="107"/>
      <c r="AL29" s="108"/>
      <c r="AN29" s="67">
        <f t="shared" si="2"/>
        <v>-1.58106753620973</v>
      </c>
      <c r="AO29" s="67">
        <f t="shared" si="2"/>
        <v>-0.13752659787266452</v>
      </c>
      <c r="AP29" s="67">
        <f t="shared" si="2"/>
        <v>-0.69869391694771821</v>
      </c>
      <c r="AY29" s="67">
        <f t="shared" si="0"/>
        <v>299.58106753620973</v>
      </c>
      <c r="AZ29" s="67">
        <f t="shared" si="1"/>
        <v>89.137526597872665</v>
      </c>
      <c r="BA29" s="67">
        <f t="shared" si="3"/>
        <v>240.69869391694772</v>
      </c>
      <c r="BC29">
        <f t="shared" si="4"/>
        <v>33.608860260136439</v>
      </c>
      <c r="BD29">
        <v>1013.2</v>
      </c>
      <c r="BE29">
        <f t="shared" si="5"/>
        <v>30.920788561092973</v>
      </c>
    </row>
    <row r="30" spans="1:57" x14ac:dyDescent="0.2">
      <c r="A30" s="13">
        <v>21</v>
      </c>
      <c r="B30" s="3">
        <v>19</v>
      </c>
      <c r="C30" s="17">
        <v>6</v>
      </c>
      <c r="D30" s="3">
        <v>4</v>
      </c>
      <c r="E30" s="18">
        <v>9</v>
      </c>
      <c r="F30" s="18">
        <v>9</v>
      </c>
      <c r="G30" s="18">
        <v>70</v>
      </c>
      <c r="H30" s="19">
        <v>1</v>
      </c>
      <c r="I30" s="18">
        <v>5</v>
      </c>
      <c r="J30" s="18">
        <v>22</v>
      </c>
      <c r="K30" s="20">
        <v>119</v>
      </c>
      <c r="L30" s="18">
        <v>275</v>
      </c>
      <c r="M30" s="18">
        <v>255</v>
      </c>
      <c r="N30" s="18">
        <v>311</v>
      </c>
      <c r="O30" s="18">
        <v>85</v>
      </c>
      <c r="P30" s="18">
        <v>247</v>
      </c>
      <c r="Q30" s="17">
        <v>1</v>
      </c>
      <c r="R30" s="17">
        <v>8</v>
      </c>
      <c r="S30" s="17">
        <v>3</v>
      </c>
      <c r="T30" s="17">
        <v>2</v>
      </c>
      <c r="U30" s="17">
        <v>1</v>
      </c>
      <c r="V30" s="3">
        <v>8</v>
      </c>
      <c r="W30" s="20">
        <v>63</v>
      </c>
      <c r="X30" s="17">
        <v>8</v>
      </c>
      <c r="Y30" s="17">
        <v>5</v>
      </c>
      <c r="Z30" s="17">
        <v>0</v>
      </c>
      <c r="AA30" s="20">
        <v>840</v>
      </c>
      <c r="AB30" s="3"/>
      <c r="AC30" s="3"/>
      <c r="AD30" s="20"/>
      <c r="AE30" s="3"/>
      <c r="AF30" s="3"/>
      <c r="AG30" s="20"/>
      <c r="AH30" s="107" t="s">
        <v>85</v>
      </c>
      <c r="AI30" s="107"/>
      <c r="AJ30" s="107"/>
      <c r="AK30" s="107"/>
      <c r="AL30" s="108"/>
      <c r="AN30" s="67">
        <f t="shared" si="2"/>
        <v>-1.4961819421404243</v>
      </c>
      <c r="AO30" s="67">
        <f t="shared" si="2"/>
        <v>-0.11710599954423628</v>
      </c>
      <c r="AP30" s="67">
        <f t="shared" si="2"/>
        <v>-0.74022002530816167</v>
      </c>
      <c r="AY30" s="67">
        <f t="shared" si="0"/>
        <v>312.49618194214042</v>
      </c>
      <c r="AZ30" s="67">
        <f t="shared" si="1"/>
        <v>85.117105999544236</v>
      </c>
      <c r="BA30" s="67">
        <f t="shared" si="3"/>
        <v>247.74022002530816</v>
      </c>
      <c r="BC30">
        <f t="shared" si="4"/>
        <v>36.713675620481474</v>
      </c>
      <c r="BD30">
        <v>1013.2</v>
      </c>
      <c r="BE30">
        <f t="shared" si="5"/>
        <v>32.626262153014039</v>
      </c>
    </row>
    <row r="31" spans="1:57" x14ac:dyDescent="0.2">
      <c r="A31" s="13">
        <v>22</v>
      </c>
      <c r="B31" s="3">
        <v>19</v>
      </c>
      <c r="C31" s="17">
        <v>1</v>
      </c>
      <c r="D31" s="3">
        <v>4</v>
      </c>
      <c r="E31" s="18">
        <v>6</v>
      </c>
      <c r="F31" s="18">
        <v>4</v>
      </c>
      <c r="G31" s="18">
        <v>70</v>
      </c>
      <c r="H31" s="19">
        <v>1</v>
      </c>
      <c r="I31" s="18">
        <v>5</v>
      </c>
      <c r="J31" s="18">
        <v>0</v>
      </c>
      <c r="K31" s="20">
        <v>116</v>
      </c>
      <c r="L31" s="18">
        <v>268</v>
      </c>
      <c r="M31" s="18">
        <v>240</v>
      </c>
      <c r="N31" s="18">
        <v>276</v>
      </c>
      <c r="O31" s="18">
        <v>78</v>
      </c>
      <c r="P31" s="18">
        <v>227</v>
      </c>
      <c r="Q31" s="17">
        <v>1</v>
      </c>
      <c r="R31" s="17">
        <v>8</v>
      </c>
      <c r="S31" s="17">
        <v>0</v>
      </c>
      <c r="T31" s="17">
        <v>0</v>
      </c>
      <c r="U31" s="17">
        <v>1</v>
      </c>
      <c r="V31" s="3">
        <v>8</v>
      </c>
      <c r="W31" s="20">
        <v>57</v>
      </c>
      <c r="X31" s="17">
        <v>8</v>
      </c>
      <c r="Y31" s="3"/>
      <c r="Z31" s="3"/>
      <c r="AA31" s="20"/>
      <c r="AB31" s="3"/>
      <c r="AC31" s="3"/>
      <c r="AD31" s="20"/>
      <c r="AE31" s="3"/>
      <c r="AF31" s="3"/>
      <c r="AG31" s="20"/>
      <c r="AH31" s="107" t="s">
        <v>85</v>
      </c>
      <c r="AI31" s="107"/>
      <c r="AJ31" s="107"/>
      <c r="AK31" s="107"/>
      <c r="AL31" s="108"/>
      <c r="AN31" s="67">
        <f t="shared" si="2"/>
        <v>-3.035680509420672</v>
      </c>
      <c r="AO31" s="67">
        <f t="shared" si="2"/>
        <v>-1.1929966804354706</v>
      </c>
      <c r="AP31" s="67">
        <f t="shared" si="2"/>
        <v>-1.9291319298972383</v>
      </c>
      <c r="AY31" s="67">
        <f t="shared" si="0"/>
        <v>279.03568050942067</v>
      </c>
      <c r="AZ31" s="67">
        <f t="shared" si="1"/>
        <v>79.192996680435471</v>
      </c>
      <c r="BA31" s="67">
        <f t="shared" si="3"/>
        <v>228.92913192989724</v>
      </c>
      <c r="BC31">
        <f t="shared" si="4"/>
        <v>35.234893514056914</v>
      </c>
      <c r="BD31">
        <v>1013.2</v>
      </c>
      <c r="BE31">
        <f t="shared" si="5"/>
        <v>29.827639714302066</v>
      </c>
    </row>
    <row r="32" spans="1:57" x14ac:dyDescent="0.2">
      <c r="A32" s="13">
        <v>23</v>
      </c>
      <c r="B32" s="3">
        <v>19</v>
      </c>
      <c r="C32" s="17">
        <v>7</v>
      </c>
      <c r="D32" s="3">
        <v>4</v>
      </c>
      <c r="E32" s="18">
        <v>9</v>
      </c>
      <c r="F32" s="18">
        <v>4</v>
      </c>
      <c r="G32" s="18">
        <v>80</v>
      </c>
      <c r="H32" s="19">
        <v>2</v>
      </c>
      <c r="I32" s="18"/>
      <c r="J32" s="18"/>
      <c r="K32" s="20">
        <v>110</v>
      </c>
      <c r="L32" s="18">
        <v>267</v>
      </c>
      <c r="M32" s="18">
        <v>243</v>
      </c>
      <c r="N32" s="18">
        <v>285</v>
      </c>
      <c r="O32" s="18">
        <v>81</v>
      </c>
      <c r="P32" s="18">
        <v>232</v>
      </c>
      <c r="Q32" s="17">
        <v>1</v>
      </c>
      <c r="R32" s="17">
        <v>2</v>
      </c>
      <c r="S32" s="17">
        <v>0</v>
      </c>
      <c r="T32" s="17">
        <v>2</v>
      </c>
      <c r="U32" s="17">
        <v>1</v>
      </c>
      <c r="V32" s="3">
        <v>8</v>
      </c>
      <c r="W32" s="20">
        <v>66</v>
      </c>
      <c r="X32" s="17">
        <v>8</v>
      </c>
      <c r="Y32" s="17">
        <v>7</v>
      </c>
      <c r="Z32" s="17">
        <v>0</v>
      </c>
      <c r="AA32" s="20">
        <v>870</v>
      </c>
      <c r="AB32" s="3"/>
      <c r="AC32" s="3"/>
      <c r="AD32" s="20"/>
      <c r="AE32" s="3"/>
      <c r="AF32" s="3"/>
      <c r="AG32" s="20"/>
      <c r="AH32" s="107"/>
      <c r="AI32" s="107"/>
      <c r="AJ32" s="107"/>
      <c r="AK32" s="107"/>
      <c r="AL32" s="108"/>
      <c r="AN32" s="67">
        <f t="shared" si="2"/>
        <v>-2.2015031285581586</v>
      </c>
      <c r="AO32" s="67">
        <f t="shared" si="2"/>
        <v>-0.99209771632432364</v>
      </c>
      <c r="AP32" s="67">
        <f t="shared" si="2"/>
        <v>-1.6950631030901491</v>
      </c>
      <c r="AY32" s="67">
        <f t="shared" si="0"/>
        <v>287.20150312855816</v>
      </c>
      <c r="AZ32" s="67">
        <f t="shared" si="1"/>
        <v>81.992097716324324</v>
      </c>
      <c r="BA32" s="67">
        <f t="shared" si="3"/>
        <v>233.69506310309015</v>
      </c>
      <c r="BC32">
        <f t="shared" si="4"/>
        <v>35.027949171664794</v>
      </c>
      <c r="BD32">
        <v>1013.2</v>
      </c>
      <c r="BE32">
        <f t="shared" si="5"/>
        <v>30.369908289271816</v>
      </c>
    </row>
    <row r="33" spans="1:57" x14ac:dyDescent="0.2">
      <c r="A33" s="13">
        <v>24</v>
      </c>
      <c r="B33" s="3">
        <v>19</v>
      </c>
      <c r="C33" s="17">
        <v>7</v>
      </c>
      <c r="D33" s="3">
        <v>4</v>
      </c>
      <c r="E33" s="18">
        <v>8</v>
      </c>
      <c r="F33" s="18">
        <v>10</v>
      </c>
      <c r="G33" s="18">
        <v>60</v>
      </c>
      <c r="H33" s="19">
        <v>1</v>
      </c>
      <c r="I33" s="18">
        <v>80</v>
      </c>
      <c r="J33" s="18">
        <v>22</v>
      </c>
      <c r="K33" s="20">
        <v>115</v>
      </c>
      <c r="L33" s="18">
        <v>256</v>
      </c>
      <c r="M33" s="18">
        <v>245</v>
      </c>
      <c r="N33" s="18">
        <v>300</v>
      </c>
      <c r="O33" s="18">
        <v>92</v>
      </c>
      <c r="P33" s="18">
        <v>241</v>
      </c>
      <c r="Q33" s="17">
        <v>6</v>
      </c>
      <c r="R33" s="17">
        <v>8</v>
      </c>
      <c r="S33" s="17">
        <v>0</v>
      </c>
      <c r="T33" s="17">
        <v>2</v>
      </c>
      <c r="U33" s="17">
        <v>4</v>
      </c>
      <c r="V33" s="3">
        <v>8</v>
      </c>
      <c r="W33" s="20">
        <v>48</v>
      </c>
      <c r="X33" s="17">
        <v>8</v>
      </c>
      <c r="Y33" s="17">
        <v>5</v>
      </c>
      <c r="Z33" s="17">
        <v>6</v>
      </c>
      <c r="AA33" s="20">
        <v>114</v>
      </c>
      <c r="AB33" s="3"/>
      <c r="AC33" s="3"/>
      <c r="AD33" s="20"/>
      <c r="AE33" s="3"/>
      <c r="AF33" s="3"/>
      <c r="AG33" s="20"/>
      <c r="AH33" s="107" t="s">
        <v>158</v>
      </c>
      <c r="AI33" s="107"/>
      <c r="AJ33" s="107"/>
      <c r="AK33" s="107"/>
      <c r="AL33" s="108"/>
      <c r="AN33" s="67">
        <f t="shared" si="2"/>
        <v>0.20110420732930834</v>
      </c>
      <c r="AO33" s="67">
        <f t="shared" si="2"/>
        <v>0.6556722772230188</v>
      </c>
      <c r="AP33" s="67">
        <f t="shared" si="2"/>
        <v>0.18035756865603503</v>
      </c>
      <c r="AY33" s="67">
        <f t="shared" si="0"/>
        <v>299.79889579267069</v>
      </c>
      <c r="AZ33" s="67">
        <f t="shared" si="1"/>
        <v>91.344327722776981</v>
      </c>
      <c r="BA33" s="67">
        <f t="shared" si="3"/>
        <v>240.81964243134396</v>
      </c>
      <c r="BC33">
        <f t="shared" si="4"/>
        <v>32.820745772253893</v>
      </c>
      <c r="BD33">
        <v>1013.2</v>
      </c>
      <c r="BE33">
        <f t="shared" si="5"/>
        <v>30.736197835927069</v>
      </c>
    </row>
    <row r="34" spans="1:57" x14ac:dyDescent="0.2">
      <c r="A34" s="13">
        <v>25</v>
      </c>
      <c r="B34" s="3">
        <v>19</v>
      </c>
      <c r="C34" s="17">
        <v>6</v>
      </c>
      <c r="D34" s="3">
        <v>4</v>
      </c>
      <c r="E34" s="18">
        <v>7</v>
      </c>
      <c r="F34" s="18">
        <v>4</v>
      </c>
      <c r="G34" s="18">
        <v>76</v>
      </c>
      <c r="H34" s="19">
        <v>2</v>
      </c>
      <c r="I34" s="18"/>
      <c r="J34" s="18"/>
      <c r="K34" s="20">
        <v>127</v>
      </c>
      <c r="L34" s="18">
        <v>265</v>
      </c>
      <c r="M34" s="18">
        <v>234</v>
      </c>
      <c r="N34" s="18">
        <v>264</v>
      </c>
      <c r="O34" s="18">
        <v>76</v>
      </c>
      <c r="P34" s="18">
        <v>219</v>
      </c>
      <c r="Q34" s="17">
        <v>6</v>
      </c>
      <c r="R34" s="17">
        <v>8</v>
      </c>
      <c r="S34" s="17">
        <v>0</v>
      </c>
      <c r="T34" s="17">
        <v>2</v>
      </c>
      <c r="U34" s="17">
        <v>1</v>
      </c>
      <c r="V34" s="3">
        <v>8</v>
      </c>
      <c r="W34" s="20">
        <v>60</v>
      </c>
      <c r="X34" s="17">
        <v>8</v>
      </c>
      <c r="Y34" s="17">
        <v>6</v>
      </c>
      <c r="Z34" s="17">
        <v>6</v>
      </c>
      <c r="AA34" s="20">
        <f>45*3</f>
        <v>135</v>
      </c>
      <c r="AB34" s="3"/>
      <c r="AC34" s="3"/>
      <c r="AD34" s="20"/>
      <c r="AE34" s="3"/>
      <c r="AF34" s="3"/>
      <c r="AG34" s="20"/>
      <c r="AH34" s="107"/>
      <c r="AI34" s="107"/>
      <c r="AJ34" s="107"/>
      <c r="AK34" s="107"/>
      <c r="AL34" s="108"/>
      <c r="AN34" s="67">
        <f t="shared" si="2"/>
        <v>-2.3968943044957314</v>
      </c>
      <c r="AO34" s="67">
        <f t="shared" si="2"/>
        <v>-0.95496351021290593</v>
      </c>
      <c r="AP34" s="67">
        <f t="shared" si="2"/>
        <v>-2.3059324485792558</v>
      </c>
      <c r="AY34" s="67">
        <f t="shared" si="0"/>
        <v>266.39689430449573</v>
      </c>
      <c r="AZ34" s="67">
        <f t="shared" si="1"/>
        <v>76.954963510212906</v>
      </c>
      <c r="BA34" s="67">
        <f t="shared" si="3"/>
        <v>221.30593244857926</v>
      </c>
      <c r="BC34">
        <f t="shared" si="4"/>
        <v>34.617246523564582</v>
      </c>
      <c r="BD34">
        <v>1013.2</v>
      </c>
      <c r="BE34">
        <f t="shared" si="5"/>
        <v>28.768481254201571</v>
      </c>
    </row>
    <row r="35" spans="1:57" x14ac:dyDescent="0.2">
      <c r="A35" s="13">
        <v>26</v>
      </c>
      <c r="B35" s="3">
        <v>19</v>
      </c>
      <c r="C35" s="17">
        <v>4</v>
      </c>
      <c r="D35" s="3">
        <v>4</v>
      </c>
      <c r="E35" s="18">
        <v>5</v>
      </c>
      <c r="F35" s="18">
        <v>10</v>
      </c>
      <c r="G35" s="18">
        <v>75</v>
      </c>
      <c r="H35" s="19">
        <v>2</v>
      </c>
      <c r="I35" s="18"/>
      <c r="J35" s="18"/>
      <c r="K35" s="20">
        <v>125</v>
      </c>
      <c r="L35" s="18">
        <v>268</v>
      </c>
      <c r="M35" s="18">
        <v>248</v>
      </c>
      <c r="N35" s="18">
        <v>296</v>
      </c>
      <c r="O35" s="18">
        <v>84</v>
      </c>
      <c r="P35" s="18">
        <v>239</v>
      </c>
      <c r="Q35" s="17">
        <v>3</v>
      </c>
      <c r="R35" s="17">
        <v>8</v>
      </c>
      <c r="S35" s="17">
        <v>0</v>
      </c>
      <c r="T35" s="17">
        <v>2</v>
      </c>
      <c r="U35" s="17">
        <v>1</v>
      </c>
      <c r="V35" s="3">
        <v>8</v>
      </c>
      <c r="W35" s="20">
        <v>54</v>
      </c>
      <c r="X35" s="17">
        <v>8</v>
      </c>
      <c r="Y35" s="17">
        <v>3</v>
      </c>
      <c r="Z35" s="17">
        <v>6</v>
      </c>
      <c r="AA35" s="20">
        <v>114</v>
      </c>
      <c r="AB35" s="3"/>
      <c r="AC35" s="3"/>
      <c r="AD35" s="20"/>
      <c r="AE35" s="3"/>
      <c r="AF35" s="3"/>
      <c r="AG35" s="20"/>
      <c r="AH35" s="107"/>
      <c r="AI35" s="107"/>
      <c r="AJ35" s="107"/>
      <c r="AK35" s="107"/>
      <c r="AL35" s="108"/>
      <c r="AN35" s="67">
        <f t="shared" si="2"/>
        <v>-3.1731607332450835</v>
      </c>
      <c r="AO35" s="67">
        <f t="shared" si="2"/>
        <v>-0.90820629666166042</v>
      </c>
      <c r="AP35" s="67">
        <f t="shared" si="2"/>
        <v>-1.4719975712660585</v>
      </c>
      <c r="AY35" s="67">
        <f t="shared" si="0"/>
        <v>299.17316073324508</v>
      </c>
      <c r="AZ35" s="67">
        <f t="shared" si="1"/>
        <v>84.90820629666166</v>
      </c>
      <c r="BA35" s="67">
        <f t="shared" si="3"/>
        <v>240.47199757126606</v>
      </c>
      <c r="BC35">
        <f t="shared" si="4"/>
        <v>35.234893514056914</v>
      </c>
      <c r="BD35">
        <v>1013.2</v>
      </c>
      <c r="BE35">
        <f t="shared" si="5"/>
        <v>31.29288340580451</v>
      </c>
    </row>
    <row r="36" spans="1:57" x14ac:dyDescent="0.2">
      <c r="A36" s="13">
        <v>27</v>
      </c>
      <c r="B36" s="3">
        <v>19</v>
      </c>
      <c r="C36" s="17">
        <v>7</v>
      </c>
      <c r="D36" s="3">
        <v>4</v>
      </c>
      <c r="E36" s="18">
        <v>8</v>
      </c>
      <c r="F36" s="18">
        <v>8</v>
      </c>
      <c r="G36" s="18">
        <v>68</v>
      </c>
      <c r="H36" s="19">
        <v>1</v>
      </c>
      <c r="I36" s="18">
        <v>5</v>
      </c>
      <c r="J36" s="18">
        <v>22</v>
      </c>
      <c r="K36" s="20">
        <v>128</v>
      </c>
      <c r="L36" s="18">
        <v>261</v>
      </c>
      <c r="M36" s="18">
        <v>245</v>
      </c>
      <c r="N36" s="18">
        <v>295</v>
      </c>
      <c r="O36" s="18">
        <v>87</v>
      </c>
      <c r="P36" s="18">
        <v>238</v>
      </c>
      <c r="Q36" s="17">
        <v>5</v>
      </c>
      <c r="R36" s="17">
        <v>8</v>
      </c>
      <c r="S36" s="17">
        <v>4</v>
      </c>
      <c r="T36" s="17">
        <v>1</v>
      </c>
      <c r="U36" s="17">
        <v>1</v>
      </c>
      <c r="V36" s="3">
        <v>8</v>
      </c>
      <c r="W36" s="20">
        <v>54</v>
      </c>
      <c r="X36" s="17">
        <v>8</v>
      </c>
      <c r="Y36" s="17">
        <v>4</v>
      </c>
      <c r="Z36" s="17">
        <v>6</v>
      </c>
      <c r="AA36" s="20">
        <v>105</v>
      </c>
      <c r="AB36" s="3"/>
      <c r="AC36" s="3"/>
      <c r="AD36" s="20"/>
      <c r="AE36" s="3"/>
      <c r="AF36" s="3"/>
      <c r="AG36" s="20"/>
      <c r="AH36" s="107" t="s">
        <v>85</v>
      </c>
      <c r="AI36" s="107"/>
      <c r="AJ36" s="107"/>
      <c r="AK36" s="107"/>
      <c r="AL36" s="108"/>
      <c r="AN36" s="67">
        <f t="shared" si="2"/>
        <v>-1.3611309896706985</v>
      </c>
      <c r="AO36" s="67">
        <f t="shared" si="2"/>
        <v>-0.6588768038871109</v>
      </c>
      <c r="AP36" s="67">
        <f t="shared" si="2"/>
        <v>-0.90179130373326188</v>
      </c>
      <c r="AY36" s="67">
        <f t="shared" si="0"/>
        <v>296.3611309896707</v>
      </c>
      <c r="AZ36" s="67">
        <f t="shared" si="1"/>
        <v>87.658876803887111</v>
      </c>
      <c r="BA36" s="67">
        <f t="shared" si="3"/>
        <v>238.90179130373326</v>
      </c>
      <c r="BC36">
        <f t="shared" si="4"/>
        <v>33.808456347518359</v>
      </c>
      <c r="BD36">
        <v>1013.2</v>
      </c>
      <c r="BE36">
        <f t="shared" si="5"/>
        <v>30.736197835927069</v>
      </c>
    </row>
    <row r="37" spans="1:57" x14ac:dyDescent="0.2">
      <c r="A37" s="13">
        <v>28</v>
      </c>
      <c r="B37" s="3">
        <v>19</v>
      </c>
      <c r="C37" s="17">
        <v>3</v>
      </c>
      <c r="D37" s="3">
        <v>4</v>
      </c>
      <c r="E37" s="18">
        <v>8</v>
      </c>
      <c r="F37" s="18">
        <v>12</v>
      </c>
      <c r="G37" s="18">
        <v>65</v>
      </c>
      <c r="H37" s="19">
        <v>1</v>
      </c>
      <c r="I37" s="18">
        <v>5</v>
      </c>
      <c r="J37" s="18">
        <v>0</v>
      </c>
      <c r="K37" s="20">
        <v>138</v>
      </c>
      <c r="L37" s="18">
        <v>270</v>
      </c>
      <c r="M37" s="18">
        <v>250</v>
      </c>
      <c r="N37" s="18">
        <v>300</v>
      </c>
      <c r="O37" s="18">
        <v>84</v>
      </c>
      <c r="P37" s="18">
        <v>241</v>
      </c>
      <c r="Q37" s="17">
        <v>2</v>
      </c>
      <c r="R37" s="17">
        <v>8</v>
      </c>
      <c r="S37" s="17">
        <v>3</v>
      </c>
      <c r="T37" s="17">
        <v>0</v>
      </c>
      <c r="U37" s="17">
        <v>2</v>
      </c>
      <c r="V37" s="3">
        <v>8</v>
      </c>
      <c r="W37" s="20">
        <v>60</v>
      </c>
      <c r="X37" s="17">
        <v>8</v>
      </c>
      <c r="Y37" s="3"/>
      <c r="Z37" s="3"/>
      <c r="AA37" s="20"/>
      <c r="AB37" s="3"/>
      <c r="AC37" s="3"/>
      <c r="AD37" s="20"/>
      <c r="AE37" s="3"/>
      <c r="AF37" s="3"/>
      <c r="AG37" s="20"/>
      <c r="AH37" s="107" t="s">
        <v>85</v>
      </c>
      <c r="AI37" s="107"/>
      <c r="AJ37" s="107"/>
      <c r="AK37" s="107"/>
      <c r="AL37" s="108"/>
      <c r="AN37" s="67">
        <f t="shared" si="2"/>
        <v>-2.9301666961599722</v>
      </c>
      <c r="AO37" s="67">
        <f t="shared" si="2"/>
        <v>-0.96865232864115569</v>
      </c>
      <c r="AP37" s="67">
        <f t="shared" si="2"/>
        <v>-1.5498224634573035</v>
      </c>
      <c r="AY37" s="67">
        <f t="shared" si="0"/>
        <v>302.93016669615997</v>
      </c>
      <c r="AZ37" s="67">
        <f t="shared" si="1"/>
        <v>84.968652328641156</v>
      </c>
      <c r="BA37" s="67">
        <f t="shared" si="3"/>
        <v>242.5498224634573</v>
      </c>
      <c r="BC37">
        <f t="shared" si="4"/>
        <v>35.651991457330503</v>
      </c>
      <c r="BD37">
        <v>1013.2</v>
      </c>
      <c r="BE37">
        <f t="shared" si="5"/>
        <v>31.668891609615997</v>
      </c>
    </row>
    <row r="38" spans="1:57" x14ac:dyDescent="0.2">
      <c r="A38" s="13">
        <v>29</v>
      </c>
      <c r="B38" s="3">
        <v>19</v>
      </c>
      <c r="C38" s="17">
        <v>6</v>
      </c>
      <c r="D38" s="3">
        <v>4</v>
      </c>
      <c r="E38" s="18">
        <v>7</v>
      </c>
      <c r="F38" s="18">
        <v>12</v>
      </c>
      <c r="G38" s="18">
        <v>58</v>
      </c>
      <c r="H38" s="19">
        <v>1</v>
      </c>
      <c r="I38" s="18">
        <v>15</v>
      </c>
      <c r="J38" s="18">
        <v>22</v>
      </c>
      <c r="K38" s="20">
        <v>133</v>
      </c>
      <c r="L38" s="18">
        <v>260</v>
      </c>
      <c r="M38" s="18">
        <v>240</v>
      </c>
      <c r="N38" s="18">
        <v>283</v>
      </c>
      <c r="O38" s="18">
        <v>84</v>
      </c>
      <c r="P38" s="18">
        <v>231</v>
      </c>
      <c r="Q38" s="17">
        <v>6</v>
      </c>
      <c r="R38" s="17">
        <v>8</v>
      </c>
      <c r="S38" s="17" t="s">
        <v>89</v>
      </c>
      <c r="T38" s="17" t="s">
        <v>89</v>
      </c>
      <c r="U38" s="17">
        <v>2</v>
      </c>
      <c r="V38" s="3">
        <v>8</v>
      </c>
      <c r="W38" s="20">
        <v>51</v>
      </c>
      <c r="X38" s="17">
        <v>8</v>
      </c>
      <c r="Y38" s="17">
        <v>6</v>
      </c>
      <c r="Z38" s="17">
        <v>6</v>
      </c>
      <c r="AA38" s="20">
        <v>105</v>
      </c>
      <c r="AB38" s="3"/>
      <c r="AC38" s="3"/>
      <c r="AD38" s="20"/>
      <c r="AE38" s="3"/>
      <c r="AF38" s="3"/>
      <c r="AG38" s="20"/>
      <c r="AH38" s="107" t="s">
        <v>90</v>
      </c>
      <c r="AI38" s="107"/>
      <c r="AJ38" s="107"/>
      <c r="AK38" s="107"/>
      <c r="AL38" s="108"/>
      <c r="AN38" s="67">
        <f t="shared" si="2"/>
        <v>-1.5330281190206847</v>
      </c>
      <c r="AO38" s="67">
        <f t="shared" si="2"/>
        <v>-0.66012412105094143</v>
      </c>
      <c r="AP38" s="67">
        <f t="shared" si="2"/>
        <v>-1.1508299243794795</v>
      </c>
      <c r="AY38" s="67">
        <f t="shared" si="0"/>
        <v>284.53302811902068</v>
      </c>
      <c r="AZ38" s="67">
        <f t="shared" si="1"/>
        <v>84.660124121050941</v>
      </c>
      <c r="BA38" s="67">
        <f t="shared" si="3"/>
        <v>232.15082992437948</v>
      </c>
      <c r="BC38">
        <f t="shared" si="4"/>
        <v>33.608860260136439</v>
      </c>
      <c r="BD38">
        <v>1013.2</v>
      </c>
      <c r="BE38">
        <f t="shared" si="5"/>
        <v>29.827639714302066</v>
      </c>
    </row>
    <row r="39" spans="1:57" x14ac:dyDescent="0.2">
      <c r="A39" s="13">
        <v>30</v>
      </c>
      <c r="B39" s="3">
        <v>19</v>
      </c>
      <c r="C39" s="68">
        <v>7</v>
      </c>
      <c r="D39" s="3">
        <v>4</v>
      </c>
      <c r="E39" s="18">
        <v>7</v>
      </c>
      <c r="F39" s="18">
        <v>8</v>
      </c>
      <c r="G39" s="18">
        <v>70</v>
      </c>
      <c r="H39" s="19">
        <v>1</v>
      </c>
      <c r="I39" s="18">
        <v>5</v>
      </c>
      <c r="J39" s="18">
        <v>82</v>
      </c>
      <c r="K39" s="20">
        <v>114</v>
      </c>
      <c r="L39" s="18">
        <v>258</v>
      </c>
      <c r="M39" s="18">
        <v>230</v>
      </c>
      <c r="N39" s="18">
        <v>260</v>
      </c>
      <c r="O39" s="18">
        <v>78</v>
      </c>
      <c r="P39" s="18">
        <v>216</v>
      </c>
      <c r="Q39" s="17">
        <v>7</v>
      </c>
      <c r="R39" s="17">
        <v>8</v>
      </c>
      <c r="S39" s="17">
        <v>4</v>
      </c>
      <c r="T39" s="17">
        <v>0</v>
      </c>
      <c r="U39" s="17">
        <v>4</v>
      </c>
      <c r="V39" s="3">
        <v>8</v>
      </c>
      <c r="W39" s="20">
        <v>51</v>
      </c>
      <c r="X39" s="17">
        <v>8</v>
      </c>
      <c r="Y39" s="17">
        <v>5</v>
      </c>
      <c r="Z39" s="17">
        <v>6</v>
      </c>
      <c r="AA39" s="20">
        <v>105</v>
      </c>
      <c r="AB39" s="3"/>
      <c r="AC39" s="3"/>
      <c r="AD39" s="20"/>
      <c r="AE39" s="3"/>
      <c r="AF39" s="3"/>
      <c r="AG39" s="20"/>
      <c r="AH39" s="107" t="s">
        <v>219</v>
      </c>
      <c r="AI39" s="107"/>
      <c r="AJ39" s="107"/>
      <c r="AK39" s="107"/>
      <c r="AL39" s="108"/>
      <c r="AN39" s="67">
        <f t="shared" si="2"/>
        <v>-1.5889519949141686</v>
      </c>
      <c r="AO39" s="67">
        <f t="shared" si="2"/>
        <v>-0.76158661089843349</v>
      </c>
      <c r="AP39" s="67">
        <f t="shared" si="2"/>
        <v>-2.3225317304626856</v>
      </c>
      <c r="AY39" s="67">
        <f t="shared" si="0"/>
        <v>261.58895199491417</v>
      </c>
      <c r="AZ39" s="67">
        <f t="shared" si="1"/>
        <v>78.761586610898433</v>
      </c>
      <c r="BA39" s="67">
        <f t="shared" si="3"/>
        <v>218.32253173046269</v>
      </c>
      <c r="BC39">
        <f t="shared" si="4"/>
        <v>33.212758052631393</v>
      </c>
      <c r="BD39">
        <v>1013.2</v>
      </c>
      <c r="BE39">
        <f t="shared" si="5"/>
        <v>28.080813610211415</v>
      </c>
    </row>
    <row r="40" spans="1:57" x14ac:dyDescent="0.2">
      <c r="A40" s="13"/>
      <c r="B40" s="3"/>
      <c r="C40" s="17"/>
      <c r="D40" s="3"/>
      <c r="E40" s="18"/>
      <c r="F40" s="18"/>
      <c r="G40" s="18"/>
      <c r="H40" s="19"/>
      <c r="I40" s="18"/>
      <c r="J40" s="18"/>
      <c r="K40" s="20"/>
      <c r="L40" s="18"/>
      <c r="M40" s="18"/>
      <c r="N40" s="18"/>
      <c r="O40" s="18"/>
      <c r="P40" s="18"/>
      <c r="Q40" s="17"/>
      <c r="R40" s="17"/>
      <c r="S40" s="17"/>
      <c r="T40" s="17"/>
      <c r="U40" s="17"/>
      <c r="V40" s="3"/>
      <c r="W40" s="20"/>
      <c r="X40" s="17"/>
      <c r="Y40" s="3"/>
      <c r="Z40" s="3"/>
      <c r="AA40" s="20"/>
      <c r="AB40" s="3"/>
      <c r="AC40" s="3"/>
      <c r="AD40" s="20"/>
      <c r="AE40" s="3"/>
      <c r="AF40" s="3"/>
      <c r="AG40" s="20"/>
      <c r="AH40" s="107"/>
      <c r="AI40" s="107"/>
      <c r="AJ40" s="107"/>
      <c r="AK40" s="107"/>
      <c r="AL40" s="108"/>
      <c r="AN40" s="67"/>
      <c r="AO40" s="67"/>
      <c r="AP40" s="67"/>
      <c r="AY40" s="67">
        <f t="shared" si="0"/>
        <v>61.120000000000005</v>
      </c>
      <c r="AZ40" s="67">
        <f t="shared" si="1"/>
        <v>100</v>
      </c>
      <c r="BA40" s="67">
        <f t="shared" si="3"/>
        <v>0</v>
      </c>
      <c r="BC40">
        <f t="shared" si="4"/>
        <v>6.1120000000000001</v>
      </c>
      <c r="BD40">
        <v>1013.2</v>
      </c>
      <c r="BE40">
        <f t="shared" si="5"/>
        <v>6.1120000000000001</v>
      </c>
    </row>
    <row r="41" spans="1:57" x14ac:dyDescent="0.2">
      <c r="A41" s="18"/>
      <c r="B41" s="3"/>
      <c r="C41" s="17"/>
      <c r="D41" s="3"/>
      <c r="E41" s="18"/>
      <c r="F41" s="18"/>
      <c r="G41" s="18"/>
      <c r="H41" s="19"/>
      <c r="I41" s="18"/>
      <c r="J41" s="18"/>
      <c r="K41" s="20"/>
      <c r="L41" s="18"/>
      <c r="M41" s="18"/>
      <c r="N41" s="18"/>
      <c r="O41" s="18"/>
      <c r="P41" s="18"/>
      <c r="Q41" s="17"/>
      <c r="R41" s="17"/>
      <c r="S41" s="17"/>
      <c r="T41" s="17"/>
      <c r="U41" s="17"/>
      <c r="V41" s="3"/>
      <c r="W41" s="20"/>
      <c r="X41" s="3"/>
      <c r="Y41" s="3"/>
      <c r="Z41" s="3"/>
      <c r="AA41" s="20"/>
      <c r="AB41" s="3"/>
      <c r="AC41" s="3"/>
      <c r="AD41" s="20"/>
      <c r="AE41" s="3"/>
      <c r="AF41" s="3"/>
      <c r="AG41" s="20"/>
      <c r="AH41" s="109" t="s">
        <v>227</v>
      </c>
      <c r="AI41" s="107"/>
      <c r="AJ41" s="107"/>
      <c r="AK41" s="107"/>
      <c r="AL41" s="108"/>
      <c r="AN41" s="67"/>
      <c r="AO41" s="67"/>
      <c r="AP41" s="67"/>
    </row>
    <row r="42" spans="1:57" x14ac:dyDescent="0.2">
      <c r="A42" s="13" t="s">
        <v>9</v>
      </c>
      <c r="B42" s="1"/>
      <c r="C42" s="21">
        <f>SUM(C10:C40)</f>
        <v>144</v>
      </c>
      <c r="D42" s="1"/>
      <c r="E42" s="13"/>
      <c r="F42" s="13">
        <f>SUM(F10:F40)</f>
        <v>276</v>
      </c>
      <c r="G42" s="13"/>
      <c r="H42" s="2"/>
      <c r="I42" s="13"/>
      <c r="J42" s="13"/>
      <c r="K42" s="22">
        <f>SUM(K10:K40)</f>
        <v>3597</v>
      </c>
      <c r="L42" s="13">
        <f>SUM(L10:L40)</f>
        <v>8003</v>
      </c>
      <c r="M42" s="13">
        <f>SUM(M10:M40)</f>
        <v>7289</v>
      </c>
      <c r="N42" s="13">
        <f>SUM(N10:N40)</f>
        <v>8555</v>
      </c>
      <c r="O42" s="13">
        <f>SUM(O10:O40)</f>
        <v>2443</v>
      </c>
      <c r="P42" s="13">
        <f t="shared" ref="P42" si="6">SUM(P10:P40)</f>
        <v>6965</v>
      </c>
      <c r="Q42" s="21">
        <f>SUM(Q10:Q40)</f>
        <v>80</v>
      </c>
      <c r="R42" s="21"/>
      <c r="S42" s="21"/>
      <c r="T42" s="21"/>
      <c r="U42" s="21"/>
      <c r="V42" s="1"/>
      <c r="W42" s="22"/>
      <c r="X42" s="1"/>
      <c r="Y42" s="1"/>
      <c r="Z42" s="1"/>
      <c r="AA42" s="22"/>
      <c r="AB42" s="1"/>
      <c r="AC42" s="1"/>
      <c r="AD42" s="22"/>
      <c r="AE42" s="1"/>
      <c r="AF42" s="1"/>
      <c r="AG42" s="22"/>
      <c r="AH42" s="110" t="s">
        <v>241</v>
      </c>
      <c r="AI42" s="107"/>
      <c r="AJ42" s="107"/>
      <c r="AK42" s="107"/>
      <c r="AL42" s="108"/>
      <c r="AN42" s="67"/>
      <c r="AO42" s="67"/>
      <c r="AP42" s="67"/>
    </row>
    <row r="43" spans="1:57" ht="13.5" thickBot="1" x14ac:dyDescent="0.25">
      <c r="A43" s="23" t="s">
        <v>10</v>
      </c>
      <c r="B43" s="24"/>
      <c r="C43" s="25">
        <f>AVERAGE(C10:C40)</f>
        <v>4.8</v>
      </c>
      <c r="D43" s="24"/>
      <c r="E43" s="23">
        <f>MODE(E10:E40)</f>
        <v>9</v>
      </c>
      <c r="F43" s="23">
        <f>AVERAGE(F10:F40)</f>
        <v>9.1999999999999993</v>
      </c>
      <c r="G43" s="23"/>
      <c r="H43" s="26"/>
      <c r="I43" s="23"/>
      <c r="J43" s="23"/>
      <c r="K43" s="27">
        <f>AVERAGE(K10:K40)</f>
        <v>119.9</v>
      </c>
      <c r="L43" s="23">
        <f t="shared" ref="L43:Q43" si="7">AVERAGE(L10:L40)</f>
        <v>266.76666666666665</v>
      </c>
      <c r="M43" s="23">
        <f t="shared" si="7"/>
        <v>242.96666666666667</v>
      </c>
      <c r="N43" s="23">
        <f t="shared" si="7"/>
        <v>285.16666666666669</v>
      </c>
      <c r="O43" s="23">
        <f t="shared" si="7"/>
        <v>81.433333333333337</v>
      </c>
      <c r="P43" s="23">
        <f>AVERAGE(P10:P40)</f>
        <v>232.16666666666666</v>
      </c>
      <c r="Q43" s="25">
        <f t="shared" si="7"/>
        <v>2.6666666666666665</v>
      </c>
      <c r="R43" s="25"/>
      <c r="S43" s="25"/>
      <c r="T43" s="25"/>
      <c r="U43" s="25"/>
      <c r="V43" s="24"/>
      <c r="W43" s="27"/>
      <c r="X43" s="24"/>
      <c r="Y43" s="24"/>
      <c r="Z43" s="24"/>
      <c r="AA43" s="27"/>
      <c r="AB43" s="24"/>
      <c r="AC43" s="24"/>
      <c r="AD43" s="27"/>
      <c r="AE43" s="24"/>
      <c r="AF43" s="24"/>
      <c r="AG43" s="27"/>
      <c r="AH43" s="111"/>
      <c r="AI43" s="111"/>
      <c r="AJ43" s="111"/>
      <c r="AK43" s="111"/>
      <c r="AL43" s="112"/>
      <c r="AN43" s="67">
        <f>AVERAGE(AN10:AN40)</f>
        <v>-2.2859795406457599</v>
      </c>
      <c r="AO43" s="67">
        <f t="shared" ref="AO43:AP43" si="8">AVERAGE(AO10:AO40)</f>
        <v>-0.78005409093625722</v>
      </c>
      <c r="AP43" s="67">
        <f t="shared" si="8"/>
        <v>-1.5189035584944861</v>
      </c>
    </row>
    <row r="44" spans="1:57" x14ac:dyDescent="0.2">
      <c r="E44" s="11"/>
      <c r="G44" s="11"/>
      <c r="K44" s="4"/>
      <c r="M44" s="11"/>
      <c r="P44" s="11"/>
      <c r="Q44" s="11"/>
      <c r="W44" s="4"/>
      <c r="AA44" s="4"/>
      <c r="AD44" s="4"/>
    </row>
    <row r="45" spans="1:57" x14ac:dyDescent="0.2">
      <c r="E45" s="11"/>
      <c r="G45" s="11"/>
      <c r="K45" s="4"/>
      <c r="M45" s="11"/>
      <c r="P45" s="11"/>
      <c r="Q45" s="11"/>
      <c r="W45" s="4"/>
      <c r="AA45" s="4"/>
    </row>
    <row r="46" spans="1:57" x14ac:dyDescent="0.2">
      <c r="E46" s="11"/>
      <c r="G46" s="11"/>
      <c r="M46" s="11"/>
      <c r="P46" s="11"/>
      <c r="Q46" s="11"/>
      <c r="W46" s="4"/>
      <c r="AA46" s="4"/>
    </row>
    <row r="47" spans="1:57" x14ac:dyDescent="0.2">
      <c r="E47" s="11"/>
      <c r="G47" s="11"/>
      <c r="M47" s="11"/>
      <c r="P47" s="11"/>
      <c r="Q47" s="11"/>
    </row>
    <row r="48" spans="1:57" x14ac:dyDescent="0.2">
      <c r="E48" s="11"/>
      <c r="G48" s="11"/>
      <c r="M48" s="11"/>
      <c r="P48" s="11"/>
      <c r="Q48" s="11"/>
    </row>
    <row r="49" spans="5:17" x14ac:dyDescent="0.2">
      <c r="E49" s="11"/>
      <c r="G49" s="11"/>
      <c r="M49" s="11"/>
      <c r="P49" s="11"/>
      <c r="Q49" s="11"/>
    </row>
  </sheetData>
  <mergeCells count="72">
    <mergeCell ref="AH41:AL41"/>
    <mergeCell ref="AH42:AL42"/>
    <mergeCell ref="AH43:AL43"/>
    <mergeCell ref="P3:T3"/>
    <mergeCell ref="C8:C9"/>
    <mergeCell ref="D8:D9"/>
    <mergeCell ref="J8:J9"/>
    <mergeCell ref="K8:K9"/>
    <mergeCell ref="E7:F7"/>
    <mergeCell ref="L7:P7"/>
    <mergeCell ref="L8:L9"/>
    <mergeCell ref="M8:M9"/>
    <mergeCell ref="N8:N9"/>
    <mergeCell ref="O8:O9"/>
    <mergeCell ref="P8:P9"/>
    <mergeCell ref="Q8:Q9"/>
    <mergeCell ref="A8:A9"/>
    <mergeCell ref="B8:B9"/>
    <mergeCell ref="G8:G9"/>
    <mergeCell ref="H8:H9"/>
    <mergeCell ref="I8:I9"/>
    <mergeCell ref="F8:F9"/>
    <mergeCell ref="E8:E9"/>
    <mergeCell ref="R8:R9"/>
    <mergeCell ref="S8:S9"/>
    <mergeCell ref="T8:T9"/>
    <mergeCell ref="Q7:T7"/>
    <mergeCell ref="AH22:AL22"/>
    <mergeCell ref="U7:AG7"/>
    <mergeCell ref="U8:W8"/>
    <mergeCell ref="X8:AA8"/>
    <mergeCell ref="AB8:AD8"/>
    <mergeCell ref="AE8:AG8"/>
    <mergeCell ref="AH23:AL23"/>
    <mergeCell ref="AH7:AL9"/>
    <mergeCell ref="AH10:AL10"/>
    <mergeCell ref="AH11:AL11"/>
    <mergeCell ref="AH12:AL12"/>
    <mergeCell ref="AH13:AL13"/>
    <mergeCell ref="AH14:AL14"/>
    <mergeCell ref="AH15:AL15"/>
    <mergeCell ref="AH16:AL16"/>
    <mergeCell ref="AH17:AL17"/>
    <mergeCell ref="AH18:AL18"/>
    <mergeCell ref="AH19:AL19"/>
    <mergeCell ref="AH20:AL20"/>
    <mergeCell ref="AH21:AL21"/>
    <mergeCell ref="AH40:AL40"/>
    <mergeCell ref="AH25:AL25"/>
    <mergeCell ref="AH32:AL32"/>
    <mergeCell ref="AH35:AL35"/>
    <mergeCell ref="AH26:AL26"/>
    <mergeCell ref="AH27:AL27"/>
    <mergeCell ref="AH28:AL28"/>
    <mergeCell ref="AH29:AL29"/>
    <mergeCell ref="AH30:AL30"/>
    <mergeCell ref="AH33:AL33"/>
    <mergeCell ref="AH34:AL34"/>
    <mergeCell ref="AH31:AL31"/>
    <mergeCell ref="AH24:AL24"/>
    <mergeCell ref="AH36:AL36"/>
    <mergeCell ref="AH37:AL37"/>
    <mergeCell ref="AH38:AL38"/>
    <mergeCell ref="AH39:AL39"/>
    <mergeCell ref="AN7:AP7"/>
    <mergeCell ref="AY7:BA7"/>
    <mergeCell ref="AN8:AN9"/>
    <mergeCell ref="AO8:AO9"/>
    <mergeCell ref="AP8:AP9"/>
    <mergeCell ref="AY8:AY9"/>
    <mergeCell ref="AZ8:AZ9"/>
    <mergeCell ref="BA8:BA9"/>
  </mergeCells>
  <phoneticPr fontId="2" type="noConversion"/>
  <dataValidations count="5">
    <dataValidation type="whole" allowBlank="1" showInputMessage="1" showErrorMessage="1" sqref="Y10:Y40" xr:uid="{00000000-0002-0000-0000-000000000000}">
      <formula1>3</formula1>
      <formula2>9</formula2>
    </dataValidation>
    <dataValidation type="whole" allowBlank="1" showInputMessage="1" showErrorMessage="1" sqref="AB10:AB40" xr:uid="{00000000-0002-0000-0000-000001000000}">
      <formula1>5</formula1>
      <formula2>9</formula2>
    </dataValidation>
    <dataValidation type="whole" allowBlank="1" showInputMessage="1" showErrorMessage="1" sqref="D10:D40" xr:uid="{00000000-0002-0000-0000-000002000000}">
      <formula1>0</formula1>
      <formula2>4</formula2>
    </dataValidation>
    <dataValidation type="whole" allowBlank="1" showInputMessage="1" showErrorMessage="1" sqref="AE10:AE40" xr:uid="{00000000-0002-0000-0000-000003000000}">
      <formula1>1</formula1>
      <formula2>9</formula2>
    </dataValidation>
    <dataValidation type="whole" allowBlank="1" showInputMessage="1" showErrorMessage="1" sqref="C10:C40" xr:uid="{00000000-0002-0000-0000-000004000000}">
      <formula1>0</formula1>
      <formula2>9</formula2>
    </dataValidation>
  </dataValidations>
  <pageMargins left="0.75" right="0.75" top="1" bottom="1" header="0.5" footer="0.5"/>
  <pageSetup orientation="portrait" horizont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49"/>
  <sheetViews>
    <sheetView workbookViewId="0">
      <pane xSplit="2" ySplit="9" topLeftCell="C10" activePane="bottomRight" state="frozen"/>
      <selection activeCell="AM2" sqref="AM2"/>
      <selection pane="topRight" activeCell="AM2" sqref="AM2"/>
      <selection pane="bottomLeft" activeCell="AM2" sqref="AM2"/>
      <selection pane="bottomRight" activeCell="AF36" sqref="AF36"/>
    </sheetView>
  </sheetViews>
  <sheetFormatPr defaultRowHeight="12.75" x14ac:dyDescent="0.2"/>
  <cols>
    <col min="1" max="1" width="4.28515625" bestFit="1" customWidth="1"/>
    <col min="2" max="2" width="5.140625" bestFit="1" customWidth="1"/>
    <col min="3" max="3" width="4" bestFit="1" customWidth="1"/>
    <col min="4" max="5" width="3" bestFit="1" customWidth="1"/>
    <col min="6" max="6" width="4" bestFit="1" customWidth="1"/>
    <col min="7" max="10" width="3" bestFit="1" customWidth="1"/>
    <col min="11" max="11" width="8.5703125" bestFit="1" customWidth="1"/>
    <col min="12" max="16" width="5" bestFit="1" customWidth="1"/>
    <col min="17" max="17" width="4" bestFit="1" customWidth="1"/>
    <col min="18" max="22" width="3" bestFit="1" customWidth="1"/>
    <col min="23" max="23" width="5.28515625" bestFit="1" customWidth="1"/>
    <col min="24" max="26" width="3" bestFit="1" customWidth="1"/>
    <col min="27" max="27" width="5.28515625" bestFit="1" customWidth="1"/>
    <col min="28" max="29" width="3" bestFit="1" customWidth="1"/>
    <col min="30" max="30" width="5.28515625" bestFit="1" customWidth="1"/>
    <col min="31" max="32" width="3" bestFit="1" customWidth="1"/>
    <col min="33" max="33" width="5.28515625" bestFit="1" customWidth="1"/>
    <col min="34" max="34" width="5.42578125" customWidth="1"/>
    <col min="40" max="42" width="4.7109375" customWidth="1"/>
    <col min="50" max="58" width="0" hidden="1" customWidth="1"/>
  </cols>
  <sheetData>
    <row r="1" spans="1:5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  <c r="P1" s="1"/>
      <c r="Q1" s="1"/>
      <c r="R1" s="1"/>
    </row>
    <row r="2" spans="1:57" ht="36.75" customHeight="1" x14ac:dyDescent="0.2">
      <c r="A2" s="1"/>
      <c r="B2" s="1"/>
      <c r="C2" s="1"/>
      <c r="D2" s="1"/>
      <c r="E2" s="1"/>
      <c r="F2" s="1"/>
      <c r="G2" s="1"/>
      <c r="H2" s="1"/>
      <c r="I2" s="2"/>
      <c r="J2" s="2"/>
      <c r="K2" s="1"/>
      <c r="L2" s="1"/>
      <c r="M2" s="1"/>
      <c r="O2" s="2"/>
      <c r="P2" s="1"/>
      <c r="Q2" s="1"/>
      <c r="R2" s="1"/>
    </row>
    <row r="3" spans="1:5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80"/>
      <c r="Q3" s="80"/>
      <c r="R3" s="80"/>
      <c r="S3" s="80"/>
      <c r="T3" s="80"/>
    </row>
    <row r="4" spans="1:5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7" spans="1:57" ht="14.25" x14ac:dyDescent="0.25">
      <c r="A7" s="7"/>
      <c r="B7" s="7"/>
      <c r="C7" s="7"/>
      <c r="D7" s="7"/>
      <c r="E7" s="81" t="s">
        <v>20</v>
      </c>
      <c r="F7" s="81"/>
      <c r="G7" s="7"/>
      <c r="H7" s="7"/>
      <c r="I7" s="7"/>
      <c r="J7" s="7"/>
      <c r="K7" s="7"/>
      <c r="L7" s="82" t="s">
        <v>11</v>
      </c>
      <c r="M7" s="82"/>
      <c r="N7" s="82"/>
      <c r="O7" s="82"/>
      <c r="P7" s="82"/>
      <c r="Q7" s="83" t="s">
        <v>29</v>
      </c>
      <c r="R7" s="83"/>
      <c r="S7" s="83"/>
      <c r="T7" s="83"/>
      <c r="U7" s="84" t="s">
        <v>33</v>
      </c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98" t="s">
        <v>8</v>
      </c>
      <c r="AI7" s="99"/>
      <c r="AJ7" s="99"/>
      <c r="AK7" s="99"/>
      <c r="AL7" s="100"/>
      <c r="AN7" s="73" t="s">
        <v>80</v>
      </c>
      <c r="AO7" s="74"/>
      <c r="AP7" s="75"/>
      <c r="AY7" s="76" t="s">
        <v>81</v>
      </c>
      <c r="AZ7" s="77"/>
      <c r="BA7" s="78"/>
    </row>
    <row r="8" spans="1:57" ht="16.5" customHeight="1" x14ac:dyDescent="0.2">
      <c r="A8" s="85" t="s">
        <v>18</v>
      </c>
      <c r="B8" s="89" t="s">
        <v>19</v>
      </c>
      <c r="C8" s="90" t="s">
        <v>23</v>
      </c>
      <c r="D8" s="88" t="s">
        <v>24</v>
      </c>
      <c r="E8" s="91" t="s">
        <v>25</v>
      </c>
      <c r="F8" s="86" t="s">
        <v>26</v>
      </c>
      <c r="G8" s="88" t="s">
        <v>27</v>
      </c>
      <c r="H8" s="88" t="s">
        <v>0</v>
      </c>
      <c r="I8" s="88" t="s">
        <v>21</v>
      </c>
      <c r="J8" s="88" t="s">
        <v>22</v>
      </c>
      <c r="K8" s="85" t="s">
        <v>28</v>
      </c>
      <c r="L8" s="79" t="s">
        <v>1</v>
      </c>
      <c r="M8" s="79" t="s">
        <v>2</v>
      </c>
      <c r="N8" s="79" t="s">
        <v>3</v>
      </c>
      <c r="O8" s="79" t="s">
        <v>4</v>
      </c>
      <c r="P8" s="79" t="s">
        <v>5</v>
      </c>
      <c r="Q8" s="92" t="s">
        <v>34</v>
      </c>
      <c r="R8" s="92" t="s">
        <v>30</v>
      </c>
      <c r="S8" s="92" t="s">
        <v>31</v>
      </c>
      <c r="T8" s="92" t="s">
        <v>32</v>
      </c>
      <c r="U8" s="93" t="s">
        <v>38</v>
      </c>
      <c r="V8" s="93"/>
      <c r="W8" s="93"/>
      <c r="X8" s="93" t="s">
        <v>39</v>
      </c>
      <c r="Y8" s="93"/>
      <c r="Z8" s="93"/>
      <c r="AA8" s="93"/>
      <c r="AB8" s="93" t="s">
        <v>40</v>
      </c>
      <c r="AC8" s="93"/>
      <c r="AD8" s="93"/>
      <c r="AE8" s="93" t="s">
        <v>41</v>
      </c>
      <c r="AF8" s="94"/>
      <c r="AG8" s="95"/>
      <c r="AH8" s="101"/>
      <c r="AI8" s="102"/>
      <c r="AJ8" s="102"/>
      <c r="AK8" s="102"/>
      <c r="AL8" s="103"/>
      <c r="AN8" s="79" t="s">
        <v>3</v>
      </c>
      <c r="AO8" s="79" t="s">
        <v>4</v>
      </c>
      <c r="AP8" s="79" t="s">
        <v>5</v>
      </c>
      <c r="AY8" s="79" t="s">
        <v>3</v>
      </c>
      <c r="AZ8" s="79" t="s">
        <v>4</v>
      </c>
      <c r="BA8" s="79" t="s">
        <v>5</v>
      </c>
    </row>
    <row r="9" spans="1:57" s="3" customFormat="1" ht="72" customHeight="1" x14ac:dyDescent="0.2">
      <c r="A9" s="85"/>
      <c r="B9" s="89"/>
      <c r="C9" s="90"/>
      <c r="D9" s="88"/>
      <c r="E9" s="91"/>
      <c r="F9" s="87"/>
      <c r="G9" s="88"/>
      <c r="H9" s="88"/>
      <c r="I9" s="88"/>
      <c r="J9" s="88"/>
      <c r="K9" s="85"/>
      <c r="L9" s="79"/>
      <c r="M9" s="79"/>
      <c r="N9" s="79"/>
      <c r="O9" s="79"/>
      <c r="P9" s="79"/>
      <c r="Q9" s="92"/>
      <c r="R9" s="92"/>
      <c r="S9" s="92"/>
      <c r="T9" s="92"/>
      <c r="U9" s="8" t="s">
        <v>16</v>
      </c>
      <c r="V9" s="8" t="s">
        <v>6</v>
      </c>
      <c r="W9" s="9" t="s">
        <v>7</v>
      </c>
      <c r="X9" s="8" t="s">
        <v>17</v>
      </c>
      <c r="Y9" s="8" t="s">
        <v>16</v>
      </c>
      <c r="Z9" s="8" t="s">
        <v>6</v>
      </c>
      <c r="AA9" s="9" t="s">
        <v>7</v>
      </c>
      <c r="AB9" s="8" t="s">
        <v>16</v>
      </c>
      <c r="AC9" s="8" t="s">
        <v>6</v>
      </c>
      <c r="AD9" s="9" t="s">
        <v>7</v>
      </c>
      <c r="AE9" s="8" t="s">
        <v>16</v>
      </c>
      <c r="AF9" s="8" t="s">
        <v>6</v>
      </c>
      <c r="AG9" s="9" t="s">
        <v>7</v>
      </c>
      <c r="AH9" s="104"/>
      <c r="AI9" s="105"/>
      <c r="AJ9" s="105"/>
      <c r="AK9" s="105"/>
      <c r="AL9" s="106"/>
      <c r="AN9" s="79"/>
      <c r="AO9" s="79"/>
      <c r="AP9" s="79"/>
      <c r="AY9" s="79"/>
      <c r="AZ9" s="79"/>
      <c r="BA9" s="79"/>
      <c r="BC9" s="3" t="s">
        <v>82</v>
      </c>
      <c r="BD9" s="3" t="s">
        <v>83</v>
      </c>
      <c r="BE9" s="3" t="s">
        <v>84</v>
      </c>
    </row>
    <row r="10" spans="1:57" x14ac:dyDescent="0.2">
      <c r="A10" s="13">
        <v>1</v>
      </c>
      <c r="B10" s="3">
        <v>18</v>
      </c>
      <c r="C10" s="17">
        <v>4</v>
      </c>
      <c r="D10" s="3">
        <v>4</v>
      </c>
      <c r="E10" s="18">
        <v>8</v>
      </c>
      <c r="F10" s="18">
        <v>11</v>
      </c>
      <c r="G10" s="18">
        <v>76</v>
      </c>
      <c r="H10" s="19">
        <v>2</v>
      </c>
      <c r="I10" s="18"/>
      <c r="J10" s="18"/>
      <c r="K10" s="20">
        <v>125</v>
      </c>
      <c r="L10" s="18">
        <v>276</v>
      </c>
      <c r="M10" s="18">
        <v>244</v>
      </c>
      <c r="N10" s="18">
        <v>279</v>
      </c>
      <c r="O10" s="18">
        <v>75</v>
      </c>
      <c r="P10" s="18">
        <v>229</v>
      </c>
      <c r="Q10" s="17">
        <v>1</v>
      </c>
      <c r="R10" s="17">
        <v>8</v>
      </c>
      <c r="S10" s="17">
        <v>0</v>
      </c>
      <c r="T10" s="17">
        <v>2</v>
      </c>
      <c r="U10" s="17">
        <v>1</v>
      </c>
      <c r="V10" s="3">
        <v>8</v>
      </c>
      <c r="W10" s="20">
        <v>66</v>
      </c>
      <c r="X10" s="17">
        <v>8</v>
      </c>
      <c r="Y10" s="17">
        <v>3</v>
      </c>
      <c r="Z10" s="17">
        <v>0</v>
      </c>
      <c r="AA10" s="20">
        <v>840</v>
      </c>
      <c r="AB10" s="3"/>
      <c r="AC10" s="3"/>
      <c r="AD10" s="20"/>
      <c r="AE10" s="3"/>
      <c r="AF10" s="3"/>
      <c r="AG10" s="20"/>
      <c r="AH10" s="96"/>
      <c r="AI10" s="96"/>
      <c r="AJ10" s="96"/>
      <c r="AK10" s="96"/>
      <c r="AL10" s="97"/>
      <c r="AN10" s="67">
        <f>N10-AY10</f>
        <v>-4.5264911836445663</v>
      </c>
      <c r="AO10" s="67">
        <f>O10-AZ10</f>
        <v>-1.7754911384826926</v>
      </c>
      <c r="AP10" s="67">
        <f>P10-BA10</f>
        <v>-2.5650552801269839</v>
      </c>
      <c r="AY10" s="67">
        <f t="shared" ref="AY10:AY40" si="0">10*(BE10-BD10*((L10/10)-(M10/10))*0.00066*(1+(0.00115*(M10/10))))</f>
        <v>283.52649118364457</v>
      </c>
      <c r="AZ10" s="67">
        <f t="shared" ref="AZ10:AZ40" si="1">((AY10/10)*100)/BC10</f>
        <v>76.775491138482693</v>
      </c>
      <c r="BA10" s="67">
        <f>(243.5*LN((AY10/10)/6.112))/(17.67-LN((AY10/10)/6.112))*10</f>
        <v>231.56505528012698</v>
      </c>
      <c r="BC10">
        <f>6.112*2.718^((17.67*(L10/10))/((L10/10)+243.5))</f>
        <v>36.929296964344744</v>
      </c>
      <c r="BD10">
        <v>1013.2</v>
      </c>
      <c r="BE10">
        <f>6.112*2.718^((17.67*(M10/10))/((M10/10)+243.5))</f>
        <v>30.552572506268454</v>
      </c>
    </row>
    <row r="11" spans="1:57" x14ac:dyDescent="0.2">
      <c r="A11" s="13">
        <v>2</v>
      </c>
      <c r="B11" s="3">
        <v>18</v>
      </c>
      <c r="C11" s="17">
        <v>3</v>
      </c>
      <c r="D11" s="3">
        <v>4</v>
      </c>
      <c r="E11" s="18">
        <v>7</v>
      </c>
      <c r="F11" s="18">
        <v>10</v>
      </c>
      <c r="G11" s="18">
        <v>75</v>
      </c>
      <c r="H11" s="19">
        <v>2</v>
      </c>
      <c r="I11" s="18"/>
      <c r="J11" s="18"/>
      <c r="K11" s="20">
        <v>117</v>
      </c>
      <c r="L11" s="18">
        <v>278</v>
      </c>
      <c r="M11" s="18">
        <v>248</v>
      </c>
      <c r="N11" s="18">
        <v>290</v>
      </c>
      <c r="O11" s="18">
        <v>77</v>
      </c>
      <c r="P11" s="18">
        <v>235</v>
      </c>
      <c r="Q11" s="17">
        <v>2</v>
      </c>
      <c r="R11" s="17">
        <v>2</v>
      </c>
      <c r="S11" s="17">
        <v>0</v>
      </c>
      <c r="T11" s="17">
        <v>1</v>
      </c>
      <c r="U11" s="17">
        <v>2</v>
      </c>
      <c r="V11" s="3">
        <v>8</v>
      </c>
      <c r="W11" s="20">
        <v>60</v>
      </c>
      <c r="X11" s="17">
        <v>8</v>
      </c>
      <c r="Y11" s="3"/>
      <c r="Z11" s="3"/>
      <c r="AA11" s="20"/>
      <c r="AB11" s="3"/>
      <c r="AC11" s="3"/>
      <c r="AD11" s="20"/>
      <c r="AE11" s="3"/>
      <c r="AF11" s="3"/>
      <c r="AG11" s="20"/>
      <c r="AH11" s="107"/>
      <c r="AI11" s="107"/>
      <c r="AJ11" s="107"/>
      <c r="AK11" s="107"/>
      <c r="AL11" s="108"/>
      <c r="AN11" s="67">
        <f t="shared" ref="AN11:AP39" si="2">N11-AY11</f>
        <v>-2.2953240708450835</v>
      </c>
      <c r="AO11" s="67">
        <f t="shared" si="2"/>
        <v>-1.2294191109927368</v>
      </c>
      <c r="AP11" s="67">
        <f t="shared" si="2"/>
        <v>-1.6082611379933098</v>
      </c>
      <c r="AY11" s="67">
        <f t="shared" si="0"/>
        <v>292.29532407084508</v>
      </c>
      <c r="AZ11" s="67">
        <f t="shared" si="1"/>
        <v>78.229419110992737</v>
      </c>
      <c r="BA11" s="67">
        <f t="shared" ref="BA11:BA40" si="3">(243.5*LN((AY11/10)/6.112))/(17.67-LN((AY11/10)/6.112))*10</f>
        <v>236.60826113799331</v>
      </c>
      <c r="BC11">
        <f t="shared" ref="BC11:BC40" si="4">6.112*2.718^((17.67*(L11/10))/((L11/10)+243.5))</f>
        <v>37.363862264672235</v>
      </c>
      <c r="BD11">
        <v>1013.2</v>
      </c>
      <c r="BE11">
        <f t="shared" ref="BE11:BE40" si="5">6.112*2.718^((17.67*(M11/10))/((M11/10)+243.5))</f>
        <v>31.29288340580451</v>
      </c>
    </row>
    <row r="12" spans="1:57" x14ac:dyDescent="0.2">
      <c r="A12" s="13">
        <v>3</v>
      </c>
      <c r="B12" s="3">
        <v>18</v>
      </c>
      <c r="C12" s="17">
        <v>2</v>
      </c>
      <c r="D12" s="3">
        <v>4</v>
      </c>
      <c r="E12" s="18">
        <v>9</v>
      </c>
      <c r="F12" s="18">
        <v>7</v>
      </c>
      <c r="G12" s="18">
        <v>75</v>
      </c>
      <c r="H12" s="19">
        <v>2</v>
      </c>
      <c r="I12" s="18"/>
      <c r="J12" s="18"/>
      <c r="K12" s="20">
        <v>121</v>
      </c>
      <c r="L12" s="18">
        <v>279</v>
      </c>
      <c r="M12" s="18">
        <v>245</v>
      </c>
      <c r="N12" s="18">
        <v>282</v>
      </c>
      <c r="O12" s="18">
        <v>75</v>
      </c>
      <c r="P12" s="18">
        <v>230</v>
      </c>
      <c r="Q12" s="17">
        <v>1</v>
      </c>
      <c r="R12" s="17">
        <v>2</v>
      </c>
      <c r="S12" s="17">
        <v>0</v>
      </c>
      <c r="T12" s="17">
        <v>2</v>
      </c>
      <c r="U12" s="17">
        <v>1</v>
      </c>
      <c r="V12" s="3">
        <v>8</v>
      </c>
      <c r="W12" s="20">
        <v>63</v>
      </c>
      <c r="X12" s="17">
        <v>8</v>
      </c>
      <c r="Y12" s="3"/>
      <c r="Z12" s="3"/>
      <c r="AA12" s="20"/>
      <c r="AB12" s="3"/>
      <c r="AC12" s="3"/>
      <c r="AD12" s="20"/>
      <c r="AE12" s="3"/>
      <c r="AF12" s="3"/>
      <c r="AG12" s="20"/>
      <c r="AH12" s="107"/>
      <c r="AI12" s="107"/>
      <c r="AJ12" s="107"/>
      <c r="AK12" s="107"/>
      <c r="AL12" s="108"/>
      <c r="AN12" s="67">
        <f t="shared" si="2"/>
        <v>-1.9851776988707002</v>
      </c>
      <c r="AO12" s="67">
        <f t="shared" si="2"/>
        <v>-0.56250682590591339</v>
      </c>
      <c r="AP12" s="67">
        <f t="shared" si="2"/>
        <v>-1.8322227819585919</v>
      </c>
      <c r="AY12" s="67">
        <f t="shared" si="0"/>
        <v>283.9851776988707</v>
      </c>
      <c r="AZ12" s="67">
        <f t="shared" si="1"/>
        <v>75.562506825905913</v>
      </c>
      <c r="BA12" s="67">
        <f t="shared" si="3"/>
        <v>231.83222278195859</v>
      </c>
      <c r="BC12">
        <f t="shared" si="4"/>
        <v>37.582815820703949</v>
      </c>
      <c r="BD12">
        <v>1013.2</v>
      </c>
      <c r="BE12">
        <f t="shared" si="5"/>
        <v>30.736197835927069</v>
      </c>
    </row>
    <row r="13" spans="1:57" x14ac:dyDescent="0.2">
      <c r="A13" s="13">
        <v>4</v>
      </c>
      <c r="B13" s="3">
        <v>18</v>
      </c>
      <c r="C13" s="17">
        <v>2</v>
      </c>
      <c r="D13" s="3">
        <v>4</v>
      </c>
      <c r="E13" s="18">
        <v>11</v>
      </c>
      <c r="F13" s="18">
        <v>13</v>
      </c>
      <c r="G13" s="18">
        <v>80</v>
      </c>
      <c r="H13" s="19">
        <v>2</v>
      </c>
      <c r="I13" s="18"/>
      <c r="J13" s="18"/>
      <c r="K13" s="20">
        <v>124</v>
      </c>
      <c r="L13" s="18">
        <v>275</v>
      </c>
      <c r="M13" s="18">
        <v>250</v>
      </c>
      <c r="N13" s="18">
        <v>297</v>
      </c>
      <c r="O13" s="18">
        <v>81</v>
      </c>
      <c r="P13" s="18">
        <v>239</v>
      </c>
      <c r="Q13" s="17">
        <v>1</v>
      </c>
      <c r="R13" s="17">
        <v>2</v>
      </c>
      <c r="S13" s="17">
        <v>0</v>
      </c>
      <c r="T13" s="17">
        <v>2</v>
      </c>
      <c r="U13" s="17">
        <v>1</v>
      </c>
      <c r="V13" s="3">
        <v>8</v>
      </c>
      <c r="W13" s="20">
        <v>66</v>
      </c>
      <c r="X13" s="17">
        <v>8</v>
      </c>
      <c r="Y13" s="3"/>
      <c r="Z13" s="3"/>
      <c r="AA13" s="20"/>
      <c r="AB13" s="3"/>
      <c r="AC13" s="3"/>
      <c r="AD13" s="20"/>
      <c r="AE13" s="3"/>
      <c r="AF13" s="3"/>
      <c r="AG13" s="20"/>
      <c r="AH13" s="107"/>
      <c r="AI13" s="107"/>
      <c r="AJ13" s="107"/>
      <c r="AK13" s="107"/>
      <c r="AL13" s="108"/>
      <c r="AN13" s="67">
        <f t="shared" si="2"/>
        <v>-2.4904793461599866</v>
      </c>
      <c r="AO13" s="67">
        <f t="shared" si="2"/>
        <v>-0.57463786575569031</v>
      </c>
      <c r="AP13" s="67">
        <f t="shared" si="2"/>
        <v>-1.6483724122381318</v>
      </c>
      <c r="AY13" s="67">
        <f t="shared" si="0"/>
        <v>299.49047934615999</v>
      </c>
      <c r="AZ13" s="67">
        <f t="shared" si="1"/>
        <v>81.57463786575569</v>
      </c>
      <c r="BA13" s="67">
        <f t="shared" si="3"/>
        <v>240.64837241223813</v>
      </c>
      <c r="BC13">
        <f t="shared" si="4"/>
        <v>36.713675620481474</v>
      </c>
      <c r="BD13">
        <v>1013.2</v>
      </c>
      <c r="BE13">
        <f t="shared" si="5"/>
        <v>31.668891609615997</v>
      </c>
    </row>
    <row r="14" spans="1:57" x14ac:dyDescent="0.2">
      <c r="A14" s="13">
        <v>5</v>
      </c>
      <c r="B14" s="3">
        <v>18</v>
      </c>
      <c r="C14" s="17">
        <v>6</v>
      </c>
      <c r="D14" s="3">
        <v>4</v>
      </c>
      <c r="E14" s="18">
        <v>9</v>
      </c>
      <c r="F14" s="18">
        <v>10</v>
      </c>
      <c r="G14" s="18">
        <v>78</v>
      </c>
      <c r="H14" s="19">
        <v>2</v>
      </c>
      <c r="I14" s="18"/>
      <c r="J14" s="18"/>
      <c r="K14" s="20">
        <v>119</v>
      </c>
      <c r="L14" s="18">
        <v>279</v>
      </c>
      <c r="M14" s="18">
        <v>246</v>
      </c>
      <c r="N14" s="18">
        <v>287</v>
      </c>
      <c r="O14" s="18">
        <v>75</v>
      </c>
      <c r="P14" s="18">
        <v>231</v>
      </c>
      <c r="Q14" s="17">
        <v>1</v>
      </c>
      <c r="R14" s="17">
        <v>1</v>
      </c>
      <c r="S14" s="17">
        <v>0</v>
      </c>
      <c r="T14" s="17">
        <v>1</v>
      </c>
      <c r="U14" s="17">
        <v>1</v>
      </c>
      <c r="V14" s="3">
        <v>8</v>
      </c>
      <c r="W14" s="20">
        <v>60</v>
      </c>
      <c r="X14" s="17">
        <v>8</v>
      </c>
      <c r="Y14" s="17">
        <v>5</v>
      </c>
      <c r="Z14" s="17">
        <v>0</v>
      </c>
      <c r="AA14" s="20">
        <v>900</v>
      </c>
      <c r="AB14" s="3"/>
      <c r="AC14" s="3"/>
      <c r="AD14" s="20"/>
      <c r="AE14" s="3"/>
      <c r="AF14" s="3"/>
      <c r="AG14" s="20"/>
      <c r="AH14" s="107"/>
      <c r="AI14" s="107"/>
      <c r="AJ14" s="107"/>
      <c r="AK14" s="107"/>
      <c r="AL14" s="108"/>
      <c r="AN14" s="67">
        <f t="shared" si="2"/>
        <v>0.48389985091023391</v>
      </c>
      <c r="AO14" s="67">
        <f t="shared" si="2"/>
        <v>-1.2359322718047281</v>
      </c>
      <c r="AP14" s="67">
        <f t="shared" si="2"/>
        <v>-2.2996272459584759</v>
      </c>
      <c r="AY14" s="67">
        <f t="shared" si="0"/>
        <v>286.51610014908977</v>
      </c>
      <c r="AZ14" s="67">
        <f t="shared" si="1"/>
        <v>76.235932271804728</v>
      </c>
      <c r="BA14" s="67">
        <f t="shared" si="3"/>
        <v>233.29962724595848</v>
      </c>
      <c r="BC14">
        <f t="shared" si="4"/>
        <v>37.582815820703949</v>
      </c>
      <c r="BD14">
        <v>1013.2</v>
      </c>
      <c r="BE14">
        <f t="shared" si="5"/>
        <v>30.920788561092973</v>
      </c>
    </row>
    <row r="15" spans="1:57" x14ac:dyDescent="0.2">
      <c r="A15" s="13">
        <v>6</v>
      </c>
      <c r="B15" s="3">
        <v>18</v>
      </c>
      <c r="C15" s="17">
        <v>2</v>
      </c>
      <c r="D15" s="3">
        <v>4</v>
      </c>
      <c r="E15" s="18">
        <v>10</v>
      </c>
      <c r="F15" s="18">
        <v>14</v>
      </c>
      <c r="G15" s="18">
        <v>80</v>
      </c>
      <c r="H15" s="19">
        <v>2</v>
      </c>
      <c r="I15" s="18"/>
      <c r="J15" s="18"/>
      <c r="K15" s="20">
        <v>115</v>
      </c>
      <c r="L15" s="18">
        <v>277</v>
      </c>
      <c r="M15" s="18">
        <v>245</v>
      </c>
      <c r="N15" s="18">
        <v>284</v>
      </c>
      <c r="O15" s="18">
        <v>76</v>
      </c>
      <c r="P15" s="18">
        <v>231</v>
      </c>
      <c r="Q15" s="17">
        <v>1</v>
      </c>
      <c r="R15" s="17">
        <v>1</v>
      </c>
      <c r="S15" s="17">
        <v>0</v>
      </c>
      <c r="T15" s="17">
        <v>1</v>
      </c>
      <c r="U15" s="17">
        <v>1</v>
      </c>
      <c r="V15" s="3">
        <v>8</v>
      </c>
      <c r="W15" s="20">
        <v>66</v>
      </c>
      <c r="X15" s="17">
        <v>8</v>
      </c>
      <c r="Y15" s="3"/>
      <c r="Z15" s="3"/>
      <c r="AA15" s="20"/>
      <c r="AB15" s="3"/>
      <c r="AC15" s="3"/>
      <c r="AD15" s="20"/>
      <c r="AE15" s="3"/>
      <c r="AF15" s="3"/>
      <c r="AG15" s="20"/>
      <c r="AH15" s="107"/>
      <c r="AI15" s="107"/>
      <c r="AJ15" s="107"/>
      <c r="AK15" s="107"/>
      <c r="AL15" s="108"/>
      <c r="AN15" s="67">
        <f t="shared" si="2"/>
        <v>-1.3602836200706747</v>
      </c>
      <c r="AO15" s="67">
        <f t="shared" si="2"/>
        <v>-0.82121825757411671</v>
      </c>
      <c r="AP15" s="67">
        <f t="shared" si="2"/>
        <v>-1.6309105796450467</v>
      </c>
      <c r="AY15" s="67">
        <f t="shared" si="0"/>
        <v>285.36028362007067</v>
      </c>
      <c r="AZ15" s="67">
        <f t="shared" si="1"/>
        <v>76.821218257574117</v>
      </c>
      <c r="BA15" s="67">
        <f t="shared" si="3"/>
        <v>232.63091057964505</v>
      </c>
      <c r="BC15">
        <f t="shared" si="4"/>
        <v>37.146024248572211</v>
      </c>
      <c r="BD15">
        <v>1013.2</v>
      </c>
      <c r="BE15">
        <f t="shared" si="5"/>
        <v>30.736197835927069</v>
      </c>
    </row>
    <row r="16" spans="1:57" x14ac:dyDescent="0.2">
      <c r="A16" s="13">
        <v>7</v>
      </c>
      <c r="B16" s="3">
        <v>18</v>
      </c>
      <c r="C16" s="17">
        <v>4</v>
      </c>
      <c r="D16" s="3">
        <v>4</v>
      </c>
      <c r="E16" s="18">
        <v>10</v>
      </c>
      <c r="F16" s="18">
        <v>11</v>
      </c>
      <c r="G16" s="18">
        <v>76</v>
      </c>
      <c r="H16" s="19">
        <v>2</v>
      </c>
      <c r="I16" s="18"/>
      <c r="J16" s="18"/>
      <c r="K16" s="20">
        <v>105</v>
      </c>
      <c r="L16" s="18">
        <v>275</v>
      </c>
      <c r="M16" s="18">
        <v>239</v>
      </c>
      <c r="N16" s="18">
        <v>269</v>
      </c>
      <c r="O16" s="18">
        <v>73</v>
      </c>
      <c r="P16" s="18">
        <v>222</v>
      </c>
      <c r="Q16" s="17">
        <v>1</v>
      </c>
      <c r="R16" s="17">
        <v>2</v>
      </c>
      <c r="S16" s="17">
        <v>0</v>
      </c>
      <c r="T16" s="17">
        <v>2</v>
      </c>
      <c r="U16" s="17">
        <v>1</v>
      </c>
      <c r="V16" s="3">
        <v>8</v>
      </c>
      <c r="W16" s="20">
        <v>69</v>
      </c>
      <c r="X16" s="17">
        <v>8</v>
      </c>
      <c r="Y16" s="17">
        <v>4</v>
      </c>
      <c r="Z16" s="17">
        <v>0</v>
      </c>
      <c r="AA16" s="20">
        <v>840</v>
      </c>
      <c r="AB16" s="3"/>
      <c r="AC16" s="3"/>
      <c r="AD16" s="20"/>
      <c r="AE16" s="3"/>
      <c r="AF16" s="3"/>
      <c r="AG16" s="20"/>
      <c r="AH16" s="107"/>
      <c r="AI16" s="107"/>
      <c r="AJ16" s="107"/>
      <c r="AK16" s="107"/>
      <c r="AL16" s="108"/>
      <c r="AN16" s="67">
        <f t="shared" si="2"/>
        <v>-2.7524784634581465</v>
      </c>
      <c r="AO16" s="67">
        <f t="shared" si="2"/>
        <v>-1.0194148013487023</v>
      </c>
      <c r="AP16" s="67">
        <f t="shared" si="2"/>
        <v>-2.5740902201562506</v>
      </c>
      <c r="AY16" s="67">
        <f t="shared" si="0"/>
        <v>271.75247846345815</v>
      </c>
      <c r="AZ16" s="67">
        <f t="shared" si="1"/>
        <v>74.019414801348702</v>
      </c>
      <c r="BA16" s="67">
        <f t="shared" si="3"/>
        <v>224.57409022015625</v>
      </c>
      <c r="BC16">
        <f t="shared" si="4"/>
        <v>36.713675620481474</v>
      </c>
      <c r="BD16">
        <v>1013.2</v>
      </c>
      <c r="BE16">
        <f t="shared" si="5"/>
        <v>29.648777423897815</v>
      </c>
    </row>
    <row r="17" spans="1:57" x14ac:dyDescent="0.2">
      <c r="A17" s="13">
        <v>8</v>
      </c>
      <c r="B17" s="3">
        <v>18</v>
      </c>
      <c r="C17" s="17">
        <v>1</v>
      </c>
      <c r="D17" s="3">
        <v>4</v>
      </c>
      <c r="E17" s="18">
        <v>10</v>
      </c>
      <c r="F17" s="18">
        <v>13</v>
      </c>
      <c r="G17" s="18">
        <v>75</v>
      </c>
      <c r="H17" s="19">
        <v>2</v>
      </c>
      <c r="I17" s="18"/>
      <c r="J17" s="18"/>
      <c r="K17" s="20">
        <v>110</v>
      </c>
      <c r="L17" s="18">
        <v>278</v>
      </c>
      <c r="M17" s="18">
        <v>250</v>
      </c>
      <c r="N17" s="18">
        <v>295</v>
      </c>
      <c r="O17" s="18">
        <v>79</v>
      </c>
      <c r="P17" s="18">
        <v>238</v>
      </c>
      <c r="Q17" s="17">
        <v>1</v>
      </c>
      <c r="R17" s="17">
        <v>8</v>
      </c>
      <c r="S17" s="17">
        <v>0</v>
      </c>
      <c r="T17" s="17">
        <v>0</v>
      </c>
      <c r="U17" s="17">
        <v>1</v>
      </c>
      <c r="V17" s="3">
        <v>8</v>
      </c>
      <c r="W17" s="20">
        <v>63</v>
      </c>
      <c r="X17" s="17">
        <v>8</v>
      </c>
      <c r="Y17" s="3"/>
      <c r="Z17" s="3"/>
      <c r="AA17" s="20"/>
      <c r="AB17" s="3"/>
      <c r="AC17" s="3"/>
      <c r="AD17" s="20"/>
      <c r="AE17" s="3"/>
      <c r="AF17" s="3"/>
      <c r="AG17" s="20"/>
      <c r="AH17" s="107"/>
      <c r="AI17" s="107"/>
      <c r="AJ17" s="107"/>
      <c r="AK17" s="107"/>
      <c r="AL17" s="108"/>
      <c r="AN17" s="67">
        <f t="shared" si="2"/>
        <v>-2.4266669361599611</v>
      </c>
      <c r="AO17" s="67">
        <f t="shared" si="2"/>
        <v>-0.60276291281019212</v>
      </c>
      <c r="AP17" s="67">
        <f t="shared" si="2"/>
        <v>-1.4983038224681309</v>
      </c>
      <c r="AY17" s="67">
        <f t="shared" si="0"/>
        <v>297.42666693615996</v>
      </c>
      <c r="AZ17" s="67">
        <f t="shared" si="1"/>
        <v>79.602762912810192</v>
      </c>
      <c r="BA17" s="67">
        <f t="shared" si="3"/>
        <v>239.49830382246813</v>
      </c>
      <c r="BC17">
        <f t="shared" si="4"/>
        <v>37.363862264672235</v>
      </c>
      <c r="BD17">
        <v>1013.2</v>
      </c>
      <c r="BE17">
        <f t="shared" si="5"/>
        <v>31.668891609615997</v>
      </c>
    </row>
    <row r="18" spans="1:57" x14ac:dyDescent="0.2">
      <c r="A18" s="13">
        <v>9</v>
      </c>
      <c r="B18" s="3">
        <v>18</v>
      </c>
      <c r="C18" s="17">
        <v>6</v>
      </c>
      <c r="D18" s="3">
        <v>4</v>
      </c>
      <c r="E18" s="18">
        <v>9</v>
      </c>
      <c r="F18" s="18">
        <v>13</v>
      </c>
      <c r="G18" s="18">
        <v>78</v>
      </c>
      <c r="H18" s="19">
        <v>2</v>
      </c>
      <c r="I18" s="18"/>
      <c r="J18" s="18"/>
      <c r="K18" s="20">
        <v>111</v>
      </c>
      <c r="L18" s="18">
        <v>276</v>
      </c>
      <c r="M18" s="18">
        <v>250</v>
      </c>
      <c r="N18" s="18">
        <v>297</v>
      </c>
      <c r="O18" s="18">
        <v>80</v>
      </c>
      <c r="P18" s="18">
        <v>239</v>
      </c>
      <c r="Q18" s="17">
        <v>1</v>
      </c>
      <c r="R18" s="17">
        <v>2</v>
      </c>
      <c r="S18" s="17">
        <v>0</v>
      </c>
      <c r="T18" s="17">
        <v>1</v>
      </c>
      <c r="U18" s="17">
        <v>1</v>
      </c>
      <c r="V18" s="3">
        <v>8</v>
      </c>
      <c r="W18" s="20">
        <v>66</v>
      </c>
      <c r="X18" s="17">
        <v>8</v>
      </c>
      <c r="Y18" s="17">
        <v>6</v>
      </c>
      <c r="Z18" s="17">
        <v>0</v>
      </c>
      <c r="AA18" s="20">
        <v>900</v>
      </c>
      <c r="AB18" s="3"/>
      <c r="AC18" s="3"/>
      <c r="AD18" s="20"/>
      <c r="AE18" s="3"/>
      <c r="AF18" s="3"/>
      <c r="AG18" s="20"/>
      <c r="AH18" s="107"/>
      <c r="AI18" s="107"/>
      <c r="AJ18" s="107"/>
      <c r="AK18" s="107"/>
      <c r="AL18" s="108"/>
      <c r="AN18" s="67">
        <f t="shared" si="2"/>
        <v>-1.8025418761599781</v>
      </c>
      <c r="AO18" s="67">
        <f t="shared" si="2"/>
        <v>-0.91205802391905877</v>
      </c>
      <c r="AP18" s="67">
        <f t="shared" si="2"/>
        <v>-1.2657894066871336</v>
      </c>
      <c r="AY18" s="67">
        <f t="shared" si="0"/>
        <v>298.80254187615998</v>
      </c>
      <c r="AZ18" s="67">
        <f t="shared" si="1"/>
        <v>80.912058023919059</v>
      </c>
      <c r="BA18" s="67">
        <f t="shared" si="3"/>
        <v>240.26578940668713</v>
      </c>
      <c r="BC18">
        <f t="shared" si="4"/>
        <v>36.929296964344744</v>
      </c>
      <c r="BD18">
        <v>1013.2</v>
      </c>
      <c r="BE18">
        <f t="shared" si="5"/>
        <v>31.668891609615997</v>
      </c>
    </row>
    <row r="19" spans="1:57" x14ac:dyDescent="0.2">
      <c r="A19" s="13">
        <v>10</v>
      </c>
      <c r="B19" s="3">
        <v>18</v>
      </c>
      <c r="C19" s="17">
        <v>5</v>
      </c>
      <c r="D19" s="3">
        <v>4</v>
      </c>
      <c r="E19" s="18">
        <v>8</v>
      </c>
      <c r="F19" s="18">
        <v>12</v>
      </c>
      <c r="G19" s="18">
        <v>75</v>
      </c>
      <c r="H19" s="19">
        <v>2</v>
      </c>
      <c r="I19" s="18"/>
      <c r="J19" s="18"/>
      <c r="K19" s="20">
        <v>89</v>
      </c>
      <c r="L19" s="18">
        <v>281</v>
      </c>
      <c r="M19" s="18">
        <v>252</v>
      </c>
      <c r="N19" s="18">
        <v>297</v>
      </c>
      <c r="O19" s="18">
        <v>78</v>
      </c>
      <c r="P19" s="18">
        <v>239</v>
      </c>
      <c r="Q19" s="17">
        <v>1</v>
      </c>
      <c r="R19" s="17">
        <v>2</v>
      </c>
      <c r="S19" s="17">
        <v>0</v>
      </c>
      <c r="T19" s="17">
        <v>1</v>
      </c>
      <c r="U19" s="17">
        <v>1</v>
      </c>
      <c r="V19" s="3">
        <v>8</v>
      </c>
      <c r="W19" s="20">
        <v>66</v>
      </c>
      <c r="X19" s="17">
        <v>8</v>
      </c>
      <c r="Y19" s="17">
        <v>7</v>
      </c>
      <c r="Z19" s="17">
        <v>0</v>
      </c>
      <c r="AA19" s="20">
        <v>900</v>
      </c>
      <c r="AB19" s="3"/>
      <c r="AC19" s="3"/>
      <c r="AD19" s="20"/>
      <c r="AE19" s="3"/>
      <c r="AF19" s="3"/>
      <c r="AG19" s="20"/>
      <c r="AH19" s="107"/>
      <c r="AI19" s="107"/>
      <c r="AJ19" s="107"/>
      <c r="AK19" s="107"/>
      <c r="AL19" s="108"/>
      <c r="AN19" s="67">
        <f t="shared" si="2"/>
        <v>-3.5338329430258568</v>
      </c>
      <c r="AO19" s="67">
        <f t="shared" si="2"/>
        <v>-1.0377473574598213</v>
      </c>
      <c r="AP19" s="67">
        <f t="shared" si="2"/>
        <v>-2.2271471924247805</v>
      </c>
      <c r="AY19" s="67">
        <f t="shared" si="0"/>
        <v>300.53383294302586</v>
      </c>
      <c r="AZ19" s="67">
        <f t="shared" si="1"/>
        <v>79.037747357459821</v>
      </c>
      <c r="BA19" s="67">
        <f t="shared" si="3"/>
        <v>241.22714719242478</v>
      </c>
      <c r="BC19">
        <f t="shared" si="4"/>
        <v>38.024088867793438</v>
      </c>
      <c r="BD19">
        <v>1013.2</v>
      </c>
      <c r="BE19">
        <f t="shared" si="5"/>
        <v>32.048847988206589</v>
      </c>
    </row>
    <row r="20" spans="1:57" x14ac:dyDescent="0.2">
      <c r="A20" s="13">
        <v>11</v>
      </c>
      <c r="B20" s="3">
        <v>18</v>
      </c>
      <c r="C20" s="17">
        <v>7</v>
      </c>
      <c r="D20" s="3">
        <v>4</v>
      </c>
      <c r="E20" s="18">
        <v>11</v>
      </c>
      <c r="F20" s="18">
        <v>7</v>
      </c>
      <c r="G20" s="18">
        <v>68</v>
      </c>
      <c r="H20" s="19">
        <v>1</v>
      </c>
      <c r="I20" s="18">
        <v>5</v>
      </c>
      <c r="J20" s="18">
        <v>22</v>
      </c>
      <c r="K20" s="20">
        <v>94</v>
      </c>
      <c r="L20" s="18">
        <v>278</v>
      </c>
      <c r="M20" s="18">
        <v>248</v>
      </c>
      <c r="N20" s="18">
        <v>290</v>
      </c>
      <c r="O20" s="18">
        <v>77</v>
      </c>
      <c r="P20" s="18">
        <v>235</v>
      </c>
      <c r="Q20" s="17">
        <v>2</v>
      </c>
      <c r="R20" s="17">
        <v>8</v>
      </c>
      <c r="S20" s="17">
        <v>0</v>
      </c>
      <c r="T20" s="17">
        <v>2</v>
      </c>
      <c r="U20" s="17">
        <v>2</v>
      </c>
      <c r="V20" s="3">
        <v>8</v>
      </c>
      <c r="W20" s="20">
        <v>57</v>
      </c>
      <c r="X20" s="17">
        <v>8</v>
      </c>
      <c r="Y20" s="17">
        <v>7</v>
      </c>
      <c r="Z20" s="17">
        <v>0</v>
      </c>
      <c r="AA20" s="20">
        <v>840</v>
      </c>
      <c r="AB20" s="3"/>
      <c r="AC20" s="3"/>
      <c r="AD20" s="20"/>
      <c r="AE20" s="3"/>
      <c r="AF20" s="3"/>
      <c r="AG20" s="20"/>
      <c r="AH20" s="107" t="s">
        <v>85</v>
      </c>
      <c r="AI20" s="107"/>
      <c r="AJ20" s="107"/>
      <c r="AK20" s="107"/>
      <c r="AL20" s="108"/>
      <c r="AN20" s="67">
        <f t="shared" si="2"/>
        <v>-2.2953240708450835</v>
      </c>
      <c r="AO20" s="67">
        <f t="shared" si="2"/>
        <v>-1.2294191109927368</v>
      </c>
      <c r="AP20" s="67">
        <f t="shared" si="2"/>
        <v>-1.6082611379933098</v>
      </c>
      <c r="AY20" s="67">
        <f t="shared" si="0"/>
        <v>292.29532407084508</v>
      </c>
      <c r="AZ20" s="67">
        <f t="shared" si="1"/>
        <v>78.229419110992737</v>
      </c>
      <c r="BA20" s="67">
        <f t="shared" si="3"/>
        <v>236.60826113799331</v>
      </c>
      <c r="BC20">
        <f t="shared" si="4"/>
        <v>37.363862264672235</v>
      </c>
      <c r="BD20">
        <v>1013.2</v>
      </c>
      <c r="BE20">
        <f t="shared" si="5"/>
        <v>31.29288340580451</v>
      </c>
    </row>
    <row r="21" spans="1:57" x14ac:dyDescent="0.2">
      <c r="A21" s="13">
        <v>12</v>
      </c>
      <c r="B21" s="3">
        <v>18</v>
      </c>
      <c r="C21" s="17">
        <v>7</v>
      </c>
      <c r="D21" s="3">
        <v>4</v>
      </c>
      <c r="E21" s="18">
        <v>8</v>
      </c>
      <c r="F21" s="18">
        <v>9</v>
      </c>
      <c r="G21" s="18">
        <v>75</v>
      </c>
      <c r="H21" s="19">
        <v>2</v>
      </c>
      <c r="I21" s="18"/>
      <c r="J21" s="18"/>
      <c r="K21" s="20">
        <v>112</v>
      </c>
      <c r="L21" s="18">
        <v>277</v>
      </c>
      <c r="M21" s="18">
        <v>240</v>
      </c>
      <c r="N21" s="18">
        <v>270</v>
      </c>
      <c r="O21" s="18">
        <v>73</v>
      </c>
      <c r="P21" s="18">
        <v>223</v>
      </c>
      <c r="Q21" s="17">
        <v>3</v>
      </c>
      <c r="R21" s="17">
        <v>8</v>
      </c>
      <c r="S21" s="17">
        <v>4</v>
      </c>
      <c r="T21" s="17">
        <v>2</v>
      </c>
      <c r="U21" s="17">
        <v>1</v>
      </c>
      <c r="V21" s="3">
        <v>8</v>
      </c>
      <c r="W21" s="20">
        <v>66</v>
      </c>
      <c r="X21" s="17">
        <v>8</v>
      </c>
      <c r="Y21" s="17">
        <v>7</v>
      </c>
      <c r="Z21" s="17">
        <v>0</v>
      </c>
      <c r="AA21" s="20">
        <v>840</v>
      </c>
      <c r="AB21" s="3"/>
      <c r="AC21" s="3"/>
      <c r="AD21" s="20"/>
      <c r="AE21" s="3"/>
      <c r="AF21" s="3"/>
      <c r="AG21" s="20"/>
      <c r="AH21" s="107"/>
      <c r="AI21" s="107"/>
      <c r="AJ21" s="107"/>
      <c r="AK21" s="107"/>
      <c r="AL21" s="108"/>
      <c r="AN21" s="67">
        <f t="shared" si="2"/>
        <v>-2.8511644486206364</v>
      </c>
      <c r="AO21" s="67">
        <f t="shared" si="2"/>
        <v>-0.45366562590025694</v>
      </c>
      <c r="AP21" s="67">
        <f t="shared" si="2"/>
        <v>-2.2375592064095713</v>
      </c>
      <c r="AY21" s="67">
        <f t="shared" si="0"/>
        <v>272.85116444862064</v>
      </c>
      <c r="AZ21" s="67">
        <f t="shared" si="1"/>
        <v>73.453665625900257</v>
      </c>
      <c r="BA21" s="67">
        <f t="shared" si="3"/>
        <v>225.23755920640957</v>
      </c>
      <c r="BC21">
        <f t="shared" si="4"/>
        <v>37.146024248572211</v>
      </c>
      <c r="BD21">
        <v>1013.2</v>
      </c>
      <c r="BE21">
        <f t="shared" si="5"/>
        <v>29.827639714302066</v>
      </c>
    </row>
    <row r="22" spans="1:57" x14ac:dyDescent="0.2">
      <c r="A22" s="13">
        <v>13</v>
      </c>
      <c r="B22" s="3">
        <v>18</v>
      </c>
      <c r="C22" s="17">
        <v>1</v>
      </c>
      <c r="D22" s="3">
        <v>4</v>
      </c>
      <c r="E22" s="18">
        <v>6</v>
      </c>
      <c r="F22" s="18">
        <v>12</v>
      </c>
      <c r="G22" s="18">
        <v>80</v>
      </c>
      <c r="H22" s="19">
        <v>2</v>
      </c>
      <c r="I22" s="18"/>
      <c r="J22" s="18"/>
      <c r="K22" s="20">
        <v>119</v>
      </c>
      <c r="L22" s="18">
        <v>280</v>
      </c>
      <c r="M22" s="18">
        <v>240</v>
      </c>
      <c r="N22" s="18">
        <v>266</v>
      </c>
      <c r="O22" s="18">
        <v>70</v>
      </c>
      <c r="P22" s="18">
        <v>221</v>
      </c>
      <c r="Q22" s="17">
        <v>1</v>
      </c>
      <c r="R22" s="17">
        <v>2</v>
      </c>
      <c r="S22" s="17">
        <v>0</v>
      </c>
      <c r="T22" s="17">
        <v>1</v>
      </c>
      <c r="U22" s="17">
        <v>1</v>
      </c>
      <c r="V22" s="3">
        <v>8</v>
      </c>
      <c r="W22" s="20">
        <v>63</v>
      </c>
      <c r="X22" s="17">
        <v>8</v>
      </c>
      <c r="Y22" s="3"/>
      <c r="Z22" s="3"/>
      <c r="AA22" s="20"/>
      <c r="AB22" s="3"/>
      <c r="AC22" s="3"/>
      <c r="AD22" s="20"/>
      <c r="AE22" s="3"/>
      <c r="AF22" s="3"/>
      <c r="AG22" s="20"/>
      <c r="AH22" s="107"/>
      <c r="AI22" s="107"/>
      <c r="AJ22" s="107"/>
      <c r="AK22" s="107"/>
      <c r="AL22" s="108"/>
      <c r="AN22" s="67">
        <f t="shared" si="2"/>
        <v>-4.7896590950206814</v>
      </c>
      <c r="AO22" s="67">
        <f t="shared" si="2"/>
        <v>-1.6319998148333354</v>
      </c>
      <c r="AP22" s="67">
        <f t="shared" si="2"/>
        <v>-2.9907321671417151</v>
      </c>
      <c r="AY22" s="67">
        <f t="shared" si="0"/>
        <v>270.78965909502068</v>
      </c>
      <c r="AZ22" s="67">
        <f t="shared" si="1"/>
        <v>71.631999814833335</v>
      </c>
      <c r="BA22" s="67">
        <f t="shared" si="3"/>
        <v>223.99073216714172</v>
      </c>
      <c r="BC22">
        <f t="shared" si="4"/>
        <v>37.802889741317315</v>
      </c>
      <c r="BD22">
        <v>1013.2</v>
      </c>
      <c r="BE22">
        <f t="shared" si="5"/>
        <v>29.827639714302066</v>
      </c>
    </row>
    <row r="23" spans="1:57" x14ac:dyDescent="0.2">
      <c r="A23" s="13">
        <v>14</v>
      </c>
      <c r="B23" s="3">
        <v>18</v>
      </c>
      <c r="C23" s="17">
        <v>7</v>
      </c>
      <c r="D23" s="3">
        <v>4</v>
      </c>
      <c r="E23" s="18">
        <v>7</v>
      </c>
      <c r="F23" s="18">
        <v>12</v>
      </c>
      <c r="G23" s="18">
        <v>78</v>
      </c>
      <c r="H23" s="19">
        <v>2</v>
      </c>
      <c r="I23" s="18"/>
      <c r="J23" s="18"/>
      <c r="K23" s="20">
        <v>114</v>
      </c>
      <c r="L23" s="18">
        <v>277</v>
      </c>
      <c r="M23" s="18">
        <v>236</v>
      </c>
      <c r="N23" s="18">
        <v>259</v>
      </c>
      <c r="O23" s="18">
        <v>70</v>
      </c>
      <c r="P23" s="18">
        <v>217</v>
      </c>
      <c r="Q23" s="17">
        <v>1</v>
      </c>
      <c r="R23" s="17">
        <v>8</v>
      </c>
      <c r="S23" s="17">
        <v>6</v>
      </c>
      <c r="T23" s="17">
        <v>1</v>
      </c>
      <c r="U23" s="17">
        <v>1</v>
      </c>
      <c r="V23" s="3">
        <v>8</v>
      </c>
      <c r="W23" s="20">
        <v>60</v>
      </c>
      <c r="X23" s="17">
        <v>8</v>
      </c>
      <c r="Y23" s="17">
        <v>6</v>
      </c>
      <c r="Z23" s="17">
        <v>0</v>
      </c>
      <c r="AA23" s="20">
        <v>840</v>
      </c>
      <c r="AB23" s="3"/>
      <c r="AC23" s="3"/>
      <c r="AD23" s="20"/>
      <c r="AE23" s="3"/>
      <c r="AF23" s="3"/>
      <c r="AG23" s="20"/>
      <c r="AH23" s="107"/>
      <c r="AI23" s="107"/>
      <c r="AJ23" s="107"/>
      <c r="AK23" s="107"/>
      <c r="AL23" s="108"/>
      <c r="AN23" s="67">
        <f t="shared" si="2"/>
        <v>-4.0168389925932502</v>
      </c>
      <c r="AO23" s="67">
        <f t="shared" si="2"/>
        <v>-0.80618836421044193</v>
      </c>
      <c r="AP23" s="67">
        <f t="shared" si="2"/>
        <v>-2.213540989669184</v>
      </c>
      <c r="AY23" s="67">
        <f t="shared" si="0"/>
        <v>263.01683899259325</v>
      </c>
      <c r="AZ23" s="67">
        <f t="shared" si="1"/>
        <v>70.806188364210442</v>
      </c>
      <c r="BA23" s="67">
        <f t="shared" si="3"/>
        <v>219.21354098966918</v>
      </c>
      <c r="BC23">
        <f t="shared" si="4"/>
        <v>37.146024248572211</v>
      </c>
      <c r="BD23">
        <v>1013.2</v>
      </c>
      <c r="BE23">
        <f t="shared" si="5"/>
        <v>29.117813358347327</v>
      </c>
    </row>
    <row r="24" spans="1:57" x14ac:dyDescent="0.2">
      <c r="A24" s="13">
        <v>15</v>
      </c>
      <c r="B24" s="3">
        <v>18</v>
      </c>
      <c r="C24" s="17">
        <v>2</v>
      </c>
      <c r="D24" s="3">
        <v>4</v>
      </c>
      <c r="E24" s="18">
        <v>9</v>
      </c>
      <c r="F24" s="18">
        <v>12</v>
      </c>
      <c r="G24" s="18">
        <v>78</v>
      </c>
      <c r="H24" s="19">
        <v>2</v>
      </c>
      <c r="I24" s="18"/>
      <c r="J24" s="18"/>
      <c r="K24" s="20">
        <v>108</v>
      </c>
      <c r="L24" s="18">
        <v>281</v>
      </c>
      <c r="M24" s="18">
        <v>230</v>
      </c>
      <c r="N24" s="18">
        <v>240</v>
      </c>
      <c r="O24" s="18">
        <v>63</v>
      </c>
      <c r="P24" s="18">
        <v>204</v>
      </c>
      <c r="Q24" s="17">
        <v>1</v>
      </c>
      <c r="R24" s="17">
        <v>1</v>
      </c>
      <c r="S24" s="17">
        <v>0</v>
      </c>
      <c r="T24" s="17">
        <v>1</v>
      </c>
      <c r="U24" s="17">
        <v>1</v>
      </c>
      <c r="V24" s="3">
        <v>8</v>
      </c>
      <c r="W24" s="20">
        <v>66</v>
      </c>
      <c r="X24" s="17">
        <v>8</v>
      </c>
      <c r="Y24" s="3"/>
      <c r="Z24" s="3"/>
      <c r="AA24" s="20"/>
      <c r="AB24" s="3"/>
      <c r="AC24" s="3"/>
      <c r="AD24" s="20"/>
      <c r="AE24" s="3"/>
      <c r="AF24" s="3"/>
      <c r="AG24" s="20"/>
      <c r="AH24" s="107"/>
      <c r="AI24" s="107"/>
      <c r="AJ24" s="107"/>
      <c r="AK24" s="107"/>
      <c r="AL24" s="108"/>
      <c r="AN24" s="67">
        <f t="shared" si="2"/>
        <v>-5.8017650497141062</v>
      </c>
      <c r="AO24" s="67">
        <f t="shared" si="2"/>
        <v>-1.6436962380206523</v>
      </c>
      <c r="AP24" s="67">
        <f t="shared" si="2"/>
        <v>-4.1761063267476288</v>
      </c>
      <c r="AY24" s="67">
        <f t="shared" si="0"/>
        <v>245.80176504971411</v>
      </c>
      <c r="AZ24" s="67">
        <f t="shared" si="1"/>
        <v>64.643696238020652</v>
      </c>
      <c r="BA24" s="67">
        <f t="shared" si="3"/>
        <v>208.17610632674763</v>
      </c>
      <c r="BC24">
        <f t="shared" si="4"/>
        <v>38.024088867793438</v>
      </c>
      <c r="BD24">
        <v>1013.2</v>
      </c>
      <c r="BE24">
        <f t="shared" si="5"/>
        <v>28.080813610211415</v>
      </c>
    </row>
    <row r="25" spans="1:57" x14ac:dyDescent="0.2">
      <c r="A25" s="13">
        <v>16</v>
      </c>
      <c r="B25" s="3">
        <v>18</v>
      </c>
      <c r="C25" s="17">
        <v>6</v>
      </c>
      <c r="D25" s="3">
        <v>4</v>
      </c>
      <c r="E25" s="18">
        <v>9</v>
      </c>
      <c r="F25" s="18">
        <v>11</v>
      </c>
      <c r="G25" s="18">
        <v>68</v>
      </c>
      <c r="H25" s="19">
        <v>1</v>
      </c>
      <c r="I25" s="18">
        <v>15</v>
      </c>
      <c r="J25" s="18">
        <v>22</v>
      </c>
      <c r="K25" s="20">
        <v>125</v>
      </c>
      <c r="L25" s="18">
        <v>280</v>
      </c>
      <c r="M25" s="18">
        <v>246</v>
      </c>
      <c r="N25" s="18">
        <v>283</v>
      </c>
      <c r="O25" s="18">
        <v>75</v>
      </c>
      <c r="P25" s="18">
        <v>231</v>
      </c>
      <c r="Q25" s="17">
        <v>4</v>
      </c>
      <c r="R25" s="17">
        <v>8</v>
      </c>
      <c r="S25" s="17">
        <v>0</v>
      </c>
      <c r="T25" s="17">
        <v>2</v>
      </c>
      <c r="U25" s="17">
        <v>3</v>
      </c>
      <c r="V25" s="3">
        <v>8</v>
      </c>
      <c r="W25" s="20">
        <v>54</v>
      </c>
      <c r="X25" s="17">
        <v>8</v>
      </c>
      <c r="Y25" s="17">
        <v>5</v>
      </c>
      <c r="Z25" s="17">
        <v>0</v>
      </c>
      <c r="AA25" s="20">
        <v>840</v>
      </c>
      <c r="AB25" s="3"/>
      <c r="AC25" s="3"/>
      <c r="AD25" s="20"/>
      <c r="AE25" s="3"/>
      <c r="AF25" s="3"/>
      <c r="AG25" s="20"/>
      <c r="AH25" s="107" t="s">
        <v>101</v>
      </c>
      <c r="AI25" s="107"/>
      <c r="AJ25" s="107"/>
      <c r="AK25" s="107"/>
      <c r="AL25" s="108"/>
      <c r="AN25" s="67">
        <f t="shared" si="2"/>
        <v>-2.8284702866097291</v>
      </c>
      <c r="AO25" s="67">
        <f t="shared" si="2"/>
        <v>-0.6102171666015721</v>
      </c>
      <c r="AP25" s="67">
        <f t="shared" si="2"/>
        <v>-1.902073059290899</v>
      </c>
      <c r="AY25" s="67">
        <f t="shared" si="0"/>
        <v>285.82847028660973</v>
      </c>
      <c r="AZ25" s="67">
        <f t="shared" si="1"/>
        <v>75.610217166601572</v>
      </c>
      <c r="BA25" s="67">
        <f t="shared" si="3"/>
        <v>232.9020730592909</v>
      </c>
      <c r="BC25">
        <f t="shared" si="4"/>
        <v>37.802889741317315</v>
      </c>
      <c r="BD25">
        <v>1013.2</v>
      </c>
      <c r="BE25">
        <f t="shared" si="5"/>
        <v>30.920788561092973</v>
      </c>
    </row>
    <row r="26" spans="1:57" x14ac:dyDescent="0.2">
      <c r="A26" s="13">
        <v>17</v>
      </c>
      <c r="B26" s="3">
        <v>18</v>
      </c>
      <c r="C26" s="17">
        <v>8</v>
      </c>
      <c r="D26" s="3">
        <v>4</v>
      </c>
      <c r="E26" s="18">
        <v>0</v>
      </c>
      <c r="F26" s="18">
        <v>0</v>
      </c>
      <c r="G26" s="18">
        <v>70</v>
      </c>
      <c r="H26" s="19">
        <v>1</v>
      </c>
      <c r="I26" s="18">
        <v>5</v>
      </c>
      <c r="J26" s="18">
        <v>62</v>
      </c>
      <c r="K26" s="20">
        <v>139</v>
      </c>
      <c r="L26" s="18">
        <v>241</v>
      </c>
      <c r="M26" s="18">
        <v>231</v>
      </c>
      <c r="N26" s="69">
        <v>274</v>
      </c>
      <c r="O26" s="18">
        <v>91</v>
      </c>
      <c r="P26" s="18">
        <v>226</v>
      </c>
      <c r="Q26" s="17">
        <v>6</v>
      </c>
      <c r="R26" s="17">
        <v>8</v>
      </c>
      <c r="S26" s="17">
        <v>4</v>
      </c>
      <c r="T26" s="17">
        <v>2</v>
      </c>
      <c r="U26" s="17">
        <v>3</v>
      </c>
      <c r="V26" s="3">
        <v>8</v>
      </c>
      <c r="W26" s="20">
        <v>45</v>
      </c>
      <c r="X26" s="17">
        <v>8</v>
      </c>
      <c r="Y26" s="17">
        <v>6</v>
      </c>
      <c r="Z26" s="3">
        <v>6</v>
      </c>
      <c r="AA26" s="20">
        <v>105</v>
      </c>
      <c r="AB26" s="3"/>
      <c r="AC26" s="3"/>
      <c r="AD26" s="20"/>
      <c r="AE26" s="3"/>
      <c r="AF26" s="3"/>
      <c r="AG26" s="20"/>
      <c r="AH26" s="114" t="s">
        <v>239</v>
      </c>
      <c r="AI26" s="114"/>
      <c r="AJ26" s="114"/>
      <c r="AK26" s="114"/>
      <c r="AL26" s="115"/>
      <c r="AN26" s="67">
        <f t="shared" si="2"/>
        <v>-1.6488988169867298</v>
      </c>
      <c r="AO26" s="67">
        <f t="shared" si="2"/>
        <v>-0.86016615625928239</v>
      </c>
      <c r="AP26" s="67">
        <f t="shared" si="2"/>
        <v>-0.9165290539659452</v>
      </c>
      <c r="AY26" s="67">
        <f t="shared" si="0"/>
        <v>275.64889881698673</v>
      </c>
      <c r="AZ26" s="67">
        <f t="shared" si="1"/>
        <v>91.860166156259282</v>
      </c>
      <c r="BA26" s="67">
        <f t="shared" si="3"/>
        <v>226.91652905396595</v>
      </c>
      <c r="BC26">
        <f t="shared" si="4"/>
        <v>30.007446138089119</v>
      </c>
      <c r="BD26">
        <v>1013.2</v>
      </c>
      <c r="BE26">
        <f t="shared" si="5"/>
        <v>28.251366215978674</v>
      </c>
    </row>
    <row r="27" spans="1:57" x14ac:dyDescent="0.2">
      <c r="A27" s="13">
        <v>18</v>
      </c>
      <c r="B27" s="3">
        <v>18</v>
      </c>
      <c r="C27" s="17">
        <v>5</v>
      </c>
      <c r="D27" s="3">
        <v>4</v>
      </c>
      <c r="E27" s="18">
        <v>7</v>
      </c>
      <c r="F27" s="18">
        <v>8</v>
      </c>
      <c r="G27" s="18">
        <v>68</v>
      </c>
      <c r="H27" s="19">
        <v>1</v>
      </c>
      <c r="I27" s="18">
        <v>15</v>
      </c>
      <c r="J27" s="18">
        <v>82</v>
      </c>
      <c r="K27" s="20">
        <v>133</v>
      </c>
      <c r="L27" s="18">
        <v>271</v>
      </c>
      <c r="M27" s="18">
        <v>249</v>
      </c>
      <c r="N27" s="18">
        <v>297</v>
      </c>
      <c r="O27" s="18">
        <v>83</v>
      </c>
      <c r="P27" s="18">
        <v>239</v>
      </c>
      <c r="Q27" s="17">
        <v>4</v>
      </c>
      <c r="R27" s="17">
        <v>4</v>
      </c>
      <c r="S27" s="17">
        <v>0</v>
      </c>
      <c r="T27" s="17">
        <v>2</v>
      </c>
      <c r="U27" s="17">
        <v>2</v>
      </c>
      <c r="V27" s="3">
        <v>8</v>
      </c>
      <c r="W27" s="20">
        <v>54</v>
      </c>
      <c r="X27" s="17">
        <v>8</v>
      </c>
      <c r="Y27" s="17">
        <v>3</v>
      </c>
      <c r="Z27" s="17">
        <v>6</v>
      </c>
      <c r="AA27" s="20">
        <v>120</v>
      </c>
      <c r="AB27" s="3"/>
      <c r="AC27" s="3"/>
      <c r="AD27" s="20"/>
      <c r="AE27" s="3"/>
      <c r="AF27" s="3"/>
      <c r="AG27" s="20"/>
      <c r="AH27" s="107" t="s">
        <v>121</v>
      </c>
      <c r="AI27" s="107"/>
      <c r="AJ27" s="107"/>
      <c r="AK27" s="107"/>
      <c r="AL27" s="108"/>
      <c r="AN27" s="67">
        <f t="shared" si="2"/>
        <v>-2.6710291776995518</v>
      </c>
      <c r="AO27" s="67">
        <f t="shared" si="2"/>
        <v>-0.56191484554082649</v>
      </c>
      <c r="AP27" s="67">
        <f t="shared" si="2"/>
        <v>-1.7486541913629026</v>
      </c>
      <c r="AY27" s="67">
        <f t="shared" si="0"/>
        <v>299.67102917769955</v>
      </c>
      <c r="AZ27" s="67">
        <f t="shared" si="1"/>
        <v>83.561914845540826</v>
      </c>
      <c r="BA27" s="67">
        <f t="shared" si="3"/>
        <v>240.7486541913629</v>
      </c>
      <c r="BC27">
        <f t="shared" si="4"/>
        <v>35.862154395530958</v>
      </c>
      <c r="BD27">
        <v>1013.2</v>
      </c>
      <c r="BE27">
        <f t="shared" si="5"/>
        <v>31.480396167633955</v>
      </c>
    </row>
    <row r="28" spans="1:57" x14ac:dyDescent="0.2">
      <c r="A28" s="13">
        <v>19</v>
      </c>
      <c r="B28" s="3">
        <v>18</v>
      </c>
      <c r="C28" s="17">
        <v>3</v>
      </c>
      <c r="D28" s="3">
        <v>4</v>
      </c>
      <c r="E28" s="18">
        <v>7</v>
      </c>
      <c r="F28" s="18">
        <v>12</v>
      </c>
      <c r="G28" s="18">
        <v>72</v>
      </c>
      <c r="H28" s="19">
        <v>1</v>
      </c>
      <c r="I28" s="18">
        <v>5</v>
      </c>
      <c r="J28" s="18">
        <v>11</v>
      </c>
      <c r="K28" s="20">
        <v>110</v>
      </c>
      <c r="L28" s="18">
        <v>280</v>
      </c>
      <c r="M28" s="18">
        <v>247</v>
      </c>
      <c r="N28" s="18">
        <v>285</v>
      </c>
      <c r="O28" s="18">
        <v>75</v>
      </c>
      <c r="P28" s="18">
        <v>232</v>
      </c>
      <c r="Q28" s="17">
        <v>2</v>
      </c>
      <c r="R28" s="17">
        <v>8</v>
      </c>
      <c r="S28" s="17">
        <v>3</v>
      </c>
      <c r="T28" s="17">
        <v>1</v>
      </c>
      <c r="U28" s="17">
        <v>1</v>
      </c>
      <c r="V28" s="3">
        <v>8</v>
      </c>
      <c r="W28" s="20">
        <v>60</v>
      </c>
      <c r="X28" s="17">
        <v>8</v>
      </c>
      <c r="Y28" s="3"/>
      <c r="Z28" s="3"/>
      <c r="AA28" s="20"/>
      <c r="AB28" s="3"/>
      <c r="AC28" s="3"/>
      <c r="AD28" s="20"/>
      <c r="AE28" s="3"/>
      <c r="AF28" s="3"/>
      <c r="AG28" s="20"/>
      <c r="AH28" s="107" t="s">
        <v>85</v>
      </c>
      <c r="AI28" s="107"/>
      <c r="AJ28" s="107"/>
      <c r="AK28" s="107"/>
      <c r="AL28" s="108"/>
      <c r="AN28" s="67">
        <f t="shared" si="2"/>
        <v>-3.3691665751101709</v>
      </c>
      <c r="AO28" s="67">
        <f t="shared" si="2"/>
        <v>-1.2823076617690816</v>
      </c>
      <c r="AP28" s="67">
        <f t="shared" si="2"/>
        <v>-2.3668342072895143</v>
      </c>
      <c r="AY28" s="67">
        <f t="shared" si="0"/>
        <v>288.36916657511017</v>
      </c>
      <c r="AZ28" s="67">
        <f t="shared" si="1"/>
        <v>76.282307661769082</v>
      </c>
      <c r="BA28" s="67">
        <f t="shared" si="3"/>
        <v>234.36683420728951</v>
      </c>
      <c r="BC28">
        <f t="shared" si="4"/>
        <v>37.802889741317315</v>
      </c>
      <c r="BD28">
        <v>1013.2</v>
      </c>
      <c r="BE28">
        <f t="shared" si="5"/>
        <v>31.106348979899021</v>
      </c>
    </row>
    <row r="29" spans="1:57" x14ac:dyDescent="0.2">
      <c r="A29" s="13">
        <v>20</v>
      </c>
      <c r="B29" s="3">
        <v>18</v>
      </c>
      <c r="C29" s="17">
        <v>7</v>
      </c>
      <c r="D29" s="3">
        <v>4</v>
      </c>
      <c r="E29" s="18">
        <v>11</v>
      </c>
      <c r="F29" s="18">
        <v>13</v>
      </c>
      <c r="G29" s="18">
        <v>62</v>
      </c>
      <c r="H29" s="19">
        <v>1</v>
      </c>
      <c r="I29" s="18">
        <v>5</v>
      </c>
      <c r="J29" s="18">
        <v>82</v>
      </c>
      <c r="K29" s="20">
        <v>110</v>
      </c>
      <c r="L29" s="18">
        <v>260</v>
      </c>
      <c r="M29" s="18">
        <v>250</v>
      </c>
      <c r="N29" s="18">
        <v>309</v>
      </c>
      <c r="O29" s="18">
        <v>92</v>
      </c>
      <c r="P29" s="18">
        <v>246</v>
      </c>
      <c r="Q29" s="17">
        <v>7</v>
      </c>
      <c r="R29" s="17">
        <v>8</v>
      </c>
      <c r="S29" s="17">
        <v>7</v>
      </c>
      <c r="T29" s="17" t="s">
        <v>89</v>
      </c>
      <c r="U29" s="17">
        <v>5</v>
      </c>
      <c r="V29" s="3">
        <v>8</v>
      </c>
      <c r="W29" s="20">
        <v>51</v>
      </c>
      <c r="X29" s="17">
        <v>8</v>
      </c>
      <c r="Y29" s="17">
        <v>6</v>
      </c>
      <c r="Z29" s="17">
        <v>4</v>
      </c>
      <c r="AA29" s="20">
        <v>240</v>
      </c>
      <c r="AB29" s="3"/>
      <c r="AC29" s="3"/>
      <c r="AD29" s="20"/>
      <c r="AE29" s="3"/>
      <c r="AF29" s="3"/>
      <c r="AG29" s="20"/>
      <c r="AH29" s="107" t="s">
        <v>133</v>
      </c>
      <c r="AI29" s="107"/>
      <c r="AJ29" s="107"/>
      <c r="AK29" s="107"/>
      <c r="AL29" s="108"/>
      <c r="AN29" s="67">
        <f t="shared" si="2"/>
        <v>-0.80954139615994336</v>
      </c>
      <c r="AO29" s="67">
        <f t="shared" si="2"/>
        <v>-0.18091271117155827</v>
      </c>
      <c r="AP29" s="67">
        <f t="shared" si="2"/>
        <v>-0.29668794328688364</v>
      </c>
      <c r="AY29" s="67">
        <f t="shared" si="0"/>
        <v>309.80954139615994</v>
      </c>
      <c r="AZ29" s="67">
        <f t="shared" si="1"/>
        <v>92.180912711171558</v>
      </c>
      <c r="BA29" s="67">
        <f t="shared" si="3"/>
        <v>246.29668794328688</v>
      </c>
      <c r="BC29">
        <f t="shared" si="4"/>
        <v>33.608860260136439</v>
      </c>
      <c r="BD29">
        <v>1013.2</v>
      </c>
      <c r="BE29">
        <f t="shared" si="5"/>
        <v>31.668891609615997</v>
      </c>
    </row>
    <row r="30" spans="1:57" x14ac:dyDescent="0.2">
      <c r="A30" s="13">
        <v>21</v>
      </c>
      <c r="B30" s="3">
        <v>18</v>
      </c>
      <c r="C30" s="17">
        <v>6</v>
      </c>
      <c r="D30" s="3">
        <v>4</v>
      </c>
      <c r="E30" s="18">
        <v>8</v>
      </c>
      <c r="F30" s="18">
        <v>9</v>
      </c>
      <c r="G30" s="18">
        <v>70</v>
      </c>
      <c r="H30" s="19">
        <v>1</v>
      </c>
      <c r="I30" s="18">
        <v>5</v>
      </c>
      <c r="J30" s="18">
        <v>22</v>
      </c>
      <c r="K30" s="20">
        <v>115</v>
      </c>
      <c r="L30" s="18">
        <v>280</v>
      </c>
      <c r="M30" s="18">
        <v>255</v>
      </c>
      <c r="N30" s="18">
        <v>308</v>
      </c>
      <c r="O30" s="18">
        <v>81</v>
      </c>
      <c r="P30" s="18">
        <v>245</v>
      </c>
      <c r="Q30" s="17">
        <v>1</v>
      </c>
      <c r="R30" s="17">
        <v>8</v>
      </c>
      <c r="S30" s="17">
        <v>3</v>
      </c>
      <c r="T30" s="17">
        <v>2</v>
      </c>
      <c r="U30" s="17">
        <v>1</v>
      </c>
      <c r="V30" s="3">
        <v>8</v>
      </c>
      <c r="W30" s="20">
        <v>63</v>
      </c>
      <c r="X30" s="17">
        <v>8</v>
      </c>
      <c r="Y30" s="17">
        <v>6</v>
      </c>
      <c r="Z30" s="17">
        <v>0</v>
      </c>
      <c r="AA30" s="20">
        <v>840</v>
      </c>
      <c r="AB30" s="3"/>
      <c r="AC30" s="3"/>
      <c r="AD30" s="20"/>
      <c r="AE30" s="3"/>
      <c r="AF30" s="3"/>
      <c r="AG30" s="20"/>
      <c r="AH30" s="107" t="s">
        <v>85</v>
      </c>
      <c r="AI30" s="107"/>
      <c r="AJ30" s="107"/>
      <c r="AK30" s="107"/>
      <c r="AL30" s="108"/>
      <c r="AN30" s="67">
        <f t="shared" si="2"/>
        <v>-1.0545720451403895</v>
      </c>
      <c r="AO30" s="67">
        <f t="shared" si="2"/>
        <v>-0.75421883352846919</v>
      </c>
      <c r="AP30" s="67">
        <f t="shared" si="2"/>
        <v>-0.88907080695361174</v>
      </c>
      <c r="AY30" s="67">
        <f t="shared" si="0"/>
        <v>309.05457204514039</v>
      </c>
      <c r="AZ30" s="67">
        <f t="shared" si="1"/>
        <v>81.754218833528469</v>
      </c>
      <c r="BA30" s="67">
        <f t="shared" si="3"/>
        <v>245.88907080695361</v>
      </c>
      <c r="BC30">
        <f t="shared" si="4"/>
        <v>37.802889741317315</v>
      </c>
      <c r="BD30">
        <v>1013.2</v>
      </c>
      <c r="BE30">
        <f t="shared" si="5"/>
        <v>32.626262153014039</v>
      </c>
    </row>
    <row r="31" spans="1:57" x14ac:dyDescent="0.2">
      <c r="A31" s="13">
        <v>22</v>
      </c>
      <c r="B31" s="3">
        <v>18</v>
      </c>
      <c r="C31" s="17">
        <v>4</v>
      </c>
      <c r="D31" s="3">
        <v>4</v>
      </c>
      <c r="E31" s="18">
        <v>7</v>
      </c>
      <c r="F31" s="18">
        <v>12</v>
      </c>
      <c r="G31" s="18">
        <v>70</v>
      </c>
      <c r="H31" s="19">
        <v>1</v>
      </c>
      <c r="I31" s="18">
        <v>5</v>
      </c>
      <c r="J31" s="18">
        <v>11</v>
      </c>
      <c r="K31" s="20">
        <v>117</v>
      </c>
      <c r="L31" s="18">
        <v>277</v>
      </c>
      <c r="M31" s="18">
        <v>237</v>
      </c>
      <c r="N31" s="18">
        <v>261</v>
      </c>
      <c r="O31" s="18">
        <v>70</v>
      </c>
      <c r="P31" s="18">
        <v>218</v>
      </c>
      <c r="Q31" s="17">
        <v>4</v>
      </c>
      <c r="R31" s="17">
        <v>8</v>
      </c>
      <c r="S31" s="17">
        <v>3</v>
      </c>
      <c r="T31" s="17">
        <v>1</v>
      </c>
      <c r="U31" s="17">
        <v>1</v>
      </c>
      <c r="V31" s="3">
        <v>8</v>
      </c>
      <c r="W31" s="20">
        <v>57</v>
      </c>
      <c r="X31" s="17">
        <v>8</v>
      </c>
      <c r="Y31" s="17">
        <v>4</v>
      </c>
      <c r="Z31" s="17">
        <v>6</v>
      </c>
      <c r="AA31" s="20">
        <v>120</v>
      </c>
      <c r="AB31" s="3"/>
      <c r="AC31" s="3"/>
      <c r="AD31" s="20"/>
      <c r="AE31" s="3"/>
      <c r="AF31" s="3"/>
      <c r="AG31" s="20"/>
      <c r="AH31" s="107" t="s">
        <v>85</v>
      </c>
      <c r="AI31" s="107"/>
      <c r="AJ31" s="107"/>
      <c r="AK31" s="107"/>
      <c r="AL31" s="108"/>
      <c r="AN31" s="67">
        <f t="shared" si="2"/>
        <v>-4.4611744810346181</v>
      </c>
      <c r="AO31" s="67">
        <f t="shared" si="2"/>
        <v>-1.4642225786083287</v>
      </c>
      <c r="AP31" s="67">
        <f t="shared" si="2"/>
        <v>-2.7290240535226644</v>
      </c>
      <c r="AY31" s="67">
        <f t="shared" si="0"/>
        <v>265.46117448103462</v>
      </c>
      <c r="AZ31" s="67">
        <f t="shared" si="1"/>
        <v>71.464222578608329</v>
      </c>
      <c r="BA31" s="67">
        <f t="shared" si="3"/>
        <v>220.72902405352266</v>
      </c>
      <c r="BC31">
        <f t="shared" si="4"/>
        <v>37.146024248572211</v>
      </c>
      <c r="BD31">
        <v>1013.2</v>
      </c>
      <c r="BE31">
        <f t="shared" si="5"/>
        <v>29.293868430343458</v>
      </c>
    </row>
    <row r="32" spans="1:57" x14ac:dyDescent="0.2">
      <c r="A32" s="13">
        <v>23</v>
      </c>
      <c r="B32" s="3">
        <v>18</v>
      </c>
      <c r="C32" s="17">
        <v>7</v>
      </c>
      <c r="D32" s="3">
        <v>4</v>
      </c>
      <c r="E32" s="18">
        <v>0</v>
      </c>
      <c r="F32" s="18">
        <v>0</v>
      </c>
      <c r="G32" s="18">
        <v>80</v>
      </c>
      <c r="H32" s="19">
        <v>2</v>
      </c>
      <c r="I32" s="18"/>
      <c r="J32" s="18"/>
      <c r="K32" s="20">
        <v>108</v>
      </c>
      <c r="L32" s="18">
        <v>285</v>
      </c>
      <c r="M32" s="18">
        <v>250</v>
      </c>
      <c r="N32" s="18">
        <v>290</v>
      </c>
      <c r="O32" s="18">
        <v>74</v>
      </c>
      <c r="P32" s="18">
        <v>235</v>
      </c>
      <c r="Q32" s="17">
        <v>1</v>
      </c>
      <c r="R32" s="17">
        <v>2</v>
      </c>
      <c r="S32" s="17">
        <v>0</v>
      </c>
      <c r="T32" s="17">
        <v>2</v>
      </c>
      <c r="U32" s="17">
        <v>1</v>
      </c>
      <c r="V32" s="3">
        <v>8</v>
      </c>
      <c r="W32" s="20">
        <v>66</v>
      </c>
      <c r="X32" s="17">
        <v>8</v>
      </c>
      <c r="Y32" s="17">
        <v>7</v>
      </c>
      <c r="Z32" s="17">
        <v>0</v>
      </c>
      <c r="AA32" s="20">
        <v>870</v>
      </c>
      <c r="AB32" s="3"/>
      <c r="AC32" s="3"/>
      <c r="AD32" s="20"/>
      <c r="AE32" s="3"/>
      <c r="AF32" s="3"/>
      <c r="AG32" s="20"/>
      <c r="AH32" s="107"/>
      <c r="AI32" s="107"/>
      <c r="AJ32" s="107"/>
      <c r="AK32" s="107"/>
      <c r="AL32" s="108"/>
      <c r="AN32" s="67">
        <f t="shared" si="2"/>
        <v>-2.6111046461599585</v>
      </c>
      <c r="AO32" s="67">
        <f t="shared" si="2"/>
        <v>-1.1822556651677729</v>
      </c>
      <c r="AP32" s="67">
        <f t="shared" si="2"/>
        <v>-1.787391091586727</v>
      </c>
      <c r="AY32" s="67">
        <f t="shared" si="0"/>
        <v>292.61110464615996</v>
      </c>
      <c r="AZ32" s="67">
        <f t="shared" si="1"/>
        <v>75.182255665167773</v>
      </c>
      <c r="BA32" s="67">
        <f t="shared" si="3"/>
        <v>236.78739109158673</v>
      </c>
      <c r="BC32">
        <f t="shared" si="4"/>
        <v>38.920234842292423</v>
      </c>
      <c r="BD32">
        <v>1013.2</v>
      </c>
      <c r="BE32">
        <f t="shared" si="5"/>
        <v>31.668891609615997</v>
      </c>
    </row>
    <row r="33" spans="1:57" x14ac:dyDescent="0.2">
      <c r="A33" s="13">
        <v>24</v>
      </c>
      <c r="B33" s="3">
        <v>18</v>
      </c>
      <c r="C33" s="17">
        <v>7</v>
      </c>
      <c r="D33" s="3">
        <v>4</v>
      </c>
      <c r="E33" s="18">
        <v>7</v>
      </c>
      <c r="F33" s="18">
        <v>5</v>
      </c>
      <c r="G33" s="18">
        <v>58</v>
      </c>
      <c r="H33" s="19">
        <v>1</v>
      </c>
      <c r="I33" s="18">
        <v>15</v>
      </c>
      <c r="J33" s="18">
        <v>82</v>
      </c>
      <c r="K33" s="20">
        <v>110</v>
      </c>
      <c r="L33" s="18">
        <v>255</v>
      </c>
      <c r="M33" s="18">
        <v>245</v>
      </c>
      <c r="N33" s="18">
        <v>300</v>
      </c>
      <c r="O33" s="18">
        <v>92</v>
      </c>
      <c r="P33" s="18">
        <v>241</v>
      </c>
      <c r="Q33" s="17">
        <v>6</v>
      </c>
      <c r="R33" s="17">
        <v>8</v>
      </c>
      <c r="S33" s="17">
        <v>0</v>
      </c>
      <c r="T33" s="17">
        <v>2</v>
      </c>
      <c r="U33" s="17">
        <v>3</v>
      </c>
      <c r="V33" s="3">
        <v>8</v>
      </c>
      <c r="W33" s="20">
        <v>48</v>
      </c>
      <c r="X33" s="17">
        <v>8</v>
      </c>
      <c r="Y33" s="17">
        <v>5</v>
      </c>
      <c r="Z33" s="17">
        <v>6</v>
      </c>
      <c r="AA33" s="20">
        <v>114</v>
      </c>
      <c r="AB33" s="3"/>
      <c r="AC33" s="3"/>
      <c r="AD33" s="20"/>
      <c r="AE33" s="3"/>
      <c r="AF33" s="3"/>
      <c r="AG33" s="20"/>
      <c r="AH33" s="107" t="s">
        <v>157</v>
      </c>
      <c r="AI33" s="107"/>
      <c r="AJ33" s="107"/>
      <c r="AK33" s="107"/>
      <c r="AL33" s="108"/>
      <c r="AN33" s="67">
        <f t="shared" si="2"/>
        <v>-0.48644875327067894</v>
      </c>
      <c r="AO33" s="67">
        <f t="shared" si="2"/>
        <v>-9.9563028096213202E-2</v>
      </c>
      <c r="AP33" s="67">
        <f t="shared" si="2"/>
        <v>-0.20090014252895116</v>
      </c>
      <c r="AY33" s="67">
        <f t="shared" si="0"/>
        <v>300.48644875327068</v>
      </c>
      <c r="AZ33" s="67">
        <f t="shared" si="1"/>
        <v>92.099563028096213</v>
      </c>
      <c r="BA33" s="67">
        <f t="shared" si="3"/>
        <v>241.20090014252895</v>
      </c>
      <c r="BC33">
        <f t="shared" si="4"/>
        <v>32.626262153014039</v>
      </c>
      <c r="BD33">
        <v>1013.2</v>
      </c>
      <c r="BE33">
        <f t="shared" si="5"/>
        <v>30.736197835927069</v>
      </c>
    </row>
    <row r="34" spans="1:57" x14ac:dyDescent="0.2">
      <c r="A34" s="13">
        <v>25</v>
      </c>
      <c r="B34" s="3">
        <v>18</v>
      </c>
      <c r="C34" s="17">
        <v>7</v>
      </c>
      <c r="D34" s="3">
        <v>4</v>
      </c>
      <c r="E34" s="18">
        <v>7</v>
      </c>
      <c r="F34" s="18">
        <v>5</v>
      </c>
      <c r="G34" s="18">
        <v>76</v>
      </c>
      <c r="H34" s="19">
        <v>2</v>
      </c>
      <c r="I34" s="18"/>
      <c r="J34" s="18"/>
      <c r="K34" s="20">
        <v>121</v>
      </c>
      <c r="L34" s="18">
        <v>274</v>
      </c>
      <c r="M34" s="18">
        <v>233</v>
      </c>
      <c r="N34" s="18">
        <v>253</v>
      </c>
      <c r="O34" s="18">
        <v>69</v>
      </c>
      <c r="P34" s="18">
        <v>213</v>
      </c>
      <c r="Q34" s="17">
        <v>7</v>
      </c>
      <c r="R34" s="17">
        <v>8</v>
      </c>
      <c r="S34" s="17">
        <v>0</v>
      </c>
      <c r="T34" s="17">
        <v>2</v>
      </c>
      <c r="U34" s="17">
        <v>1</v>
      </c>
      <c r="V34" s="3">
        <v>8</v>
      </c>
      <c r="W34" s="20">
        <v>60</v>
      </c>
      <c r="X34" s="17">
        <v>8</v>
      </c>
      <c r="Y34" s="17">
        <v>7</v>
      </c>
      <c r="Z34" s="17">
        <v>6</v>
      </c>
      <c r="AA34" s="20">
        <f>45*3</f>
        <v>135</v>
      </c>
      <c r="AB34" s="3"/>
      <c r="AC34" s="3"/>
      <c r="AD34" s="20"/>
      <c r="AE34" s="3"/>
      <c r="AF34" s="3"/>
      <c r="AG34" s="20"/>
      <c r="AH34" s="107"/>
      <c r="AI34" s="107"/>
      <c r="AJ34" s="107"/>
      <c r="AK34" s="107"/>
      <c r="AL34" s="108"/>
      <c r="AN34" s="67">
        <f t="shared" si="2"/>
        <v>-4.8001237700032107</v>
      </c>
      <c r="AO34" s="67">
        <f t="shared" si="2"/>
        <v>-1.6318052152676898</v>
      </c>
      <c r="AP34" s="67">
        <f t="shared" si="2"/>
        <v>-2.9374469872092277</v>
      </c>
      <c r="AY34" s="67">
        <f t="shared" si="0"/>
        <v>257.80012377000321</v>
      </c>
      <c r="AZ34" s="67">
        <f t="shared" si="1"/>
        <v>70.63180521526769</v>
      </c>
      <c r="BA34" s="67">
        <f t="shared" si="3"/>
        <v>215.93744698720923</v>
      </c>
      <c r="BC34">
        <f t="shared" si="4"/>
        <v>36.499155441984577</v>
      </c>
      <c r="BD34">
        <v>1013.2</v>
      </c>
      <c r="BE34">
        <f t="shared" si="5"/>
        <v>28.595195942964317</v>
      </c>
    </row>
    <row r="35" spans="1:57" x14ac:dyDescent="0.2">
      <c r="A35" s="13">
        <v>26</v>
      </c>
      <c r="B35" s="3">
        <v>18</v>
      </c>
      <c r="C35" s="17">
        <v>6</v>
      </c>
      <c r="D35" s="3">
        <v>4</v>
      </c>
      <c r="E35" s="18">
        <v>7</v>
      </c>
      <c r="F35" s="18">
        <v>10</v>
      </c>
      <c r="G35" s="18">
        <v>72</v>
      </c>
      <c r="H35" s="19">
        <v>1</v>
      </c>
      <c r="I35" s="18">
        <v>5</v>
      </c>
      <c r="J35" s="18">
        <v>22</v>
      </c>
      <c r="K35" s="20">
        <v>121</v>
      </c>
      <c r="L35" s="18">
        <v>273</v>
      </c>
      <c r="M35" s="18">
        <v>253</v>
      </c>
      <c r="N35" s="18">
        <v>306</v>
      </c>
      <c r="O35" s="18">
        <v>84</v>
      </c>
      <c r="P35" s="18">
        <v>244</v>
      </c>
      <c r="Q35" s="17">
        <v>4</v>
      </c>
      <c r="R35" s="17">
        <v>8</v>
      </c>
      <c r="S35" s="17">
        <v>4</v>
      </c>
      <c r="T35" s="17">
        <v>3</v>
      </c>
      <c r="U35" s="17">
        <v>1</v>
      </c>
      <c r="V35" s="3">
        <v>8</v>
      </c>
      <c r="W35" s="20">
        <v>54</v>
      </c>
      <c r="X35" s="17">
        <v>8</v>
      </c>
      <c r="Y35" s="17">
        <v>4</v>
      </c>
      <c r="Z35" s="17">
        <v>6</v>
      </c>
      <c r="AA35" s="20">
        <v>114</v>
      </c>
      <c r="AB35" s="3"/>
      <c r="AC35" s="3"/>
      <c r="AD35" s="20"/>
      <c r="AE35" s="3"/>
      <c r="AF35" s="3"/>
      <c r="AG35" s="20"/>
      <c r="AH35" s="107" t="s">
        <v>85</v>
      </c>
      <c r="AI35" s="107"/>
      <c r="AJ35" s="107"/>
      <c r="AK35" s="107"/>
      <c r="AL35" s="108"/>
      <c r="AN35" s="67">
        <f t="shared" si="2"/>
        <v>-2.6398133936355066</v>
      </c>
      <c r="AO35" s="67">
        <f t="shared" si="2"/>
        <v>-1.0581755379156306</v>
      </c>
      <c r="AP35" s="67">
        <f t="shared" si="2"/>
        <v>-1.6647664568474738</v>
      </c>
      <c r="AY35" s="67">
        <f t="shared" si="0"/>
        <v>308.63981339363551</v>
      </c>
      <c r="AZ35" s="67">
        <f t="shared" si="1"/>
        <v>85.058175537915631</v>
      </c>
      <c r="BA35" s="67">
        <f t="shared" si="3"/>
        <v>245.66476645684747</v>
      </c>
      <c r="BC35">
        <f t="shared" si="4"/>
        <v>36.285731670326726</v>
      </c>
      <c r="BD35">
        <v>1013.2</v>
      </c>
      <c r="BE35">
        <f t="shared" si="5"/>
        <v>32.24031769064355</v>
      </c>
    </row>
    <row r="36" spans="1:57" x14ac:dyDescent="0.2">
      <c r="A36" s="13">
        <v>27</v>
      </c>
      <c r="B36" s="3">
        <v>18</v>
      </c>
      <c r="C36" s="17">
        <v>6</v>
      </c>
      <c r="D36" s="3">
        <v>4</v>
      </c>
      <c r="E36" s="18">
        <v>7</v>
      </c>
      <c r="F36" s="18">
        <v>11</v>
      </c>
      <c r="G36" s="18">
        <v>60</v>
      </c>
      <c r="H36" s="19">
        <v>1</v>
      </c>
      <c r="I36" s="18">
        <v>15</v>
      </c>
      <c r="J36" s="18">
        <v>22</v>
      </c>
      <c r="K36" s="20">
        <v>124</v>
      </c>
      <c r="L36" s="18">
        <v>263</v>
      </c>
      <c r="M36" s="18">
        <v>249</v>
      </c>
      <c r="N36" s="18">
        <v>304</v>
      </c>
      <c r="O36" s="18">
        <v>89</v>
      </c>
      <c r="P36" s="18">
        <v>243</v>
      </c>
      <c r="Q36" s="17">
        <v>4</v>
      </c>
      <c r="R36" s="17">
        <v>8</v>
      </c>
      <c r="S36" s="17">
        <v>0</v>
      </c>
      <c r="T36" s="17">
        <v>1</v>
      </c>
      <c r="U36" s="17">
        <v>1</v>
      </c>
      <c r="V36" s="3">
        <v>8</v>
      </c>
      <c r="W36" s="20">
        <v>54</v>
      </c>
      <c r="X36" s="17">
        <v>8</v>
      </c>
      <c r="Y36" s="17">
        <v>4</v>
      </c>
      <c r="Z36" s="17">
        <v>6</v>
      </c>
      <c r="AA36" s="20">
        <v>105</v>
      </c>
      <c r="AB36" s="3"/>
      <c r="AC36" s="3"/>
      <c r="AD36" s="20"/>
      <c r="AE36" s="3"/>
      <c r="AF36" s="3"/>
      <c r="AG36" s="20"/>
      <c r="AH36" s="107" t="s">
        <v>188</v>
      </c>
      <c r="AI36" s="107"/>
      <c r="AJ36" s="107"/>
      <c r="AK36" s="107"/>
      <c r="AL36" s="108"/>
      <c r="AN36" s="67">
        <f t="shared" si="2"/>
        <v>-1.1739137226595631</v>
      </c>
      <c r="AO36" s="67">
        <f t="shared" si="2"/>
        <v>-0.20407014116958067</v>
      </c>
      <c r="AP36" s="67">
        <f t="shared" si="2"/>
        <v>-0.77999784735945354</v>
      </c>
      <c r="AY36" s="67">
        <f t="shared" si="0"/>
        <v>305.17391372265956</v>
      </c>
      <c r="AZ36" s="67">
        <f t="shared" si="1"/>
        <v>89.204070141169581</v>
      </c>
      <c r="BA36" s="67">
        <f t="shared" si="3"/>
        <v>243.77999784735945</v>
      </c>
      <c r="BC36">
        <f t="shared" si="4"/>
        <v>34.210761150215198</v>
      </c>
      <c r="BD36">
        <v>1013.2</v>
      </c>
      <c r="BE36">
        <f t="shared" si="5"/>
        <v>31.480396167633955</v>
      </c>
    </row>
    <row r="37" spans="1:57" x14ac:dyDescent="0.2">
      <c r="A37" s="13">
        <v>28</v>
      </c>
      <c r="B37" s="3">
        <v>18</v>
      </c>
      <c r="C37" s="17">
        <v>3</v>
      </c>
      <c r="D37" s="3">
        <v>4</v>
      </c>
      <c r="E37" s="18">
        <v>7</v>
      </c>
      <c r="F37" s="18">
        <v>12</v>
      </c>
      <c r="G37" s="18">
        <v>65</v>
      </c>
      <c r="H37" s="19">
        <v>1</v>
      </c>
      <c r="I37" s="18">
        <v>5</v>
      </c>
      <c r="J37" s="18">
        <v>0</v>
      </c>
      <c r="K37" s="20">
        <v>133</v>
      </c>
      <c r="L37" s="18">
        <v>274</v>
      </c>
      <c r="M37" s="18">
        <v>255</v>
      </c>
      <c r="N37" s="18">
        <v>311</v>
      </c>
      <c r="O37" s="18">
        <v>85</v>
      </c>
      <c r="P37" s="18">
        <v>247</v>
      </c>
      <c r="Q37" s="17">
        <v>2</v>
      </c>
      <c r="R37" s="17">
        <v>8</v>
      </c>
      <c r="S37" s="17">
        <v>3</v>
      </c>
      <c r="T37" s="17">
        <v>0</v>
      </c>
      <c r="U37" s="17">
        <v>2</v>
      </c>
      <c r="V37" s="3">
        <v>8</v>
      </c>
      <c r="W37" s="20">
        <v>63</v>
      </c>
      <c r="X37" s="17">
        <v>8</v>
      </c>
      <c r="Y37" s="3"/>
      <c r="Z37" s="3"/>
      <c r="AA37" s="20"/>
      <c r="AB37" s="3"/>
      <c r="AC37" s="3"/>
      <c r="AD37" s="20"/>
      <c r="AE37" s="3"/>
      <c r="AF37" s="3"/>
      <c r="AG37" s="20"/>
      <c r="AH37" s="107" t="s">
        <v>85</v>
      </c>
      <c r="AI37" s="107"/>
      <c r="AJ37" s="107"/>
      <c r="AK37" s="107"/>
      <c r="AL37" s="108"/>
      <c r="AN37" s="67">
        <f t="shared" si="2"/>
        <v>-2.1845039215403972</v>
      </c>
      <c r="AO37" s="67">
        <f t="shared" si="2"/>
        <v>-0.80595910482018951</v>
      </c>
      <c r="AP37" s="67">
        <f t="shared" si="2"/>
        <v>-1.1083069314108513</v>
      </c>
      <c r="AY37" s="67">
        <f t="shared" si="0"/>
        <v>313.1845039215404</v>
      </c>
      <c r="AZ37" s="67">
        <f t="shared" si="1"/>
        <v>85.80595910482019</v>
      </c>
      <c r="BA37" s="67">
        <f t="shared" si="3"/>
        <v>248.10830693141085</v>
      </c>
      <c r="BC37">
        <f t="shared" si="4"/>
        <v>36.499155441984577</v>
      </c>
      <c r="BD37">
        <v>1013.2</v>
      </c>
      <c r="BE37">
        <f t="shared" si="5"/>
        <v>32.626262153014039</v>
      </c>
    </row>
    <row r="38" spans="1:57" x14ac:dyDescent="0.2">
      <c r="A38" s="13">
        <v>29</v>
      </c>
      <c r="B38" s="3">
        <v>18</v>
      </c>
      <c r="C38" s="17">
        <v>6</v>
      </c>
      <c r="D38" s="3">
        <v>4</v>
      </c>
      <c r="E38" s="18">
        <v>5</v>
      </c>
      <c r="F38" s="18">
        <v>10</v>
      </c>
      <c r="G38" s="18">
        <v>59</v>
      </c>
      <c r="H38" s="19">
        <v>1</v>
      </c>
      <c r="I38" s="18">
        <v>5</v>
      </c>
      <c r="J38" s="18">
        <v>22</v>
      </c>
      <c r="K38" s="20">
        <v>129</v>
      </c>
      <c r="L38" s="18">
        <v>257</v>
      </c>
      <c r="M38" s="18">
        <v>237</v>
      </c>
      <c r="N38" s="18">
        <v>279</v>
      </c>
      <c r="O38" s="18">
        <v>84</v>
      </c>
      <c r="P38" s="18">
        <v>228</v>
      </c>
      <c r="Q38" s="17">
        <v>6</v>
      </c>
      <c r="R38" s="17">
        <v>8</v>
      </c>
      <c r="S38" s="17" t="s">
        <v>89</v>
      </c>
      <c r="T38" s="17" t="s">
        <v>89</v>
      </c>
      <c r="U38" s="17">
        <v>2</v>
      </c>
      <c r="V38" s="3">
        <v>8</v>
      </c>
      <c r="W38" s="20">
        <v>54</v>
      </c>
      <c r="X38" s="17">
        <v>8</v>
      </c>
      <c r="Y38" s="17">
        <v>6</v>
      </c>
      <c r="Z38" s="17">
        <v>6</v>
      </c>
      <c r="AA38" s="20">
        <v>105</v>
      </c>
      <c r="AB38" s="3"/>
      <c r="AC38" s="3"/>
      <c r="AD38" s="20"/>
      <c r="AE38" s="3"/>
      <c r="AF38" s="3"/>
      <c r="AG38" s="20"/>
      <c r="AH38" s="107" t="s">
        <v>208</v>
      </c>
      <c r="AI38" s="107"/>
      <c r="AJ38" s="107"/>
      <c r="AK38" s="107"/>
      <c r="AL38" s="108"/>
      <c r="AN38" s="67">
        <f t="shared" si="2"/>
        <v>-0.19992939223459416</v>
      </c>
      <c r="AO38" s="67">
        <f t="shared" si="2"/>
        <v>-0.56441579496193128</v>
      </c>
      <c r="AP38" s="67">
        <f t="shared" si="2"/>
        <v>-1.0261919860540729</v>
      </c>
      <c r="AY38" s="67">
        <f t="shared" si="0"/>
        <v>279.19992939223459</v>
      </c>
      <c r="AZ38" s="67">
        <f t="shared" si="1"/>
        <v>84.564415794961931</v>
      </c>
      <c r="BA38" s="67">
        <f t="shared" si="3"/>
        <v>229.02619198605407</v>
      </c>
      <c r="BC38">
        <f t="shared" si="4"/>
        <v>33.016242915837466</v>
      </c>
      <c r="BD38">
        <v>1013.2</v>
      </c>
      <c r="BE38">
        <f t="shared" si="5"/>
        <v>29.293868430343458</v>
      </c>
    </row>
    <row r="39" spans="1:57" x14ac:dyDescent="0.2">
      <c r="A39" s="13">
        <v>30</v>
      </c>
      <c r="B39" s="3">
        <v>18</v>
      </c>
      <c r="C39" s="17">
        <v>7</v>
      </c>
      <c r="D39" s="3">
        <v>4</v>
      </c>
      <c r="E39" s="18">
        <v>7</v>
      </c>
      <c r="F39" s="18">
        <v>15</v>
      </c>
      <c r="G39" s="69">
        <v>57</v>
      </c>
      <c r="H39" s="19">
        <v>1</v>
      </c>
      <c r="I39" s="18">
        <v>15</v>
      </c>
      <c r="J39" s="18">
        <v>22</v>
      </c>
      <c r="K39" s="20">
        <v>111</v>
      </c>
      <c r="L39" s="18">
        <v>269</v>
      </c>
      <c r="M39" s="18">
        <v>236</v>
      </c>
      <c r="N39" s="18">
        <v>265</v>
      </c>
      <c r="O39" s="18">
        <v>75</v>
      </c>
      <c r="P39" s="18">
        <v>220</v>
      </c>
      <c r="Q39" s="17">
        <v>7</v>
      </c>
      <c r="R39" s="17">
        <v>8</v>
      </c>
      <c r="S39" s="17">
        <v>4</v>
      </c>
      <c r="T39" s="17">
        <v>0</v>
      </c>
      <c r="U39" s="17">
        <v>4</v>
      </c>
      <c r="V39" s="3">
        <v>8</v>
      </c>
      <c r="W39" s="20">
        <v>45</v>
      </c>
      <c r="X39" s="17">
        <v>8</v>
      </c>
      <c r="Y39" s="17">
        <v>6</v>
      </c>
      <c r="Z39" s="17">
        <v>6</v>
      </c>
      <c r="AA39" s="20">
        <v>105</v>
      </c>
      <c r="AB39" s="3"/>
      <c r="AC39" s="3"/>
      <c r="AD39" s="20"/>
      <c r="AE39" s="3"/>
      <c r="AF39" s="3"/>
      <c r="AG39" s="20"/>
      <c r="AH39" s="107" t="s">
        <v>218</v>
      </c>
      <c r="AI39" s="107"/>
      <c r="AJ39" s="107"/>
      <c r="AK39" s="107"/>
      <c r="AL39" s="108"/>
      <c r="AN39" s="67">
        <f t="shared" si="2"/>
        <v>-3.5117257420332635</v>
      </c>
      <c r="AO39" s="67">
        <f t="shared" si="2"/>
        <v>-0.75894745187375179</v>
      </c>
      <c r="AP39" s="67">
        <f t="shared" si="2"/>
        <v>-2.6032943799067425</v>
      </c>
      <c r="AY39" s="67">
        <f t="shared" si="0"/>
        <v>268.51172574203326</v>
      </c>
      <c r="AZ39" s="67">
        <f t="shared" si="1"/>
        <v>75.758947451873752</v>
      </c>
      <c r="BA39" s="67">
        <f t="shared" si="3"/>
        <v>222.60329437990674</v>
      </c>
      <c r="BC39">
        <f t="shared" si="4"/>
        <v>35.442906055764126</v>
      </c>
      <c r="BD39">
        <v>1013.2</v>
      </c>
      <c r="BE39">
        <f t="shared" si="5"/>
        <v>29.117813358347327</v>
      </c>
    </row>
    <row r="40" spans="1:57" x14ac:dyDescent="0.2">
      <c r="A40" s="13"/>
      <c r="B40" s="3"/>
      <c r="C40" s="17"/>
      <c r="D40" s="3"/>
      <c r="E40" s="18"/>
      <c r="F40" s="18"/>
      <c r="G40" s="18"/>
      <c r="H40" s="19"/>
      <c r="I40" s="18"/>
      <c r="J40" s="18"/>
      <c r="K40" s="20"/>
      <c r="L40" s="18"/>
      <c r="M40" s="18"/>
      <c r="N40" s="18"/>
      <c r="O40" s="18"/>
      <c r="P40" s="18"/>
      <c r="Q40" s="17"/>
      <c r="R40" s="17"/>
      <c r="S40" s="17"/>
      <c r="T40" s="17"/>
      <c r="U40" s="17"/>
      <c r="V40" s="3"/>
      <c r="W40" s="20"/>
      <c r="X40" s="17"/>
      <c r="Y40" s="3"/>
      <c r="Z40" s="3"/>
      <c r="AA40" s="20"/>
      <c r="AB40" s="3"/>
      <c r="AC40" s="3"/>
      <c r="AD40" s="20"/>
      <c r="AE40" s="3"/>
      <c r="AF40" s="3"/>
      <c r="AG40" s="20"/>
      <c r="AH40" s="107"/>
      <c r="AI40" s="107"/>
      <c r="AJ40" s="107"/>
      <c r="AK40" s="107"/>
      <c r="AL40" s="108"/>
      <c r="AN40" s="67"/>
      <c r="AO40" s="67"/>
      <c r="AP40" s="67"/>
      <c r="AY40" s="67">
        <f t="shared" si="0"/>
        <v>61.120000000000005</v>
      </c>
      <c r="AZ40" s="67">
        <f t="shared" si="1"/>
        <v>100</v>
      </c>
      <c r="BA40" s="67">
        <f t="shared" si="3"/>
        <v>0</v>
      </c>
      <c r="BC40">
        <f t="shared" si="4"/>
        <v>6.1120000000000001</v>
      </c>
      <c r="BD40">
        <v>1013.2</v>
      </c>
      <c r="BE40">
        <f t="shared" si="5"/>
        <v>6.1120000000000001</v>
      </c>
    </row>
    <row r="41" spans="1:57" x14ac:dyDescent="0.2">
      <c r="A41" s="18"/>
      <c r="B41" s="3"/>
      <c r="C41" s="17"/>
      <c r="D41" s="3"/>
      <c r="E41" s="18"/>
      <c r="F41" s="18"/>
      <c r="G41" s="18"/>
      <c r="H41" s="19"/>
      <c r="I41" s="18"/>
      <c r="J41" s="18"/>
      <c r="K41" s="20"/>
      <c r="L41" s="18"/>
      <c r="M41" s="18"/>
      <c r="N41" s="18"/>
      <c r="O41" s="18"/>
      <c r="P41" s="18"/>
      <c r="Q41" s="17"/>
      <c r="R41" s="17"/>
      <c r="S41" s="17"/>
      <c r="T41" s="17"/>
      <c r="U41" s="17"/>
      <c r="V41" s="3"/>
      <c r="W41" s="20"/>
      <c r="X41" s="3"/>
      <c r="Y41" s="3"/>
      <c r="Z41" s="3"/>
      <c r="AA41" s="20"/>
      <c r="AB41" s="3"/>
      <c r="AC41" s="3"/>
      <c r="AD41" s="20"/>
      <c r="AE41" s="3"/>
      <c r="AF41" s="3"/>
      <c r="AG41" s="20"/>
      <c r="AH41" s="109" t="s">
        <v>227</v>
      </c>
      <c r="AI41" s="107"/>
      <c r="AJ41" s="107"/>
      <c r="AK41" s="107"/>
      <c r="AL41" s="108"/>
      <c r="AN41" s="67"/>
      <c r="AO41" s="67"/>
      <c r="AP41" s="67"/>
    </row>
    <row r="42" spans="1:57" x14ac:dyDescent="0.2">
      <c r="A42" s="13" t="s">
        <v>9</v>
      </c>
      <c r="B42" s="1"/>
      <c r="C42" s="21">
        <f>SUM(C10:C40)</f>
        <v>147</v>
      </c>
      <c r="D42" s="1"/>
      <c r="E42" s="13"/>
      <c r="F42" s="13">
        <f>SUM(F10:F40)</f>
        <v>299</v>
      </c>
      <c r="G42" s="13"/>
      <c r="H42" s="2"/>
      <c r="I42" s="13"/>
      <c r="J42" s="13"/>
      <c r="K42" s="22">
        <f>SUM(K10:K40)</f>
        <v>3489</v>
      </c>
      <c r="L42" s="13">
        <f>SUM(L10:L40)</f>
        <v>8206</v>
      </c>
      <c r="M42" s="13">
        <f>SUM(M10:M40)</f>
        <v>7336</v>
      </c>
      <c r="N42" s="13">
        <f>SUM(N10:N40)</f>
        <v>8527</v>
      </c>
      <c r="O42" s="13">
        <f>SUM(O10:O40)</f>
        <v>2341</v>
      </c>
      <c r="P42" s="13">
        <f t="shared" ref="P42" si="6">SUM(P10:P40)</f>
        <v>6941</v>
      </c>
      <c r="Q42" s="21">
        <f>SUM(Q10:Q40)</f>
        <v>84</v>
      </c>
      <c r="R42" s="21"/>
      <c r="S42" s="21"/>
      <c r="T42" s="21"/>
      <c r="U42" s="21"/>
      <c r="V42" s="1"/>
      <c r="W42" s="22"/>
      <c r="X42" s="1"/>
      <c r="Y42" s="1"/>
      <c r="Z42" s="1"/>
      <c r="AA42" s="22"/>
      <c r="AB42" s="1"/>
      <c r="AC42" s="1"/>
      <c r="AD42" s="22"/>
      <c r="AE42" s="1"/>
      <c r="AF42" s="1"/>
      <c r="AG42" s="22"/>
      <c r="AH42" s="116"/>
      <c r="AI42" s="116"/>
      <c r="AJ42" s="116"/>
      <c r="AK42" s="116"/>
      <c r="AL42" s="117"/>
      <c r="AN42" s="67"/>
      <c r="AO42" s="67"/>
      <c r="AP42" s="67"/>
    </row>
    <row r="43" spans="1:57" ht="13.5" thickBot="1" x14ac:dyDescent="0.25">
      <c r="A43" s="23" t="s">
        <v>10</v>
      </c>
      <c r="B43" s="24"/>
      <c r="C43" s="25">
        <f>AVERAGE(C10:C40)</f>
        <v>4.9000000000000004</v>
      </c>
      <c r="D43" s="24"/>
      <c r="E43" s="23">
        <f>MODE(E10:E40)</f>
        <v>7</v>
      </c>
      <c r="F43" s="23">
        <f>AVERAGE(F10:F40)</f>
        <v>9.9666666666666668</v>
      </c>
      <c r="G43" s="23"/>
      <c r="H43" s="26"/>
      <c r="I43" s="23"/>
      <c r="J43" s="23"/>
      <c r="K43" s="27">
        <f>AVERAGE(K10:K40)</f>
        <v>116.3</v>
      </c>
      <c r="L43" s="23">
        <f t="shared" ref="L43:Q43" si="7">AVERAGE(L10:L40)</f>
        <v>273.53333333333336</v>
      </c>
      <c r="M43" s="23">
        <f t="shared" si="7"/>
        <v>244.53333333333333</v>
      </c>
      <c r="N43" s="23">
        <f t="shared" si="7"/>
        <v>284.23333333333335</v>
      </c>
      <c r="O43" s="23">
        <f t="shared" si="7"/>
        <v>78.033333333333331</v>
      </c>
      <c r="P43" s="23">
        <f>AVERAGE(P10:P40)</f>
        <v>231.36666666666667</v>
      </c>
      <c r="Q43" s="25">
        <f t="shared" si="7"/>
        <v>2.8</v>
      </c>
      <c r="R43" s="25"/>
      <c r="S43" s="25"/>
      <c r="T43" s="25"/>
      <c r="U43" s="25"/>
      <c r="V43" s="24"/>
      <c r="W43" s="27"/>
      <c r="X43" s="24"/>
      <c r="Y43" s="24"/>
      <c r="Z43" s="24"/>
      <c r="AA43" s="27"/>
      <c r="AB43" s="24"/>
      <c r="AC43" s="24"/>
      <c r="AD43" s="27"/>
      <c r="AE43" s="24"/>
      <c r="AF43" s="24"/>
      <c r="AG43" s="27"/>
      <c r="AH43" s="111"/>
      <c r="AI43" s="111"/>
      <c r="AJ43" s="111"/>
      <c r="AK43" s="111"/>
      <c r="AL43" s="112"/>
      <c r="AN43" s="67">
        <f>AVERAGE(AN10:AN40)</f>
        <v>-2.5631514688185595</v>
      </c>
      <c r="AO43" s="67">
        <f t="shared" ref="AO43:AP43" si="8">AVERAGE(AO10:AO40)</f>
        <v>-0.91851032042543179</v>
      </c>
      <c r="AP43" s="67">
        <f t="shared" si="8"/>
        <v>-1.8444383015398056</v>
      </c>
    </row>
    <row r="44" spans="1:57" x14ac:dyDescent="0.2">
      <c r="E44" s="11"/>
      <c r="G44" s="11"/>
      <c r="K44" s="4"/>
      <c r="M44" s="11"/>
      <c r="P44" s="11"/>
      <c r="Q44" s="11"/>
      <c r="W44" s="4"/>
      <c r="AA44" s="4"/>
      <c r="AD44" s="4"/>
    </row>
    <row r="45" spans="1:57" x14ac:dyDescent="0.2">
      <c r="E45" s="11"/>
      <c r="G45" s="11"/>
      <c r="K45" s="4"/>
      <c r="M45" s="11"/>
      <c r="P45" s="11"/>
      <c r="Q45" s="11"/>
      <c r="W45" s="4"/>
      <c r="AA45" s="4"/>
    </row>
    <row r="46" spans="1:57" x14ac:dyDescent="0.2">
      <c r="E46" s="11"/>
      <c r="G46" s="11"/>
      <c r="M46" s="11"/>
      <c r="P46" s="11"/>
      <c r="Q46" s="11"/>
      <c r="W46" s="4"/>
      <c r="AA46" s="4"/>
    </row>
    <row r="47" spans="1:57" x14ac:dyDescent="0.2">
      <c r="E47" s="11"/>
      <c r="G47" s="11"/>
      <c r="M47" s="11"/>
      <c r="P47" s="11"/>
      <c r="Q47" s="11"/>
    </row>
    <row r="48" spans="1:57" x14ac:dyDescent="0.2">
      <c r="E48" s="11"/>
      <c r="G48" s="11"/>
      <c r="M48" s="11"/>
      <c r="P48" s="11"/>
      <c r="Q48" s="11"/>
    </row>
    <row r="49" spans="5:17" x14ac:dyDescent="0.2">
      <c r="E49" s="11"/>
      <c r="G49" s="11"/>
      <c r="M49" s="11"/>
      <c r="P49" s="11"/>
      <c r="Q49" s="11"/>
    </row>
  </sheetData>
  <mergeCells count="72">
    <mergeCell ref="AH41:AL41"/>
    <mergeCell ref="AH42:AL42"/>
    <mergeCell ref="AH43:AL43"/>
    <mergeCell ref="AH32:AL32"/>
    <mergeCell ref="AH33:AL33"/>
    <mergeCell ref="AH34:AL34"/>
    <mergeCell ref="AH35:AL35"/>
    <mergeCell ref="AH36:AL36"/>
    <mergeCell ref="AH37:AL37"/>
    <mergeCell ref="AH38:AL38"/>
    <mergeCell ref="AH39:AL39"/>
    <mergeCell ref="AH40:AL40"/>
    <mergeCell ref="AH27:AL27"/>
    <mergeCell ref="AH28:AL28"/>
    <mergeCell ref="AH29:AL29"/>
    <mergeCell ref="AH30:AL30"/>
    <mergeCell ref="AH31:AL31"/>
    <mergeCell ref="AH22:AL22"/>
    <mergeCell ref="AH23:AL23"/>
    <mergeCell ref="AH24:AL24"/>
    <mergeCell ref="AH25:AL25"/>
    <mergeCell ref="AH26:AL26"/>
    <mergeCell ref="AH16:AL16"/>
    <mergeCell ref="AH17:AL17"/>
    <mergeCell ref="AH18:AL18"/>
    <mergeCell ref="AH20:AL20"/>
    <mergeCell ref="AH21:AL21"/>
    <mergeCell ref="AH19:AL19"/>
    <mergeCell ref="AH11:AL11"/>
    <mergeCell ref="AH12:AL12"/>
    <mergeCell ref="AH13:AL13"/>
    <mergeCell ref="AH14:AL14"/>
    <mergeCell ref="AH15:AL15"/>
    <mergeCell ref="U8:W8"/>
    <mergeCell ref="X8:AA8"/>
    <mergeCell ref="AB8:AD8"/>
    <mergeCell ref="AE8:AG8"/>
    <mergeCell ref="AH10:AL10"/>
    <mergeCell ref="AH7:AL9"/>
    <mergeCell ref="P8:P9"/>
    <mergeCell ref="Q8:Q9"/>
    <mergeCell ref="R8:R9"/>
    <mergeCell ref="S8:S9"/>
    <mergeCell ref="T8:T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3:T3"/>
    <mergeCell ref="E7:F7"/>
    <mergeCell ref="L7:P7"/>
    <mergeCell ref="Q7:T7"/>
    <mergeCell ref="U7:AG7"/>
    <mergeCell ref="AN7:AP7"/>
    <mergeCell ref="AY7:BA7"/>
    <mergeCell ref="AN8:AN9"/>
    <mergeCell ref="AO8:AO9"/>
    <mergeCell ref="AP8:AP9"/>
    <mergeCell ref="AY8:AY9"/>
    <mergeCell ref="AZ8:AZ9"/>
    <mergeCell ref="BA8:BA9"/>
  </mergeCells>
  <phoneticPr fontId="2" type="noConversion"/>
  <dataValidations count="5">
    <dataValidation type="whole" allowBlank="1" showInputMessage="1" showErrorMessage="1" sqref="C10:C40" xr:uid="{00000000-0002-0000-0100-000000000000}">
      <formula1>0</formula1>
      <formula2>9</formula2>
    </dataValidation>
    <dataValidation type="whole" allowBlank="1" showInputMessage="1" showErrorMessage="1" sqref="AE10:AE40" xr:uid="{00000000-0002-0000-0100-000001000000}">
      <formula1>1</formula1>
      <formula2>9</formula2>
    </dataValidation>
    <dataValidation type="whole" allowBlank="1" showInputMessage="1" showErrorMessage="1" sqref="D10:D40" xr:uid="{00000000-0002-0000-0100-000002000000}">
      <formula1>0</formula1>
      <formula2>4</formula2>
    </dataValidation>
    <dataValidation type="whole" allowBlank="1" showInputMessage="1" showErrorMessage="1" sqref="AB10:AB40" xr:uid="{00000000-0002-0000-0100-000003000000}">
      <formula1>5</formula1>
      <formula2>9</formula2>
    </dataValidation>
    <dataValidation type="whole" allowBlank="1" showInputMessage="1" showErrorMessage="1" sqref="Y10:Y40" xr:uid="{00000000-0002-0000-0100-000004000000}">
      <formula1>3</formula1>
      <formula2>9</formula2>
    </dataValidation>
  </dataValidations>
  <pageMargins left="0.75" right="0.75" top="1" bottom="1" header="0.5" footer="0.5"/>
  <pageSetup orientation="portrait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49"/>
  <sheetViews>
    <sheetView workbookViewId="0">
      <pane xSplit="2" ySplit="9" topLeftCell="C10" activePane="bottomRight" state="frozen"/>
      <selection activeCell="AM2" sqref="AM2"/>
      <selection pane="topRight" activeCell="AM2" sqref="AM2"/>
      <selection pane="bottomLeft" activeCell="AM2" sqref="AM2"/>
      <selection pane="bottomRight" activeCell="W43" sqref="W43"/>
    </sheetView>
  </sheetViews>
  <sheetFormatPr defaultRowHeight="12.75" x14ac:dyDescent="0.2"/>
  <cols>
    <col min="1" max="1" width="4.28515625" bestFit="1" customWidth="1"/>
    <col min="2" max="2" width="5.140625" bestFit="1" customWidth="1"/>
    <col min="3" max="3" width="4" bestFit="1" customWidth="1"/>
    <col min="4" max="5" width="3" bestFit="1" customWidth="1"/>
    <col min="6" max="6" width="4" bestFit="1" customWidth="1"/>
    <col min="7" max="10" width="3" bestFit="1" customWidth="1"/>
    <col min="11" max="11" width="8.5703125" bestFit="1" customWidth="1"/>
    <col min="12" max="16" width="5" bestFit="1" customWidth="1"/>
    <col min="17" max="22" width="3" bestFit="1" customWidth="1"/>
    <col min="23" max="23" width="5.28515625" bestFit="1" customWidth="1"/>
    <col min="24" max="26" width="3" bestFit="1" customWidth="1"/>
    <col min="27" max="27" width="5.28515625" bestFit="1" customWidth="1"/>
    <col min="28" max="29" width="3" bestFit="1" customWidth="1"/>
    <col min="30" max="30" width="5.28515625" bestFit="1" customWidth="1"/>
    <col min="31" max="32" width="3" bestFit="1" customWidth="1"/>
    <col min="33" max="33" width="5.28515625" bestFit="1" customWidth="1"/>
    <col min="34" max="34" width="5.42578125" customWidth="1"/>
    <col min="40" max="42" width="4.7109375" customWidth="1"/>
    <col min="50" max="58" width="0" hidden="1" customWidth="1"/>
  </cols>
  <sheetData>
    <row r="1" spans="1:5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  <c r="P1" s="1"/>
      <c r="Q1" s="1"/>
      <c r="R1" s="1"/>
    </row>
    <row r="2" spans="1:57" ht="36.75" customHeight="1" x14ac:dyDescent="0.2">
      <c r="A2" s="1"/>
      <c r="B2" s="1"/>
      <c r="C2" s="1"/>
      <c r="D2" s="1"/>
      <c r="E2" s="1"/>
      <c r="F2" s="1"/>
      <c r="G2" s="1"/>
      <c r="H2" s="1"/>
      <c r="I2" s="2"/>
      <c r="J2" s="2"/>
      <c r="K2" s="1"/>
      <c r="L2" s="1"/>
      <c r="M2" s="1"/>
      <c r="O2" s="2"/>
      <c r="P2" s="1"/>
      <c r="Q2" s="1"/>
      <c r="R2" s="1"/>
    </row>
    <row r="3" spans="1:5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80"/>
      <c r="Q3" s="80"/>
      <c r="R3" s="80"/>
      <c r="S3" s="80"/>
      <c r="T3" s="80"/>
    </row>
    <row r="4" spans="1:5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7" spans="1:57" ht="14.25" x14ac:dyDescent="0.25">
      <c r="A7" s="7"/>
      <c r="B7" s="7"/>
      <c r="C7" s="7"/>
      <c r="D7" s="7"/>
      <c r="E7" s="81" t="s">
        <v>20</v>
      </c>
      <c r="F7" s="81"/>
      <c r="G7" s="7"/>
      <c r="H7" s="7"/>
      <c r="I7" s="7"/>
      <c r="J7" s="7"/>
      <c r="K7" s="7"/>
      <c r="L7" s="82" t="s">
        <v>11</v>
      </c>
      <c r="M7" s="82"/>
      <c r="N7" s="82"/>
      <c r="O7" s="82"/>
      <c r="P7" s="82"/>
      <c r="Q7" s="83" t="s">
        <v>29</v>
      </c>
      <c r="R7" s="83"/>
      <c r="S7" s="83"/>
      <c r="T7" s="83"/>
      <c r="U7" s="84" t="s">
        <v>33</v>
      </c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98" t="s">
        <v>8</v>
      </c>
      <c r="AI7" s="99"/>
      <c r="AJ7" s="99"/>
      <c r="AK7" s="99"/>
      <c r="AL7" s="100"/>
      <c r="AN7" s="73" t="s">
        <v>80</v>
      </c>
      <c r="AO7" s="74"/>
      <c r="AP7" s="75"/>
      <c r="AY7" s="76" t="s">
        <v>81</v>
      </c>
      <c r="AZ7" s="77"/>
      <c r="BA7" s="78"/>
    </row>
    <row r="8" spans="1:57" ht="16.5" customHeight="1" x14ac:dyDescent="0.2">
      <c r="A8" s="85" t="s">
        <v>18</v>
      </c>
      <c r="B8" s="89" t="s">
        <v>19</v>
      </c>
      <c r="C8" s="90" t="s">
        <v>23</v>
      </c>
      <c r="D8" s="88" t="s">
        <v>24</v>
      </c>
      <c r="E8" s="91" t="s">
        <v>25</v>
      </c>
      <c r="F8" s="86" t="s">
        <v>26</v>
      </c>
      <c r="G8" s="88" t="s">
        <v>27</v>
      </c>
      <c r="H8" s="88" t="s">
        <v>0</v>
      </c>
      <c r="I8" s="88" t="s">
        <v>21</v>
      </c>
      <c r="J8" s="88" t="s">
        <v>22</v>
      </c>
      <c r="K8" s="85" t="s">
        <v>28</v>
      </c>
      <c r="L8" s="79" t="s">
        <v>1</v>
      </c>
      <c r="M8" s="79" t="s">
        <v>2</v>
      </c>
      <c r="N8" s="79" t="s">
        <v>3</v>
      </c>
      <c r="O8" s="79" t="s">
        <v>4</v>
      </c>
      <c r="P8" s="79" t="s">
        <v>5</v>
      </c>
      <c r="Q8" s="92" t="s">
        <v>34</v>
      </c>
      <c r="R8" s="92" t="s">
        <v>30</v>
      </c>
      <c r="S8" s="92" t="s">
        <v>31</v>
      </c>
      <c r="T8" s="92" t="s">
        <v>32</v>
      </c>
      <c r="U8" s="93" t="s">
        <v>38</v>
      </c>
      <c r="V8" s="93"/>
      <c r="W8" s="93"/>
      <c r="X8" s="93" t="s">
        <v>39</v>
      </c>
      <c r="Y8" s="93"/>
      <c r="Z8" s="93"/>
      <c r="AA8" s="93"/>
      <c r="AB8" s="93" t="s">
        <v>40</v>
      </c>
      <c r="AC8" s="93"/>
      <c r="AD8" s="93"/>
      <c r="AE8" s="93" t="s">
        <v>41</v>
      </c>
      <c r="AF8" s="94"/>
      <c r="AG8" s="95"/>
      <c r="AH8" s="101"/>
      <c r="AI8" s="102"/>
      <c r="AJ8" s="102"/>
      <c r="AK8" s="102"/>
      <c r="AL8" s="103"/>
      <c r="AN8" s="79" t="s">
        <v>3</v>
      </c>
      <c r="AO8" s="79" t="s">
        <v>4</v>
      </c>
      <c r="AP8" s="79" t="s">
        <v>5</v>
      </c>
      <c r="AY8" s="79" t="s">
        <v>3</v>
      </c>
      <c r="AZ8" s="79" t="s">
        <v>4</v>
      </c>
      <c r="BA8" s="79" t="s">
        <v>5</v>
      </c>
    </row>
    <row r="9" spans="1:57" s="3" customFormat="1" ht="72" customHeight="1" x14ac:dyDescent="0.2">
      <c r="A9" s="85"/>
      <c r="B9" s="89"/>
      <c r="C9" s="90"/>
      <c r="D9" s="88"/>
      <c r="E9" s="91"/>
      <c r="F9" s="87"/>
      <c r="G9" s="88"/>
      <c r="H9" s="88"/>
      <c r="I9" s="88"/>
      <c r="J9" s="88"/>
      <c r="K9" s="85"/>
      <c r="L9" s="79"/>
      <c r="M9" s="79"/>
      <c r="N9" s="79"/>
      <c r="O9" s="79"/>
      <c r="P9" s="79"/>
      <c r="Q9" s="92"/>
      <c r="R9" s="92"/>
      <c r="S9" s="92"/>
      <c r="T9" s="92"/>
      <c r="U9" s="8" t="s">
        <v>16</v>
      </c>
      <c r="V9" s="8" t="s">
        <v>6</v>
      </c>
      <c r="W9" s="9" t="s">
        <v>7</v>
      </c>
      <c r="X9" s="8" t="s">
        <v>17</v>
      </c>
      <c r="Y9" s="8" t="s">
        <v>16</v>
      </c>
      <c r="Z9" s="8" t="s">
        <v>6</v>
      </c>
      <c r="AA9" s="9" t="s">
        <v>7</v>
      </c>
      <c r="AB9" s="8" t="s">
        <v>16</v>
      </c>
      <c r="AC9" s="8" t="s">
        <v>6</v>
      </c>
      <c r="AD9" s="9" t="s">
        <v>7</v>
      </c>
      <c r="AE9" s="8" t="s">
        <v>16</v>
      </c>
      <c r="AF9" s="8" t="s">
        <v>6</v>
      </c>
      <c r="AG9" s="9" t="s">
        <v>7</v>
      </c>
      <c r="AH9" s="104"/>
      <c r="AI9" s="105"/>
      <c r="AJ9" s="105"/>
      <c r="AK9" s="105"/>
      <c r="AL9" s="106"/>
      <c r="AN9" s="79"/>
      <c r="AO9" s="79"/>
      <c r="AP9" s="79"/>
      <c r="AY9" s="79"/>
      <c r="AZ9" s="79"/>
      <c r="BA9" s="79"/>
      <c r="BC9" s="3" t="s">
        <v>82</v>
      </c>
      <c r="BD9" s="3" t="s">
        <v>83</v>
      </c>
      <c r="BE9" s="3" t="s">
        <v>84</v>
      </c>
    </row>
    <row r="10" spans="1:57" x14ac:dyDescent="0.2">
      <c r="A10" s="13">
        <v>1</v>
      </c>
      <c r="B10" s="3">
        <v>17</v>
      </c>
      <c r="C10" s="17">
        <v>3</v>
      </c>
      <c r="D10" s="3">
        <v>4</v>
      </c>
      <c r="E10" s="18">
        <v>8</v>
      </c>
      <c r="F10" s="18">
        <v>11</v>
      </c>
      <c r="G10" s="18">
        <v>76</v>
      </c>
      <c r="H10" s="19">
        <v>2</v>
      </c>
      <c r="I10" s="18"/>
      <c r="J10" s="18"/>
      <c r="K10" s="20">
        <v>122</v>
      </c>
      <c r="L10" s="18">
        <v>286</v>
      </c>
      <c r="M10" s="18">
        <v>254</v>
      </c>
      <c r="N10" s="18">
        <v>295</v>
      </c>
      <c r="O10" s="18">
        <v>75</v>
      </c>
      <c r="P10" s="18">
        <v>238</v>
      </c>
      <c r="Q10" s="17">
        <v>2</v>
      </c>
      <c r="R10" s="17">
        <v>8</v>
      </c>
      <c r="S10" s="17">
        <v>0</v>
      </c>
      <c r="T10" s="17">
        <v>1</v>
      </c>
      <c r="U10" s="17">
        <v>1</v>
      </c>
      <c r="V10" s="3">
        <v>8</v>
      </c>
      <c r="W10" s="20">
        <v>69</v>
      </c>
      <c r="X10" s="17">
        <v>8</v>
      </c>
      <c r="Y10" s="3"/>
      <c r="Z10" s="3"/>
      <c r="AA10" s="20"/>
      <c r="AB10" s="3"/>
      <c r="AC10" s="3"/>
      <c r="AD10" s="20"/>
      <c r="AE10" s="3"/>
      <c r="AF10" s="3"/>
      <c r="AG10" s="20"/>
      <c r="AH10" s="96"/>
      <c r="AI10" s="96"/>
      <c r="AJ10" s="96"/>
      <c r="AK10" s="96"/>
      <c r="AL10" s="97"/>
      <c r="AN10" s="67">
        <f>N10-AY10</f>
        <v>-7.3040335690405414</v>
      </c>
      <c r="AO10" s="67">
        <f>O10-AZ10</f>
        <v>-2.2225215081613641</v>
      </c>
      <c r="AP10" s="67">
        <f>P10-BA10</f>
        <v>-4.2051099394338394</v>
      </c>
      <c r="AY10" s="67">
        <f t="shared" ref="AY10:AY40" si="0">10*(BE10-BD10*((L10/10)-(M10/10))*0.00066*(1+(0.00115*(M10/10))))</f>
        <v>302.30403356904054</v>
      </c>
      <c r="AZ10" s="67">
        <f t="shared" ref="AZ10:AZ40" si="1">((AY10/10)*100)/BC10</f>
        <v>77.222521508161364</v>
      </c>
      <c r="BA10" s="67">
        <f>(243.5*LN((AY10/10)/6.112))/(17.67-LN((AY10/10)/6.112))*10</f>
        <v>242.20510993943384</v>
      </c>
      <c r="BC10">
        <f>6.112*2.718^((17.67*(L10/10))/((L10/10)+243.5))</f>
        <v>39.147133202208529</v>
      </c>
      <c r="BD10">
        <v>1013.2</v>
      </c>
      <c r="BE10">
        <f>6.112*2.718^((17.67*(M10/10))/((M10/10)+243.5))</f>
        <v>32.432787604968055</v>
      </c>
    </row>
    <row r="11" spans="1:57" x14ac:dyDescent="0.2">
      <c r="A11" s="13">
        <v>2</v>
      </c>
      <c r="B11" s="3">
        <v>17</v>
      </c>
      <c r="C11" s="17">
        <v>2</v>
      </c>
      <c r="D11" s="3">
        <v>4</v>
      </c>
      <c r="E11" s="18">
        <v>10</v>
      </c>
      <c r="F11" s="18">
        <v>12</v>
      </c>
      <c r="G11" s="18">
        <v>75</v>
      </c>
      <c r="H11" s="19">
        <v>2</v>
      </c>
      <c r="I11" s="18"/>
      <c r="J11" s="18"/>
      <c r="K11" s="20">
        <v>114</v>
      </c>
      <c r="L11" s="18">
        <v>287</v>
      </c>
      <c r="M11" s="18">
        <v>249</v>
      </c>
      <c r="N11" s="18">
        <v>285</v>
      </c>
      <c r="O11" s="18">
        <v>72</v>
      </c>
      <c r="P11" s="18">
        <v>232</v>
      </c>
      <c r="Q11" s="17">
        <v>1</v>
      </c>
      <c r="R11" s="17">
        <v>2</v>
      </c>
      <c r="S11" s="17">
        <v>0</v>
      </c>
      <c r="T11" s="17">
        <v>1</v>
      </c>
      <c r="U11" s="17">
        <v>1</v>
      </c>
      <c r="V11" s="3">
        <v>8</v>
      </c>
      <c r="W11" s="20">
        <v>63</v>
      </c>
      <c r="X11" s="17">
        <v>8</v>
      </c>
      <c r="Y11" s="3"/>
      <c r="Z11" s="3"/>
      <c r="AA11" s="20"/>
      <c r="AB11" s="3"/>
      <c r="AC11" s="3"/>
      <c r="AD11" s="20"/>
      <c r="AE11" s="3"/>
      <c r="AF11" s="3"/>
      <c r="AG11" s="20"/>
      <c r="AH11" s="107"/>
      <c r="AI11" s="107"/>
      <c r="AJ11" s="107"/>
      <c r="AK11" s="107"/>
      <c r="AL11" s="108"/>
      <c r="AN11" s="67">
        <f t="shared" ref="AN11:AP39" si="2">N11-AY11</f>
        <v>-3.6652600877795862</v>
      </c>
      <c r="AO11" s="67">
        <f t="shared" si="2"/>
        <v>-1.3114654651084408</v>
      </c>
      <c r="AP11" s="67">
        <f t="shared" si="2"/>
        <v>-2.5368016964951892</v>
      </c>
      <c r="AY11" s="67">
        <f t="shared" si="0"/>
        <v>288.66526008777959</v>
      </c>
      <c r="AZ11" s="67">
        <f t="shared" si="1"/>
        <v>73.311465465108441</v>
      </c>
      <c r="BA11" s="67">
        <f t="shared" ref="BA11:BA40" si="3">(243.5*LN((AY11/10)/6.112))/(17.67-LN((AY11/10)/6.112))*10</f>
        <v>234.53680169649519</v>
      </c>
      <c r="BC11">
        <f t="shared" ref="BC11:BC40" si="4">6.112*2.718^((17.67*(L11/10))/((L11/10)+243.5))</f>
        <v>39.375186167184964</v>
      </c>
      <c r="BD11">
        <v>1013.2</v>
      </c>
      <c r="BE11">
        <f t="shared" ref="BE11:BE40" si="5">6.112*2.718^((17.67*(M11/10))/((M11/10)+243.5))</f>
        <v>31.480396167633955</v>
      </c>
    </row>
    <row r="12" spans="1:57" x14ac:dyDescent="0.2">
      <c r="A12" s="13">
        <v>3</v>
      </c>
      <c r="B12" s="3">
        <v>17</v>
      </c>
      <c r="C12" s="17">
        <v>2</v>
      </c>
      <c r="D12" s="3">
        <v>4</v>
      </c>
      <c r="E12" s="18">
        <v>10</v>
      </c>
      <c r="F12" s="18">
        <v>12</v>
      </c>
      <c r="G12" s="18">
        <v>75</v>
      </c>
      <c r="H12" s="19">
        <v>2</v>
      </c>
      <c r="I12" s="18"/>
      <c r="J12" s="18"/>
      <c r="K12" s="20">
        <v>116</v>
      </c>
      <c r="L12" s="18">
        <v>286</v>
      </c>
      <c r="M12" s="18">
        <v>250</v>
      </c>
      <c r="N12" s="18">
        <v>289</v>
      </c>
      <c r="O12" s="18">
        <v>74</v>
      </c>
      <c r="P12" s="18">
        <v>234</v>
      </c>
      <c r="Q12" s="17">
        <v>1</v>
      </c>
      <c r="R12" s="17">
        <v>2</v>
      </c>
      <c r="S12" s="17">
        <v>0</v>
      </c>
      <c r="T12" s="17">
        <v>2</v>
      </c>
      <c r="U12" s="17">
        <v>1</v>
      </c>
      <c r="V12" s="3">
        <v>8</v>
      </c>
      <c r="W12" s="20">
        <v>69</v>
      </c>
      <c r="X12" s="17">
        <v>8</v>
      </c>
      <c r="Y12" s="3"/>
      <c r="Z12" s="3"/>
      <c r="AA12" s="20"/>
      <c r="AB12" s="3"/>
      <c r="AC12" s="3"/>
      <c r="AD12" s="20"/>
      <c r="AE12" s="3"/>
      <c r="AF12" s="3"/>
      <c r="AG12" s="20"/>
      <c r="AH12" s="107"/>
      <c r="AI12" s="107"/>
      <c r="AJ12" s="107"/>
      <c r="AK12" s="107"/>
      <c r="AL12" s="108"/>
      <c r="AN12" s="67">
        <f t="shared" si="2"/>
        <v>-2.92316717615995</v>
      </c>
      <c r="AO12" s="67">
        <f t="shared" si="2"/>
        <v>-0.5707650336170218</v>
      </c>
      <c r="AP12" s="67">
        <f t="shared" si="2"/>
        <v>-2.3969333970113951</v>
      </c>
      <c r="AY12" s="67">
        <f t="shared" si="0"/>
        <v>291.92316717615995</v>
      </c>
      <c r="AZ12" s="67">
        <f t="shared" si="1"/>
        <v>74.570765033617022</v>
      </c>
      <c r="BA12" s="67">
        <f t="shared" si="3"/>
        <v>236.3969333970114</v>
      </c>
      <c r="BC12">
        <f t="shared" si="4"/>
        <v>39.147133202208529</v>
      </c>
      <c r="BD12">
        <v>1013.2</v>
      </c>
      <c r="BE12">
        <f t="shared" si="5"/>
        <v>31.668891609615997</v>
      </c>
    </row>
    <row r="13" spans="1:57" x14ac:dyDescent="0.2">
      <c r="A13" s="13">
        <v>4</v>
      </c>
      <c r="B13" s="3">
        <v>17</v>
      </c>
      <c r="C13" s="17">
        <v>2</v>
      </c>
      <c r="D13" s="3">
        <v>4</v>
      </c>
      <c r="E13" s="18">
        <v>8</v>
      </c>
      <c r="F13" s="18">
        <v>12</v>
      </c>
      <c r="G13" s="18">
        <v>80</v>
      </c>
      <c r="H13" s="19">
        <v>2</v>
      </c>
      <c r="I13" s="18"/>
      <c r="J13" s="18"/>
      <c r="K13" s="20">
        <v>124</v>
      </c>
      <c r="L13" s="18">
        <v>283</v>
      </c>
      <c r="M13" s="18">
        <v>257</v>
      </c>
      <c r="N13" s="18">
        <v>310</v>
      </c>
      <c r="O13" s="18">
        <v>81</v>
      </c>
      <c r="P13" s="18">
        <v>246</v>
      </c>
      <c r="Q13" s="17">
        <v>2</v>
      </c>
      <c r="R13" s="17">
        <v>2</v>
      </c>
      <c r="S13" s="17">
        <v>0</v>
      </c>
      <c r="T13" s="17">
        <v>2</v>
      </c>
      <c r="U13" s="17">
        <v>2</v>
      </c>
      <c r="V13" s="3">
        <v>8</v>
      </c>
      <c r="W13" s="20">
        <v>69</v>
      </c>
      <c r="X13" s="17">
        <v>8</v>
      </c>
      <c r="Y13" s="3"/>
      <c r="Z13" s="3"/>
      <c r="AA13" s="20"/>
      <c r="AB13" s="3"/>
      <c r="AC13" s="3"/>
      <c r="AD13" s="20"/>
      <c r="AE13" s="3"/>
      <c r="AF13" s="3"/>
      <c r="AG13" s="20"/>
      <c r="AH13" s="107"/>
      <c r="AI13" s="107"/>
      <c r="AJ13" s="107"/>
      <c r="AK13" s="107"/>
      <c r="AL13" s="108"/>
      <c r="AN13" s="67">
        <f t="shared" si="2"/>
        <v>-2.2620587962146601</v>
      </c>
      <c r="AO13" s="67">
        <f t="shared" si="2"/>
        <v>-0.1705264080347888</v>
      </c>
      <c r="AP13" s="67">
        <f t="shared" si="2"/>
        <v>-1.6148586336038306</v>
      </c>
      <c r="AY13" s="67">
        <f t="shared" si="0"/>
        <v>312.26205879621466</v>
      </c>
      <c r="AZ13" s="67">
        <f t="shared" si="1"/>
        <v>81.170526408034789</v>
      </c>
      <c r="BA13" s="67">
        <f t="shared" si="3"/>
        <v>247.61485863360383</v>
      </c>
      <c r="BC13">
        <f t="shared" si="4"/>
        <v>38.469882186855564</v>
      </c>
      <c r="BD13">
        <v>1013.2</v>
      </c>
      <c r="BE13">
        <f t="shared" si="5"/>
        <v>33.016242915837466</v>
      </c>
    </row>
    <row r="14" spans="1:57" x14ac:dyDescent="0.2">
      <c r="A14" s="13">
        <v>5</v>
      </c>
      <c r="B14" s="3">
        <v>17</v>
      </c>
      <c r="C14" s="17">
        <v>4</v>
      </c>
      <c r="D14" s="3">
        <v>4</v>
      </c>
      <c r="E14" s="18">
        <v>9</v>
      </c>
      <c r="F14" s="18">
        <v>14</v>
      </c>
      <c r="G14" s="18">
        <v>78</v>
      </c>
      <c r="H14" s="19">
        <v>2</v>
      </c>
      <c r="I14" s="18"/>
      <c r="J14" s="18"/>
      <c r="K14" s="20">
        <v>118</v>
      </c>
      <c r="L14" s="18">
        <v>287</v>
      </c>
      <c r="M14" s="18">
        <v>255</v>
      </c>
      <c r="N14" s="18">
        <v>300</v>
      </c>
      <c r="O14" s="18">
        <v>77</v>
      </c>
      <c r="P14" s="18">
        <v>241</v>
      </c>
      <c r="Q14" s="17">
        <v>1</v>
      </c>
      <c r="R14" s="17">
        <v>1</v>
      </c>
      <c r="S14" s="17">
        <v>0</v>
      </c>
      <c r="T14" s="17">
        <v>1</v>
      </c>
      <c r="U14" s="17">
        <v>1</v>
      </c>
      <c r="V14" s="3">
        <v>8</v>
      </c>
      <c r="W14" s="20">
        <v>66</v>
      </c>
      <c r="X14" s="17">
        <v>8</v>
      </c>
      <c r="Y14" s="17">
        <v>4</v>
      </c>
      <c r="Z14" s="17">
        <v>0</v>
      </c>
      <c r="AA14" s="20">
        <v>900</v>
      </c>
      <c r="AB14" s="3"/>
      <c r="AC14" s="3"/>
      <c r="AD14" s="20"/>
      <c r="AE14" s="3"/>
      <c r="AF14" s="3"/>
      <c r="AG14" s="20"/>
      <c r="AH14" s="107"/>
      <c r="AI14" s="107"/>
      <c r="AJ14" s="107"/>
      <c r="AK14" s="107"/>
      <c r="AL14" s="108"/>
      <c r="AN14" s="67">
        <f t="shared" si="2"/>
        <v>-4.2363181893404089</v>
      </c>
      <c r="AO14" s="67">
        <f t="shared" si="2"/>
        <v>-0.26600120633564472</v>
      </c>
      <c r="AP14" s="67">
        <f t="shared" si="2"/>
        <v>-2.2669102527805478</v>
      </c>
      <c r="AY14" s="67">
        <f t="shared" si="0"/>
        <v>304.23631818934041</v>
      </c>
      <c r="AZ14" s="67">
        <f t="shared" si="1"/>
        <v>77.266001206335645</v>
      </c>
      <c r="BA14" s="67">
        <f t="shared" si="3"/>
        <v>243.26691025278055</v>
      </c>
      <c r="BC14">
        <f t="shared" si="4"/>
        <v>39.375186167184964</v>
      </c>
      <c r="BD14">
        <v>1013.2</v>
      </c>
      <c r="BE14">
        <f t="shared" si="5"/>
        <v>32.626262153014039</v>
      </c>
    </row>
    <row r="15" spans="1:57" x14ac:dyDescent="0.2">
      <c r="A15" s="13">
        <v>6</v>
      </c>
      <c r="B15" s="3">
        <v>17</v>
      </c>
      <c r="C15" s="17">
        <v>2</v>
      </c>
      <c r="D15" s="3">
        <v>4</v>
      </c>
      <c r="E15" s="18">
        <v>11</v>
      </c>
      <c r="F15" s="18">
        <v>15</v>
      </c>
      <c r="G15" s="18">
        <v>80</v>
      </c>
      <c r="H15" s="19">
        <v>2</v>
      </c>
      <c r="I15" s="18"/>
      <c r="J15" s="18"/>
      <c r="K15" s="20">
        <v>113</v>
      </c>
      <c r="L15" s="18">
        <v>284</v>
      </c>
      <c r="M15" s="18">
        <v>249</v>
      </c>
      <c r="N15" s="18">
        <v>289</v>
      </c>
      <c r="O15" s="18">
        <v>74</v>
      </c>
      <c r="P15" s="18">
        <v>234</v>
      </c>
      <c r="Q15" s="17">
        <v>1</v>
      </c>
      <c r="R15" s="17">
        <v>1</v>
      </c>
      <c r="S15" s="17">
        <v>0</v>
      </c>
      <c r="T15" s="17">
        <v>1</v>
      </c>
      <c r="U15" s="17">
        <v>1</v>
      </c>
      <c r="V15" s="3">
        <v>8</v>
      </c>
      <c r="W15" s="20">
        <v>66</v>
      </c>
      <c r="X15" s="17">
        <v>8</v>
      </c>
      <c r="Y15" s="3"/>
      <c r="Z15" s="3"/>
      <c r="AA15" s="20"/>
      <c r="AB15" s="3"/>
      <c r="AC15" s="3"/>
      <c r="AD15" s="20"/>
      <c r="AE15" s="3"/>
      <c r="AF15" s="3"/>
      <c r="AG15" s="20"/>
      <c r="AH15" s="107"/>
      <c r="AI15" s="107"/>
      <c r="AJ15" s="107"/>
      <c r="AK15" s="107"/>
      <c r="AL15" s="108"/>
      <c r="AN15" s="67">
        <f t="shared" si="2"/>
        <v>-1.7288417921395194</v>
      </c>
      <c r="AO15" s="67">
        <f t="shared" si="2"/>
        <v>-1.1344366478388395</v>
      </c>
      <c r="AP15" s="67">
        <f t="shared" si="2"/>
        <v>-1.7171433201694413</v>
      </c>
      <c r="AY15" s="67">
        <f t="shared" si="0"/>
        <v>290.72884179213952</v>
      </c>
      <c r="AZ15" s="67">
        <f t="shared" si="1"/>
        <v>75.134436647838839</v>
      </c>
      <c r="BA15" s="67">
        <f t="shared" si="3"/>
        <v>235.71714332016944</v>
      </c>
      <c r="BC15">
        <f t="shared" si="4"/>
        <v>38.694486145521928</v>
      </c>
      <c r="BD15">
        <v>1013.2</v>
      </c>
      <c r="BE15">
        <f t="shared" si="5"/>
        <v>31.480396167633955</v>
      </c>
    </row>
    <row r="16" spans="1:57" x14ac:dyDescent="0.2">
      <c r="A16" s="13">
        <v>7</v>
      </c>
      <c r="B16" s="3">
        <v>17</v>
      </c>
      <c r="C16" s="17">
        <v>5</v>
      </c>
      <c r="D16" s="3">
        <v>4</v>
      </c>
      <c r="E16" s="18">
        <v>11</v>
      </c>
      <c r="F16" s="18">
        <v>14</v>
      </c>
      <c r="G16" s="18">
        <v>76</v>
      </c>
      <c r="H16" s="19">
        <v>2</v>
      </c>
      <c r="I16" s="18"/>
      <c r="J16" s="18"/>
      <c r="K16" s="20">
        <v>107</v>
      </c>
      <c r="L16" s="18">
        <v>282</v>
      </c>
      <c r="M16" s="18">
        <v>252</v>
      </c>
      <c r="N16" s="18">
        <v>296</v>
      </c>
      <c r="O16" s="18">
        <v>77</v>
      </c>
      <c r="P16" s="18">
        <v>239</v>
      </c>
      <c r="Q16" s="17">
        <v>1</v>
      </c>
      <c r="R16" s="17">
        <v>1</v>
      </c>
      <c r="S16" s="17">
        <v>0</v>
      </c>
      <c r="T16" s="17">
        <v>2</v>
      </c>
      <c r="U16" s="17">
        <v>1</v>
      </c>
      <c r="V16" s="3">
        <v>8</v>
      </c>
      <c r="W16" s="20">
        <v>66</v>
      </c>
      <c r="X16" s="17">
        <v>8</v>
      </c>
      <c r="Y16" s="17">
        <v>5</v>
      </c>
      <c r="Z16" s="17">
        <v>0</v>
      </c>
      <c r="AA16" s="20">
        <v>840</v>
      </c>
      <c r="AB16" s="3"/>
      <c r="AC16" s="3"/>
      <c r="AD16" s="20"/>
      <c r="AE16" s="3"/>
      <c r="AF16" s="3"/>
      <c r="AG16" s="20"/>
      <c r="AH16" s="107"/>
      <c r="AI16" s="107"/>
      <c r="AJ16" s="107"/>
      <c r="AK16" s="107"/>
      <c r="AL16" s="108"/>
      <c r="AN16" s="67">
        <f t="shared" si="2"/>
        <v>-3.8457416692658626</v>
      </c>
      <c r="AO16" s="67">
        <f t="shared" si="2"/>
        <v>-1.3983852328053956</v>
      </c>
      <c r="AP16" s="67">
        <f t="shared" si="2"/>
        <v>-1.8456434158345019</v>
      </c>
      <c r="AY16" s="67">
        <f t="shared" si="0"/>
        <v>299.84574166926586</v>
      </c>
      <c r="AZ16" s="67">
        <f t="shared" si="1"/>
        <v>78.398385232805396</v>
      </c>
      <c r="BA16" s="67">
        <f t="shared" si="3"/>
        <v>240.8456434158345</v>
      </c>
      <c r="BC16">
        <f t="shared" si="4"/>
        <v>38.246418058084821</v>
      </c>
      <c r="BD16">
        <v>1013.2</v>
      </c>
      <c r="BE16">
        <f t="shared" si="5"/>
        <v>32.048847988206589</v>
      </c>
    </row>
    <row r="17" spans="1:57" x14ac:dyDescent="0.2">
      <c r="A17" s="13">
        <v>8</v>
      </c>
      <c r="B17" s="3">
        <v>17</v>
      </c>
      <c r="C17" s="17">
        <v>1</v>
      </c>
      <c r="D17" s="3">
        <v>4</v>
      </c>
      <c r="E17" s="18">
        <v>10</v>
      </c>
      <c r="F17" s="18">
        <v>14</v>
      </c>
      <c r="G17" s="18">
        <v>75</v>
      </c>
      <c r="H17" s="19">
        <v>2</v>
      </c>
      <c r="I17" s="18"/>
      <c r="J17" s="18"/>
      <c r="K17" s="20">
        <v>104</v>
      </c>
      <c r="L17" s="18">
        <v>284</v>
      </c>
      <c r="M17" s="18">
        <v>254</v>
      </c>
      <c r="N17" s="18">
        <v>300</v>
      </c>
      <c r="O17" s="18">
        <v>78</v>
      </c>
      <c r="P17" s="18">
        <v>241</v>
      </c>
      <c r="Q17" s="17">
        <v>1</v>
      </c>
      <c r="R17" s="17">
        <v>2</v>
      </c>
      <c r="S17" s="17">
        <v>0</v>
      </c>
      <c r="T17" s="17">
        <v>0</v>
      </c>
      <c r="U17" s="17">
        <v>1</v>
      </c>
      <c r="V17" s="3">
        <v>8</v>
      </c>
      <c r="W17" s="20">
        <v>69</v>
      </c>
      <c r="X17" s="17">
        <v>8</v>
      </c>
      <c r="Y17" s="3"/>
      <c r="Z17" s="3"/>
      <c r="AA17" s="20"/>
      <c r="AB17" s="3"/>
      <c r="AC17" s="3"/>
      <c r="AD17" s="20"/>
      <c r="AE17" s="3"/>
      <c r="AF17" s="3"/>
      <c r="AG17" s="20"/>
      <c r="AH17" s="107"/>
      <c r="AI17" s="107"/>
      <c r="AJ17" s="107"/>
      <c r="AK17" s="107"/>
      <c r="AL17" s="108"/>
      <c r="AN17" s="67">
        <f t="shared" si="2"/>
        <v>-3.6805237240805582</v>
      </c>
      <c r="AO17" s="67">
        <f t="shared" si="2"/>
        <v>-0.48160137907017031</v>
      </c>
      <c r="AP17" s="67">
        <f t="shared" si="2"/>
        <v>-1.9621046633770902</v>
      </c>
      <c r="AY17" s="67">
        <f t="shared" si="0"/>
        <v>303.68052372408056</v>
      </c>
      <c r="AZ17" s="67">
        <f t="shared" si="1"/>
        <v>78.48160137907017</v>
      </c>
      <c r="BA17" s="67">
        <f t="shared" si="3"/>
        <v>242.96210466337709</v>
      </c>
      <c r="BC17">
        <f t="shared" si="4"/>
        <v>38.694486145521928</v>
      </c>
      <c r="BD17">
        <v>1013.2</v>
      </c>
      <c r="BE17">
        <f t="shared" si="5"/>
        <v>32.432787604968055</v>
      </c>
    </row>
    <row r="18" spans="1:57" x14ac:dyDescent="0.2">
      <c r="A18" s="13">
        <v>9</v>
      </c>
      <c r="B18" s="3">
        <v>17</v>
      </c>
      <c r="C18" s="17">
        <v>7</v>
      </c>
      <c r="D18" s="3">
        <v>4</v>
      </c>
      <c r="E18" s="18">
        <v>9</v>
      </c>
      <c r="F18" s="18">
        <v>16</v>
      </c>
      <c r="G18" s="18">
        <v>78</v>
      </c>
      <c r="H18" s="19">
        <v>2</v>
      </c>
      <c r="I18" s="18"/>
      <c r="J18" s="18"/>
      <c r="K18" s="20">
        <v>106</v>
      </c>
      <c r="L18" s="18">
        <v>283</v>
      </c>
      <c r="M18" s="18">
        <v>250</v>
      </c>
      <c r="N18" s="18">
        <v>292</v>
      </c>
      <c r="O18" s="18">
        <v>76</v>
      </c>
      <c r="P18" s="18">
        <v>236</v>
      </c>
      <c r="Q18" s="17">
        <v>1</v>
      </c>
      <c r="R18" s="17">
        <v>2</v>
      </c>
      <c r="S18" s="17">
        <v>0</v>
      </c>
      <c r="T18" s="17">
        <v>1</v>
      </c>
      <c r="U18" s="17">
        <v>1</v>
      </c>
      <c r="V18" s="3">
        <v>8</v>
      </c>
      <c r="W18" s="20">
        <v>66</v>
      </c>
      <c r="X18" s="17">
        <v>8</v>
      </c>
      <c r="Y18" s="17">
        <v>6</v>
      </c>
      <c r="Z18" s="17">
        <v>0</v>
      </c>
      <c r="AA18" s="20">
        <v>900</v>
      </c>
      <c r="AB18" s="3"/>
      <c r="AC18" s="3"/>
      <c r="AD18" s="20"/>
      <c r="AE18" s="3"/>
      <c r="AF18" s="3"/>
      <c r="AG18" s="20"/>
      <c r="AH18" s="107"/>
      <c r="AI18" s="107"/>
      <c r="AJ18" s="107"/>
      <c r="AK18" s="107"/>
      <c r="AL18" s="108"/>
      <c r="AN18" s="67">
        <f t="shared" si="2"/>
        <v>-1.9869795861599755</v>
      </c>
      <c r="AO18" s="67">
        <f t="shared" si="2"/>
        <v>-0.42003636980459191</v>
      </c>
      <c r="AP18" s="67">
        <f t="shared" si="2"/>
        <v>-1.565900590903027</v>
      </c>
      <c r="AY18" s="67">
        <f t="shared" si="0"/>
        <v>293.98697958615998</v>
      </c>
      <c r="AZ18" s="67">
        <f t="shared" si="1"/>
        <v>76.420036369804592</v>
      </c>
      <c r="BA18" s="67">
        <f t="shared" si="3"/>
        <v>237.56590059090303</v>
      </c>
      <c r="BC18">
        <f t="shared" si="4"/>
        <v>38.469882186855564</v>
      </c>
      <c r="BD18">
        <v>1013.2</v>
      </c>
      <c r="BE18">
        <f t="shared" si="5"/>
        <v>31.668891609615997</v>
      </c>
    </row>
    <row r="19" spans="1:57" x14ac:dyDescent="0.2">
      <c r="A19" s="13">
        <v>10</v>
      </c>
      <c r="B19" s="3">
        <v>17</v>
      </c>
      <c r="C19" s="17">
        <v>7</v>
      </c>
      <c r="D19" s="3">
        <v>4</v>
      </c>
      <c r="E19" s="18">
        <v>10</v>
      </c>
      <c r="F19" s="18">
        <v>12</v>
      </c>
      <c r="G19" s="18">
        <v>75</v>
      </c>
      <c r="H19" s="19">
        <v>2</v>
      </c>
      <c r="I19" s="18"/>
      <c r="J19" s="18"/>
      <c r="K19" s="20">
        <v>90</v>
      </c>
      <c r="L19" s="18">
        <v>290</v>
      </c>
      <c r="M19" s="18">
        <v>253</v>
      </c>
      <c r="N19" s="18">
        <v>294</v>
      </c>
      <c r="O19" s="18">
        <v>73</v>
      </c>
      <c r="P19" s="18">
        <v>237</v>
      </c>
      <c r="Q19" s="17">
        <v>2</v>
      </c>
      <c r="R19" s="17">
        <v>4</v>
      </c>
      <c r="S19" s="17">
        <v>0</v>
      </c>
      <c r="T19" s="17">
        <v>1</v>
      </c>
      <c r="U19" s="17">
        <v>2</v>
      </c>
      <c r="V19" s="3">
        <v>8</v>
      </c>
      <c r="W19" s="20">
        <v>60</v>
      </c>
      <c r="X19" s="17">
        <v>8</v>
      </c>
      <c r="Y19" s="17">
        <v>7</v>
      </c>
      <c r="Z19" s="17">
        <v>0</v>
      </c>
      <c r="AA19" s="20">
        <v>900</v>
      </c>
      <c r="AB19" s="3"/>
      <c r="AC19" s="3"/>
      <c r="AD19" s="20"/>
      <c r="AE19" s="3"/>
      <c r="AF19" s="3"/>
      <c r="AG19" s="20"/>
      <c r="AH19" s="107"/>
      <c r="AI19" s="107"/>
      <c r="AJ19" s="107"/>
      <c r="AK19" s="107"/>
      <c r="AL19" s="108"/>
      <c r="AN19" s="67">
        <f t="shared" si="2"/>
        <v>-2.9409544077554983</v>
      </c>
      <c r="AO19" s="67">
        <f t="shared" si="2"/>
        <v>-1.1123559328449915</v>
      </c>
      <c r="AP19" s="67">
        <f t="shared" si="2"/>
        <v>-2.226622817524003</v>
      </c>
      <c r="AY19" s="67">
        <f t="shared" si="0"/>
        <v>296.9409544077555</v>
      </c>
      <c r="AZ19" s="67">
        <f t="shared" si="1"/>
        <v>74.112355932844991</v>
      </c>
      <c r="BA19" s="67">
        <f t="shared" si="3"/>
        <v>239.226622817524</v>
      </c>
      <c r="BC19">
        <f t="shared" si="4"/>
        <v>40.066322365574365</v>
      </c>
      <c r="BD19">
        <v>1013.2</v>
      </c>
      <c r="BE19">
        <f t="shared" si="5"/>
        <v>32.24031769064355</v>
      </c>
    </row>
    <row r="20" spans="1:57" x14ac:dyDescent="0.2">
      <c r="A20" s="13">
        <v>11</v>
      </c>
      <c r="B20" s="3">
        <v>17</v>
      </c>
      <c r="C20" s="17">
        <v>7</v>
      </c>
      <c r="D20" s="3">
        <v>4</v>
      </c>
      <c r="E20" s="18">
        <v>11</v>
      </c>
      <c r="F20" s="18">
        <v>10</v>
      </c>
      <c r="G20" s="18">
        <v>68</v>
      </c>
      <c r="H20" s="19">
        <v>1</v>
      </c>
      <c r="I20" s="18">
        <v>15</v>
      </c>
      <c r="J20" s="18">
        <v>22</v>
      </c>
      <c r="K20" s="20">
        <v>89</v>
      </c>
      <c r="L20" s="18">
        <v>283</v>
      </c>
      <c r="M20" s="18">
        <v>251</v>
      </c>
      <c r="N20" s="18">
        <v>294</v>
      </c>
      <c r="O20" s="18">
        <v>76</v>
      </c>
      <c r="P20" s="18">
        <v>237</v>
      </c>
      <c r="Q20" s="17">
        <v>2</v>
      </c>
      <c r="R20" s="17">
        <v>8</v>
      </c>
      <c r="S20" s="17">
        <v>0</v>
      </c>
      <c r="T20" s="17">
        <v>2</v>
      </c>
      <c r="U20" s="17">
        <v>2</v>
      </c>
      <c r="V20" s="3">
        <v>8</v>
      </c>
      <c r="W20" s="20">
        <v>60</v>
      </c>
      <c r="X20" s="17">
        <v>8</v>
      </c>
      <c r="Y20" s="17">
        <v>7</v>
      </c>
      <c r="Z20" s="17">
        <v>0</v>
      </c>
      <c r="AA20" s="20">
        <v>840</v>
      </c>
      <c r="AB20" s="3"/>
      <c r="AC20" s="3"/>
      <c r="AD20" s="20"/>
      <c r="AE20" s="3"/>
      <c r="AF20" s="3"/>
      <c r="AG20" s="20"/>
      <c r="AH20" s="107" t="s">
        <v>87</v>
      </c>
      <c r="AI20" s="107"/>
      <c r="AJ20" s="107"/>
      <c r="AK20" s="107"/>
      <c r="AL20" s="108"/>
      <c r="AN20" s="67">
        <f t="shared" si="2"/>
        <v>-2.5672810140629281</v>
      </c>
      <c r="AO20" s="67">
        <f t="shared" si="2"/>
        <v>-1.0907692343789961</v>
      </c>
      <c r="AP20" s="67">
        <f t="shared" si="2"/>
        <v>-2.0173453877870031</v>
      </c>
      <c r="AY20" s="67">
        <f t="shared" si="0"/>
        <v>296.56728101406293</v>
      </c>
      <c r="AZ20" s="67">
        <f t="shared" si="1"/>
        <v>77.090769234378996</v>
      </c>
      <c r="BA20" s="67">
        <f t="shared" si="3"/>
        <v>239.017345387787</v>
      </c>
      <c r="BC20">
        <f t="shared" si="4"/>
        <v>38.469882186855564</v>
      </c>
      <c r="BD20">
        <v>1013.2</v>
      </c>
      <c r="BE20">
        <f t="shared" si="5"/>
        <v>31.858374091422295</v>
      </c>
    </row>
    <row r="21" spans="1:57" x14ac:dyDescent="0.2">
      <c r="A21" s="13">
        <v>12</v>
      </c>
      <c r="B21" s="3">
        <v>17</v>
      </c>
      <c r="C21" s="17">
        <v>7</v>
      </c>
      <c r="D21" s="3">
        <v>4</v>
      </c>
      <c r="E21" s="18">
        <v>7</v>
      </c>
      <c r="F21" s="18">
        <v>12</v>
      </c>
      <c r="G21" s="18">
        <v>78</v>
      </c>
      <c r="H21" s="19">
        <v>1</v>
      </c>
      <c r="I21" s="18">
        <v>2</v>
      </c>
      <c r="J21" s="18">
        <v>82</v>
      </c>
      <c r="K21" s="20">
        <v>107</v>
      </c>
      <c r="L21" s="18">
        <v>285</v>
      </c>
      <c r="M21" s="18">
        <v>240</v>
      </c>
      <c r="N21" s="18">
        <v>264</v>
      </c>
      <c r="O21" s="18">
        <v>67</v>
      </c>
      <c r="P21" s="18">
        <v>219</v>
      </c>
      <c r="Q21" s="17">
        <v>3</v>
      </c>
      <c r="R21" s="17">
        <v>8</v>
      </c>
      <c r="S21" s="17">
        <v>4</v>
      </c>
      <c r="T21" s="17">
        <v>2</v>
      </c>
      <c r="U21" s="17">
        <v>1</v>
      </c>
      <c r="V21" s="3">
        <v>8</v>
      </c>
      <c r="W21" s="20">
        <v>63</v>
      </c>
      <c r="X21" s="17">
        <v>8</v>
      </c>
      <c r="Y21" s="17">
        <v>7</v>
      </c>
      <c r="Z21" s="17">
        <v>0</v>
      </c>
      <c r="AA21" s="20">
        <v>840</v>
      </c>
      <c r="AB21" s="3"/>
      <c r="AC21" s="3"/>
      <c r="AD21" s="20"/>
      <c r="AE21" s="3"/>
      <c r="AF21" s="3"/>
      <c r="AG21" s="20"/>
      <c r="AH21" s="107" t="s">
        <v>85</v>
      </c>
      <c r="AI21" s="107"/>
      <c r="AJ21" s="107"/>
      <c r="AK21" s="107"/>
      <c r="AL21" s="108"/>
      <c r="AN21" s="67">
        <f t="shared" si="2"/>
        <v>-3.3538168390206806</v>
      </c>
      <c r="AO21" s="67">
        <f t="shared" si="2"/>
        <v>-1.6927553038560745</v>
      </c>
      <c r="AP21" s="67">
        <f t="shared" si="2"/>
        <v>-2.8940790533817449</v>
      </c>
      <c r="AY21" s="67">
        <f t="shared" si="0"/>
        <v>267.35381683902068</v>
      </c>
      <c r="AZ21" s="67">
        <f t="shared" si="1"/>
        <v>68.692755303856075</v>
      </c>
      <c r="BA21" s="67">
        <f t="shared" si="3"/>
        <v>221.89407905338174</v>
      </c>
      <c r="BC21">
        <f t="shared" si="4"/>
        <v>38.920234842292423</v>
      </c>
      <c r="BD21">
        <v>1013.2</v>
      </c>
      <c r="BE21">
        <f t="shared" si="5"/>
        <v>29.827639714302066</v>
      </c>
    </row>
    <row r="22" spans="1:57" x14ac:dyDescent="0.2">
      <c r="A22" s="13">
        <v>13</v>
      </c>
      <c r="B22" s="3">
        <v>17</v>
      </c>
      <c r="C22" s="17">
        <v>1</v>
      </c>
      <c r="D22" s="3">
        <v>4</v>
      </c>
      <c r="E22" s="18">
        <v>7</v>
      </c>
      <c r="F22" s="18">
        <v>9</v>
      </c>
      <c r="G22" s="18">
        <v>80</v>
      </c>
      <c r="H22" s="19">
        <v>2</v>
      </c>
      <c r="I22" s="18"/>
      <c r="J22" s="18"/>
      <c r="K22" s="20">
        <v>115</v>
      </c>
      <c r="L22" s="18">
        <v>297</v>
      </c>
      <c r="M22" s="18">
        <v>250</v>
      </c>
      <c r="N22" s="18">
        <v>280</v>
      </c>
      <c r="O22" s="18">
        <v>67</v>
      </c>
      <c r="P22" s="18">
        <v>229</v>
      </c>
      <c r="Q22" s="17">
        <v>1</v>
      </c>
      <c r="R22" s="17">
        <v>2</v>
      </c>
      <c r="S22" s="17">
        <v>0</v>
      </c>
      <c r="T22" s="17">
        <v>1</v>
      </c>
      <c r="U22" s="17">
        <v>1</v>
      </c>
      <c r="V22" s="3">
        <v>8</v>
      </c>
      <c r="W22" s="20">
        <v>63</v>
      </c>
      <c r="X22" s="17">
        <v>8</v>
      </c>
      <c r="Y22" s="3"/>
      <c r="Z22" s="3"/>
      <c r="AA22" s="20"/>
      <c r="AB22" s="3"/>
      <c r="AC22" s="3"/>
      <c r="AD22" s="20"/>
      <c r="AE22" s="3"/>
      <c r="AF22" s="3"/>
      <c r="AG22" s="20"/>
      <c r="AH22" s="107"/>
      <c r="AI22" s="107"/>
      <c r="AJ22" s="107"/>
      <c r="AK22" s="107"/>
      <c r="AL22" s="108"/>
      <c r="AN22" s="67">
        <f t="shared" si="2"/>
        <v>-4.3558550061599703</v>
      </c>
      <c r="AO22" s="67">
        <f t="shared" si="2"/>
        <v>-1.1576424839940103</v>
      </c>
      <c r="AP22" s="67">
        <f t="shared" si="2"/>
        <v>-3.0478522102714578</v>
      </c>
      <c r="AY22" s="67">
        <f t="shared" si="0"/>
        <v>284.35585500615997</v>
      </c>
      <c r="AZ22" s="67">
        <f t="shared" si="1"/>
        <v>68.15764248399401</v>
      </c>
      <c r="BA22" s="67">
        <f t="shared" si="3"/>
        <v>232.04785221027146</v>
      </c>
      <c r="BC22">
        <f t="shared" si="4"/>
        <v>41.720318462150075</v>
      </c>
      <c r="BD22">
        <v>1013.2</v>
      </c>
      <c r="BE22">
        <f t="shared" si="5"/>
        <v>31.668891609615997</v>
      </c>
    </row>
    <row r="23" spans="1:57" x14ac:dyDescent="0.2">
      <c r="A23" s="13">
        <v>14</v>
      </c>
      <c r="B23" s="3">
        <v>17</v>
      </c>
      <c r="C23" s="17">
        <v>6</v>
      </c>
      <c r="D23" s="3">
        <v>4</v>
      </c>
      <c r="E23" s="18">
        <v>9</v>
      </c>
      <c r="F23" s="18">
        <v>12</v>
      </c>
      <c r="G23" s="18">
        <v>80</v>
      </c>
      <c r="H23" s="19">
        <v>2</v>
      </c>
      <c r="I23" s="18"/>
      <c r="J23" s="18"/>
      <c r="K23" s="20">
        <v>111</v>
      </c>
      <c r="L23" s="18">
        <v>294</v>
      </c>
      <c r="M23" s="18">
        <v>245</v>
      </c>
      <c r="N23" s="18">
        <v>268</v>
      </c>
      <c r="O23" s="18">
        <v>65</v>
      </c>
      <c r="P23" s="18">
        <v>222</v>
      </c>
      <c r="Q23" s="17">
        <v>1</v>
      </c>
      <c r="R23" s="17">
        <v>2</v>
      </c>
      <c r="S23" s="17">
        <v>0</v>
      </c>
      <c r="T23" s="17">
        <v>2</v>
      </c>
      <c r="U23" s="17">
        <v>1</v>
      </c>
      <c r="V23" s="3">
        <v>8</v>
      </c>
      <c r="W23" s="20">
        <v>63</v>
      </c>
      <c r="X23" s="17">
        <v>8</v>
      </c>
      <c r="Y23" s="17">
        <v>6</v>
      </c>
      <c r="Z23" s="17">
        <v>0</v>
      </c>
      <c r="AA23" s="20">
        <v>840</v>
      </c>
      <c r="AB23" s="3"/>
      <c r="AC23" s="3"/>
      <c r="AD23" s="20"/>
      <c r="AE23" s="3"/>
      <c r="AF23" s="3"/>
      <c r="AG23" s="20"/>
      <c r="AH23" s="107"/>
      <c r="AI23" s="107"/>
      <c r="AJ23" s="107"/>
      <c r="AK23" s="107"/>
      <c r="AL23" s="108"/>
      <c r="AN23" s="67">
        <f t="shared" si="2"/>
        <v>-5.6718832898707205</v>
      </c>
      <c r="AO23" s="67">
        <f t="shared" si="2"/>
        <v>-1.7422326303175453</v>
      </c>
      <c r="AP23" s="67">
        <f t="shared" si="2"/>
        <v>-3.731644838468867</v>
      </c>
      <c r="AY23" s="67">
        <f t="shared" si="0"/>
        <v>273.67188328987072</v>
      </c>
      <c r="AZ23" s="67">
        <f t="shared" si="1"/>
        <v>66.742232630317545</v>
      </c>
      <c r="BA23" s="67">
        <f t="shared" si="3"/>
        <v>225.73164483846887</v>
      </c>
      <c r="BC23">
        <f t="shared" si="4"/>
        <v>41.004304546677048</v>
      </c>
      <c r="BD23">
        <v>1013.2</v>
      </c>
      <c r="BE23">
        <f t="shared" si="5"/>
        <v>30.736197835927069</v>
      </c>
    </row>
    <row r="24" spans="1:57" x14ac:dyDescent="0.2">
      <c r="A24" s="13">
        <v>15</v>
      </c>
      <c r="B24" s="3">
        <v>17</v>
      </c>
      <c r="C24" s="17">
        <v>3</v>
      </c>
      <c r="D24" s="3">
        <v>4</v>
      </c>
      <c r="E24" s="18">
        <v>11</v>
      </c>
      <c r="F24" s="18">
        <v>12</v>
      </c>
      <c r="G24" s="18">
        <v>78</v>
      </c>
      <c r="H24" s="19">
        <v>2</v>
      </c>
      <c r="I24" s="18"/>
      <c r="J24" s="18"/>
      <c r="K24" s="20">
        <v>105</v>
      </c>
      <c r="L24" s="18">
        <v>291</v>
      </c>
      <c r="M24" s="18">
        <v>239</v>
      </c>
      <c r="N24" s="18">
        <v>255</v>
      </c>
      <c r="O24" s="18">
        <v>63</v>
      </c>
      <c r="P24" s="18">
        <v>214</v>
      </c>
      <c r="Q24" s="17">
        <v>1</v>
      </c>
      <c r="R24" s="17">
        <v>2</v>
      </c>
      <c r="S24" s="17">
        <v>0</v>
      </c>
      <c r="T24" s="17">
        <v>1</v>
      </c>
      <c r="U24" s="17">
        <v>1</v>
      </c>
      <c r="V24" s="3">
        <v>8</v>
      </c>
      <c r="W24" s="20">
        <v>63</v>
      </c>
      <c r="X24" s="17">
        <v>8</v>
      </c>
      <c r="Y24" s="3"/>
      <c r="Z24" s="3"/>
      <c r="AA24" s="20"/>
      <c r="AB24" s="3"/>
      <c r="AC24" s="3"/>
      <c r="AD24" s="20"/>
      <c r="AE24" s="3"/>
      <c r="AF24" s="3"/>
      <c r="AG24" s="20"/>
      <c r="AH24" s="107"/>
      <c r="AI24" s="107"/>
      <c r="AJ24" s="107"/>
      <c r="AK24" s="107"/>
      <c r="AL24" s="108"/>
      <c r="AN24" s="67">
        <f t="shared" si="2"/>
        <v>-5.7590136743381208</v>
      </c>
      <c r="AO24" s="67">
        <f t="shared" si="2"/>
        <v>-1.7060056443370968</v>
      </c>
      <c r="AP24" s="67">
        <f t="shared" si="2"/>
        <v>-3.8026844822088037</v>
      </c>
      <c r="AY24" s="67">
        <f t="shared" si="0"/>
        <v>260.75901367433812</v>
      </c>
      <c r="AZ24" s="67">
        <f t="shared" si="1"/>
        <v>64.706005644337097</v>
      </c>
      <c r="BA24" s="67">
        <f t="shared" si="3"/>
        <v>217.8026844822088</v>
      </c>
      <c r="BC24">
        <f t="shared" si="4"/>
        <v>40.299043508824454</v>
      </c>
      <c r="BD24">
        <v>1013.2</v>
      </c>
      <c r="BE24">
        <f t="shared" si="5"/>
        <v>29.648777423897815</v>
      </c>
    </row>
    <row r="25" spans="1:57" x14ac:dyDescent="0.2">
      <c r="A25" s="13">
        <v>16</v>
      </c>
      <c r="B25" s="3">
        <v>17</v>
      </c>
      <c r="C25" s="17">
        <v>6</v>
      </c>
      <c r="D25" s="3">
        <v>4</v>
      </c>
      <c r="E25" s="18">
        <v>8</v>
      </c>
      <c r="F25" s="18">
        <v>12</v>
      </c>
      <c r="G25" s="18">
        <v>68</v>
      </c>
      <c r="H25" s="19">
        <v>1</v>
      </c>
      <c r="I25" s="18">
        <v>15</v>
      </c>
      <c r="J25" s="18">
        <v>22</v>
      </c>
      <c r="K25" s="20">
        <v>120</v>
      </c>
      <c r="L25" s="18">
        <v>293</v>
      </c>
      <c r="M25" s="18">
        <v>255</v>
      </c>
      <c r="N25" s="18">
        <v>296</v>
      </c>
      <c r="O25" s="18">
        <v>73</v>
      </c>
      <c r="P25" s="18">
        <v>239</v>
      </c>
      <c r="Q25" s="17">
        <v>4</v>
      </c>
      <c r="R25" s="17">
        <v>8</v>
      </c>
      <c r="S25" s="17">
        <v>0</v>
      </c>
      <c r="T25" s="17">
        <v>2</v>
      </c>
      <c r="U25" s="17">
        <v>3</v>
      </c>
      <c r="V25" s="3">
        <v>8</v>
      </c>
      <c r="W25" s="20">
        <v>54</v>
      </c>
      <c r="X25" s="17">
        <v>8</v>
      </c>
      <c r="Y25" s="17">
        <v>5</v>
      </c>
      <c r="Z25" s="17">
        <v>0</v>
      </c>
      <c r="AA25" s="20">
        <v>840</v>
      </c>
      <c r="AB25" s="3"/>
      <c r="AC25" s="3"/>
      <c r="AD25" s="20"/>
      <c r="AE25" s="3"/>
      <c r="AF25" s="3"/>
      <c r="AG25" s="20"/>
      <c r="AH25" s="107" t="s">
        <v>100</v>
      </c>
      <c r="AI25" s="107"/>
      <c r="AJ25" s="107"/>
      <c r="AK25" s="107"/>
      <c r="AL25" s="108"/>
      <c r="AN25" s="67">
        <f t="shared" si="2"/>
        <v>-4.1063863129404012</v>
      </c>
      <c r="AO25" s="67">
        <f t="shared" si="2"/>
        <v>-0.61316935087653235</v>
      </c>
      <c r="AP25" s="67">
        <f t="shared" si="2"/>
        <v>-1.9902447492295323</v>
      </c>
      <c r="AY25" s="67">
        <f t="shared" si="0"/>
        <v>300.1063863129404</v>
      </c>
      <c r="AZ25" s="67">
        <f t="shared" si="1"/>
        <v>73.613169350876532</v>
      </c>
      <c r="BA25" s="67">
        <f t="shared" si="3"/>
        <v>240.99024474922953</v>
      </c>
      <c r="BC25">
        <f t="shared" si="4"/>
        <v>40.768029546790189</v>
      </c>
      <c r="BD25">
        <v>1013.2</v>
      </c>
      <c r="BE25">
        <f t="shared" si="5"/>
        <v>32.626262153014039</v>
      </c>
    </row>
    <row r="26" spans="1:57" x14ac:dyDescent="0.2">
      <c r="A26" s="13">
        <v>17</v>
      </c>
      <c r="B26" s="3">
        <v>17</v>
      </c>
      <c r="C26" s="17">
        <v>8</v>
      </c>
      <c r="D26" s="3">
        <v>4</v>
      </c>
      <c r="E26" s="18">
        <v>8</v>
      </c>
      <c r="F26" s="18">
        <v>5</v>
      </c>
      <c r="G26" s="18">
        <v>50</v>
      </c>
      <c r="H26" s="19">
        <v>1</v>
      </c>
      <c r="I26" s="18">
        <v>60</v>
      </c>
      <c r="J26" s="18">
        <v>82</v>
      </c>
      <c r="K26" s="20">
        <v>139</v>
      </c>
      <c r="L26" s="18">
        <v>240</v>
      </c>
      <c r="M26" s="18">
        <v>235</v>
      </c>
      <c r="N26" s="18">
        <v>286</v>
      </c>
      <c r="O26" s="18">
        <v>96</v>
      </c>
      <c r="P26" s="18">
        <v>233</v>
      </c>
      <c r="Q26" s="17">
        <v>8</v>
      </c>
      <c r="R26" s="17">
        <v>8</v>
      </c>
      <c r="S26" s="17" t="s">
        <v>89</v>
      </c>
      <c r="T26" s="17" t="s">
        <v>89</v>
      </c>
      <c r="U26" s="17">
        <v>4</v>
      </c>
      <c r="V26" s="3">
        <v>8</v>
      </c>
      <c r="W26" s="20">
        <v>36</v>
      </c>
      <c r="X26" s="17">
        <v>8</v>
      </c>
      <c r="Y26" s="17">
        <v>6</v>
      </c>
      <c r="Z26" s="17">
        <v>6</v>
      </c>
      <c r="AA26" s="20">
        <v>105</v>
      </c>
      <c r="AB26" s="3"/>
      <c r="AC26" s="3"/>
      <c r="AD26" s="20"/>
      <c r="AE26" s="3"/>
      <c r="AF26" s="3"/>
      <c r="AG26" s="20"/>
      <c r="AH26" s="107" t="s">
        <v>108</v>
      </c>
      <c r="AI26" s="107"/>
      <c r="AJ26" s="107"/>
      <c r="AK26" s="107"/>
      <c r="AL26" s="108"/>
      <c r="AN26" s="67">
        <f t="shared" si="2"/>
        <v>7.062889349924717E-3</v>
      </c>
      <c r="AO26" s="67">
        <f t="shared" si="2"/>
        <v>0.11814684300372846</v>
      </c>
      <c r="AP26" s="67">
        <f t="shared" si="2"/>
        <v>2.7640450888384294E-3</v>
      </c>
      <c r="AY26" s="67">
        <f t="shared" si="0"/>
        <v>285.99293711065008</v>
      </c>
      <c r="AZ26" s="67">
        <f t="shared" si="1"/>
        <v>95.881853156996272</v>
      </c>
      <c r="BA26" s="67">
        <f t="shared" si="3"/>
        <v>232.99723595491116</v>
      </c>
      <c r="BC26">
        <f t="shared" si="4"/>
        <v>29.827639714302066</v>
      </c>
      <c r="BD26">
        <v>1013.2</v>
      </c>
      <c r="BE26">
        <f t="shared" si="5"/>
        <v>28.94268568196501</v>
      </c>
    </row>
    <row r="27" spans="1:57" x14ac:dyDescent="0.2">
      <c r="A27" s="13">
        <v>18</v>
      </c>
      <c r="B27" s="3">
        <v>17</v>
      </c>
      <c r="C27" s="17">
        <v>7</v>
      </c>
      <c r="D27" s="3">
        <v>4</v>
      </c>
      <c r="E27" s="18">
        <v>10</v>
      </c>
      <c r="F27" s="18">
        <v>10</v>
      </c>
      <c r="G27" s="18">
        <v>70</v>
      </c>
      <c r="H27" s="19">
        <v>1</v>
      </c>
      <c r="I27" s="18">
        <v>6</v>
      </c>
      <c r="J27" s="18">
        <v>22</v>
      </c>
      <c r="K27" s="20">
        <v>131</v>
      </c>
      <c r="L27" s="18">
        <v>283</v>
      </c>
      <c r="M27" s="18">
        <v>254</v>
      </c>
      <c r="N27" s="18">
        <v>300</v>
      </c>
      <c r="O27" s="18">
        <v>78</v>
      </c>
      <c r="P27" s="18">
        <v>241</v>
      </c>
      <c r="Q27" s="17">
        <v>7</v>
      </c>
      <c r="R27" s="17">
        <v>4</v>
      </c>
      <c r="S27" s="17">
        <v>0</v>
      </c>
      <c r="T27" s="17">
        <v>2</v>
      </c>
      <c r="U27" s="17">
        <v>2</v>
      </c>
      <c r="V27" s="3">
        <v>8</v>
      </c>
      <c r="W27" s="20">
        <v>54</v>
      </c>
      <c r="X27" s="17">
        <v>8</v>
      </c>
      <c r="Y27" s="17">
        <v>7</v>
      </c>
      <c r="Z27" s="17">
        <v>6</v>
      </c>
      <c r="AA27" s="20">
        <v>120</v>
      </c>
      <c r="AB27" s="3"/>
      <c r="AC27" s="3"/>
      <c r="AD27" s="20"/>
      <c r="AE27" s="3"/>
      <c r="AF27" s="3"/>
      <c r="AG27" s="20"/>
      <c r="AH27" s="107" t="s">
        <v>85</v>
      </c>
      <c r="AI27" s="107"/>
      <c r="AJ27" s="107"/>
      <c r="AK27" s="107"/>
      <c r="AL27" s="108"/>
      <c r="AN27" s="67">
        <f t="shared" si="2"/>
        <v>-4.3687688016005382</v>
      </c>
      <c r="AO27" s="67">
        <f t="shared" si="2"/>
        <v>-1.1187161227121294</v>
      </c>
      <c r="AP27" s="67">
        <f t="shared" si="2"/>
        <v>-2.3394761146380176</v>
      </c>
      <c r="AY27" s="67">
        <f t="shared" si="0"/>
        <v>304.36876880160054</v>
      </c>
      <c r="AZ27" s="67">
        <f t="shared" si="1"/>
        <v>79.118716122712129</v>
      </c>
      <c r="BA27" s="67">
        <f t="shared" si="3"/>
        <v>243.33947611463802</v>
      </c>
      <c r="BC27">
        <f t="shared" si="4"/>
        <v>38.469882186855564</v>
      </c>
      <c r="BD27">
        <v>1013.2</v>
      </c>
      <c r="BE27">
        <f t="shared" si="5"/>
        <v>32.432787604968055</v>
      </c>
    </row>
    <row r="28" spans="1:57" x14ac:dyDescent="0.2">
      <c r="A28" s="13">
        <v>19</v>
      </c>
      <c r="B28" s="3">
        <v>17</v>
      </c>
      <c r="C28" s="17">
        <v>6</v>
      </c>
      <c r="D28" s="3">
        <v>4</v>
      </c>
      <c r="E28" s="18">
        <v>9</v>
      </c>
      <c r="F28" s="18">
        <v>17</v>
      </c>
      <c r="G28" s="18">
        <v>72</v>
      </c>
      <c r="H28" s="19">
        <v>1</v>
      </c>
      <c r="I28" s="18">
        <v>15</v>
      </c>
      <c r="J28" s="18">
        <v>22</v>
      </c>
      <c r="K28" s="20">
        <v>111</v>
      </c>
      <c r="L28" s="18">
        <v>287</v>
      </c>
      <c r="M28" s="18">
        <v>252</v>
      </c>
      <c r="N28" s="18">
        <v>294</v>
      </c>
      <c r="O28" s="18">
        <v>74</v>
      </c>
      <c r="P28" s="18">
        <v>237</v>
      </c>
      <c r="Q28" s="17">
        <v>6</v>
      </c>
      <c r="R28" s="17">
        <v>8</v>
      </c>
      <c r="S28" s="17">
        <v>3</v>
      </c>
      <c r="T28" s="17">
        <v>1</v>
      </c>
      <c r="U28" s="17">
        <v>1</v>
      </c>
      <c r="V28" s="3">
        <v>8</v>
      </c>
      <c r="W28" s="20">
        <v>54</v>
      </c>
      <c r="X28" s="17">
        <v>8</v>
      </c>
      <c r="Y28" s="17">
        <v>5</v>
      </c>
      <c r="Z28" s="17">
        <v>6</v>
      </c>
      <c r="AA28" s="20">
        <v>114</v>
      </c>
      <c r="AB28" s="3"/>
      <c r="AC28" s="3"/>
      <c r="AD28" s="20"/>
      <c r="AE28" s="3"/>
      <c r="AF28" s="3"/>
      <c r="AG28" s="20"/>
      <c r="AH28" s="107" t="s">
        <v>124</v>
      </c>
      <c r="AI28" s="107"/>
      <c r="AJ28" s="107"/>
      <c r="AK28" s="107"/>
      <c r="AL28" s="108"/>
      <c r="AN28" s="67">
        <f t="shared" si="2"/>
        <v>-2.4052853004658914</v>
      </c>
      <c r="AO28" s="67">
        <f t="shared" si="2"/>
        <v>-1.2771768600520801</v>
      </c>
      <c r="AP28" s="67">
        <f t="shared" si="2"/>
        <v>-1.9265472155224757</v>
      </c>
      <c r="AY28" s="67">
        <f t="shared" si="0"/>
        <v>296.40528530046589</v>
      </c>
      <c r="AZ28" s="67">
        <f t="shared" si="1"/>
        <v>75.27717686005208</v>
      </c>
      <c r="BA28" s="67">
        <f t="shared" si="3"/>
        <v>238.92654721552248</v>
      </c>
      <c r="BC28">
        <f t="shared" si="4"/>
        <v>39.375186167184964</v>
      </c>
      <c r="BD28">
        <v>1013.2</v>
      </c>
      <c r="BE28">
        <f t="shared" si="5"/>
        <v>32.048847988206589</v>
      </c>
    </row>
    <row r="29" spans="1:57" x14ac:dyDescent="0.2">
      <c r="A29" s="13">
        <v>20</v>
      </c>
      <c r="B29" s="3">
        <v>17</v>
      </c>
      <c r="C29" s="17">
        <v>8</v>
      </c>
      <c r="D29" s="3">
        <v>4</v>
      </c>
      <c r="E29" s="18">
        <v>12</v>
      </c>
      <c r="F29" s="18">
        <v>14</v>
      </c>
      <c r="G29" s="18">
        <v>40</v>
      </c>
      <c r="H29" s="19">
        <v>1</v>
      </c>
      <c r="I29" s="18">
        <v>80</v>
      </c>
      <c r="J29" s="18">
        <v>82</v>
      </c>
      <c r="K29" s="20">
        <v>107</v>
      </c>
      <c r="L29" s="18">
        <v>270</v>
      </c>
      <c r="M29" s="18">
        <v>255</v>
      </c>
      <c r="N29" s="18">
        <v>315</v>
      </c>
      <c r="O29" s="18">
        <v>89</v>
      </c>
      <c r="P29" s="18">
        <v>249</v>
      </c>
      <c r="Q29" s="17">
        <v>7</v>
      </c>
      <c r="R29" s="17">
        <v>8</v>
      </c>
      <c r="S29" s="17">
        <v>7</v>
      </c>
      <c r="T29" s="17" t="s">
        <v>89</v>
      </c>
      <c r="U29" s="17">
        <v>7</v>
      </c>
      <c r="V29" s="3">
        <v>8</v>
      </c>
      <c r="W29" s="20">
        <v>45</v>
      </c>
      <c r="X29" s="17">
        <v>8</v>
      </c>
      <c r="Y29" s="17">
        <v>7</v>
      </c>
      <c r="Z29" s="17">
        <v>4</v>
      </c>
      <c r="AA29" s="20">
        <v>240</v>
      </c>
      <c r="AB29" s="3"/>
      <c r="AC29" s="3"/>
      <c r="AD29" s="20"/>
      <c r="AE29" s="3"/>
      <c r="AF29" s="3"/>
      <c r="AG29" s="20"/>
      <c r="AH29" s="107" t="s">
        <v>132</v>
      </c>
      <c r="AI29" s="107"/>
      <c r="AJ29" s="107"/>
      <c r="AK29" s="107"/>
      <c r="AL29" s="108"/>
      <c r="AN29" s="67">
        <f t="shared" si="2"/>
        <v>-0.93779183914034547</v>
      </c>
      <c r="AO29" s="67">
        <f t="shared" si="2"/>
        <v>0.38284877655003413</v>
      </c>
      <c r="AP29" s="67">
        <f t="shared" si="2"/>
        <v>-0.57360955103379752</v>
      </c>
      <c r="AY29" s="67">
        <f t="shared" si="0"/>
        <v>315.93779183914035</v>
      </c>
      <c r="AZ29" s="67">
        <f t="shared" si="1"/>
        <v>88.617151223449966</v>
      </c>
      <c r="BA29" s="67">
        <f t="shared" si="3"/>
        <v>249.5736095510338</v>
      </c>
      <c r="BC29">
        <f t="shared" si="4"/>
        <v>35.651991457330503</v>
      </c>
      <c r="BD29">
        <v>1013.2</v>
      </c>
      <c r="BE29">
        <f t="shared" si="5"/>
        <v>32.626262153014039</v>
      </c>
    </row>
    <row r="30" spans="1:57" x14ac:dyDescent="0.2">
      <c r="A30" s="13">
        <v>21</v>
      </c>
      <c r="B30" s="3">
        <v>17</v>
      </c>
      <c r="C30" s="17">
        <v>6</v>
      </c>
      <c r="D30" s="3">
        <v>4</v>
      </c>
      <c r="E30" s="18">
        <v>11</v>
      </c>
      <c r="F30" s="18">
        <v>13</v>
      </c>
      <c r="G30" s="18">
        <v>78</v>
      </c>
      <c r="H30" s="19">
        <v>2</v>
      </c>
      <c r="I30" s="18"/>
      <c r="J30" s="18"/>
      <c r="K30" s="20">
        <v>109</v>
      </c>
      <c r="L30" s="18">
        <v>285</v>
      </c>
      <c r="M30" s="18">
        <v>255</v>
      </c>
      <c r="N30" s="18">
        <v>302</v>
      </c>
      <c r="O30" s="18">
        <v>77</v>
      </c>
      <c r="P30" s="18">
        <v>242</v>
      </c>
      <c r="Q30" s="17">
        <v>1</v>
      </c>
      <c r="R30" s="17">
        <v>8</v>
      </c>
      <c r="S30" s="17">
        <v>3</v>
      </c>
      <c r="T30" s="17">
        <v>2</v>
      </c>
      <c r="U30" s="17">
        <v>1</v>
      </c>
      <c r="V30" s="3">
        <v>8</v>
      </c>
      <c r="W30" s="20">
        <v>69</v>
      </c>
      <c r="X30" s="17">
        <v>8</v>
      </c>
      <c r="Y30" s="17">
        <v>6</v>
      </c>
      <c r="Z30" s="17">
        <v>0</v>
      </c>
      <c r="AA30" s="20">
        <v>840</v>
      </c>
      <c r="AB30" s="3"/>
      <c r="AC30" s="3"/>
      <c r="AD30" s="20"/>
      <c r="AE30" s="3"/>
      <c r="AF30" s="3"/>
      <c r="AG30" s="20"/>
      <c r="AH30" s="107"/>
      <c r="AI30" s="107"/>
      <c r="AJ30" s="107"/>
      <c r="AK30" s="107"/>
      <c r="AL30" s="108"/>
      <c r="AN30" s="67">
        <f t="shared" si="2"/>
        <v>-3.6129621481404115</v>
      </c>
      <c r="AO30" s="67">
        <f t="shared" si="2"/>
        <v>-1.5228977642365322</v>
      </c>
      <c r="AP30" s="67">
        <f t="shared" si="2"/>
        <v>-2.0197873967282476</v>
      </c>
      <c r="AY30" s="67">
        <f t="shared" si="0"/>
        <v>305.61296214814041</v>
      </c>
      <c r="AZ30" s="67">
        <f t="shared" si="1"/>
        <v>78.522897764236532</v>
      </c>
      <c r="BA30" s="67">
        <f t="shared" si="3"/>
        <v>244.01978739672825</v>
      </c>
      <c r="BC30">
        <f t="shared" si="4"/>
        <v>38.920234842292423</v>
      </c>
      <c r="BD30">
        <v>1013.2</v>
      </c>
      <c r="BE30">
        <f t="shared" si="5"/>
        <v>32.626262153014039</v>
      </c>
    </row>
    <row r="31" spans="1:57" x14ac:dyDescent="0.2">
      <c r="A31" s="13">
        <v>22</v>
      </c>
      <c r="B31" s="3">
        <v>17</v>
      </c>
      <c r="C31" s="17">
        <v>7</v>
      </c>
      <c r="D31" s="3">
        <v>4</v>
      </c>
      <c r="E31" s="18">
        <v>7</v>
      </c>
      <c r="F31" s="18">
        <v>14</v>
      </c>
      <c r="G31" s="18">
        <v>70</v>
      </c>
      <c r="H31" s="19">
        <v>1</v>
      </c>
      <c r="I31" s="18">
        <v>5</v>
      </c>
      <c r="J31" s="18">
        <v>22</v>
      </c>
      <c r="K31" s="20">
        <v>115</v>
      </c>
      <c r="L31" s="18">
        <v>283</v>
      </c>
      <c r="M31" s="18">
        <v>245</v>
      </c>
      <c r="N31" s="18">
        <v>278</v>
      </c>
      <c r="O31" s="18">
        <v>72</v>
      </c>
      <c r="P31" s="18">
        <v>228</v>
      </c>
      <c r="Q31" s="17">
        <v>7</v>
      </c>
      <c r="R31" s="17">
        <v>8</v>
      </c>
      <c r="S31" s="17">
        <v>3</v>
      </c>
      <c r="T31" s="17">
        <v>0</v>
      </c>
      <c r="U31" s="17">
        <v>1</v>
      </c>
      <c r="V31" s="3">
        <v>8</v>
      </c>
      <c r="W31" s="20">
        <v>54</v>
      </c>
      <c r="X31" s="17">
        <v>8</v>
      </c>
      <c r="Y31" s="17">
        <v>7</v>
      </c>
      <c r="Z31" s="17">
        <v>6</v>
      </c>
      <c r="AA31" s="20">
        <v>120</v>
      </c>
      <c r="AB31" s="3"/>
      <c r="AC31" s="3"/>
      <c r="AD31" s="20"/>
      <c r="AE31" s="3"/>
      <c r="AF31" s="3"/>
      <c r="AG31" s="20"/>
      <c r="AH31" s="107" t="s">
        <v>85</v>
      </c>
      <c r="AI31" s="107"/>
      <c r="AJ31" s="107"/>
      <c r="AK31" s="107"/>
      <c r="AL31" s="108"/>
      <c r="AN31" s="67">
        <f t="shared" si="2"/>
        <v>-3.2349658564706942</v>
      </c>
      <c r="AO31" s="67">
        <f t="shared" si="2"/>
        <v>-1.1052319033520206</v>
      </c>
      <c r="AP31" s="67">
        <f t="shared" si="2"/>
        <v>-2.2246304097158998</v>
      </c>
      <c r="AY31" s="67">
        <f t="shared" si="0"/>
        <v>281.23496585647069</v>
      </c>
      <c r="AZ31" s="67">
        <f t="shared" si="1"/>
        <v>73.105231903352021</v>
      </c>
      <c r="BA31" s="67">
        <f t="shared" si="3"/>
        <v>230.2246304097159</v>
      </c>
      <c r="BC31">
        <f t="shared" si="4"/>
        <v>38.469882186855564</v>
      </c>
      <c r="BD31">
        <v>1013.2</v>
      </c>
      <c r="BE31">
        <f t="shared" si="5"/>
        <v>30.736197835927069</v>
      </c>
    </row>
    <row r="32" spans="1:57" x14ac:dyDescent="0.2">
      <c r="A32" s="13">
        <v>23</v>
      </c>
      <c r="B32" s="3">
        <v>17</v>
      </c>
      <c r="C32" s="17">
        <v>7</v>
      </c>
      <c r="D32" s="3">
        <v>4</v>
      </c>
      <c r="E32" s="18">
        <v>0</v>
      </c>
      <c r="F32" s="18">
        <v>0</v>
      </c>
      <c r="G32" s="18">
        <v>80</v>
      </c>
      <c r="H32" s="19">
        <v>2</v>
      </c>
      <c r="I32" s="18"/>
      <c r="J32" s="18"/>
      <c r="K32" s="20">
        <v>106</v>
      </c>
      <c r="L32" s="18">
        <v>294</v>
      </c>
      <c r="M32" s="18">
        <v>255</v>
      </c>
      <c r="N32" s="18">
        <v>296</v>
      </c>
      <c r="O32" s="18">
        <v>72</v>
      </c>
      <c r="P32" s="18">
        <v>238</v>
      </c>
      <c r="Q32" s="17">
        <v>2</v>
      </c>
      <c r="R32" s="17">
        <v>8</v>
      </c>
      <c r="S32" s="17">
        <v>0</v>
      </c>
      <c r="T32" s="17">
        <v>2</v>
      </c>
      <c r="U32" s="17">
        <v>2</v>
      </c>
      <c r="V32" s="3">
        <v>8</v>
      </c>
      <c r="W32" s="20">
        <v>60</v>
      </c>
      <c r="X32" s="17">
        <v>8</v>
      </c>
      <c r="Y32" s="17">
        <v>7</v>
      </c>
      <c r="Z32" s="17">
        <v>0</v>
      </c>
      <c r="AA32" s="20">
        <v>870</v>
      </c>
      <c r="AB32" s="3"/>
      <c r="AC32" s="3"/>
      <c r="AD32" s="20"/>
      <c r="AE32" s="3"/>
      <c r="AF32" s="3"/>
      <c r="AG32" s="20"/>
      <c r="AH32" s="107"/>
      <c r="AI32" s="107"/>
      <c r="AJ32" s="107"/>
      <c r="AK32" s="107"/>
      <c r="AL32" s="108"/>
      <c r="AN32" s="67">
        <f t="shared" si="2"/>
        <v>-3.4180643335403715</v>
      </c>
      <c r="AO32" s="67">
        <f t="shared" si="2"/>
        <v>-1.0211297676563049</v>
      </c>
      <c r="AP32" s="67">
        <f t="shared" si="2"/>
        <v>-2.6081364741032189</v>
      </c>
      <c r="AY32" s="67">
        <f t="shared" si="0"/>
        <v>299.41806433354037</v>
      </c>
      <c r="AZ32" s="67">
        <f t="shared" si="1"/>
        <v>73.021129767656305</v>
      </c>
      <c r="BA32" s="67">
        <f t="shared" si="3"/>
        <v>240.60813647410322</v>
      </c>
      <c r="BC32">
        <f t="shared" si="4"/>
        <v>41.004304546677048</v>
      </c>
      <c r="BD32">
        <v>1013.2</v>
      </c>
      <c r="BE32">
        <f t="shared" si="5"/>
        <v>32.626262153014039</v>
      </c>
    </row>
    <row r="33" spans="1:57" x14ac:dyDescent="0.2">
      <c r="A33" s="13">
        <v>24</v>
      </c>
      <c r="B33" s="3">
        <v>17</v>
      </c>
      <c r="C33" s="17">
        <v>7</v>
      </c>
      <c r="D33" s="3">
        <v>4</v>
      </c>
      <c r="E33" s="18">
        <v>0</v>
      </c>
      <c r="F33" s="18">
        <v>0</v>
      </c>
      <c r="G33" s="18">
        <v>60</v>
      </c>
      <c r="H33" s="19">
        <v>1</v>
      </c>
      <c r="I33" s="18">
        <v>15</v>
      </c>
      <c r="J33" s="18">
        <v>86</v>
      </c>
      <c r="K33" s="20">
        <v>103</v>
      </c>
      <c r="L33" s="18">
        <v>267</v>
      </c>
      <c r="M33" s="18">
        <v>245</v>
      </c>
      <c r="N33" s="18">
        <v>290</v>
      </c>
      <c r="O33" s="18">
        <v>82</v>
      </c>
      <c r="P33" s="18">
        <v>235</v>
      </c>
      <c r="Q33" s="17">
        <v>7</v>
      </c>
      <c r="R33" s="17">
        <v>8</v>
      </c>
      <c r="S33" s="17" t="s">
        <v>89</v>
      </c>
      <c r="T33" s="17" t="s">
        <v>89</v>
      </c>
      <c r="U33" s="17">
        <v>3</v>
      </c>
      <c r="V33" s="3">
        <v>8</v>
      </c>
      <c r="W33" s="20">
        <v>51</v>
      </c>
      <c r="X33" s="17">
        <v>8</v>
      </c>
      <c r="Y33" s="17">
        <v>7</v>
      </c>
      <c r="Z33" s="17">
        <v>6</v>
      </c>
      <c r="AA33" s="20">
        <v>114</v>
      </c>
      <c r="AB33" s="3"/>
      <c r="AC33" s="3"/>
      <c r="AD33" s="20"/>
      <c r="AE33" s="3"/>
      <c r="AF33" s="3"/>
      <c r="AG33" s="20"/>
      <c r="AH33" s="107" t="s">
        <v>156</v>
      </c>
      <c r="AI33" s="107"/>
      <c r="AJ33" s="107"/>
      <c r="AK33" s="107"/>
      <c r="AL33" s="108"/>
      <c r="AN33" s="67">
        <f t="shared" si="2"/>
        <v>-2.2358132260706611</v>
      </c>
      <c r="AO33" s="67">
        <f t="shared" si="2"/>
        <v>-1.4293243357990804</v>
      </c>
      <c r="AP33" s="67">
        <f t="shared" si="2"/>
        <v>-1.5744839872939735</v>
      </c>
      <c r="AY33" s="67">
        <f t="shared" si="0"/>
        <v>292.23581322607066</v>
      </c>
      <c r="AZ33" s="67">
        <f t="shared" si="1"/>
        <v>83.42932433579908</v>
      </c>
      <c r="BA33" s="67">
        <f t="shared" si="3"/>
        <v>236.57448398729397</v>
      </c>
      <c r="BC33">
        <f t="shared" si="4"/>
        <v>35.027949171664794</v>
      </c>
      <c r="BD33">
        <v>1013.2</v>
      </c>
      <c r="BE33">
        <f t="shared" si="5"/>
        <v>30.736197835927069</v>
      </c>
    </row>
    <row r="34" spans="1:57" x14ac:dyDescent="0.2">
      <c r="A34" s="13">
        <v>25</v>
      </c>
      <c r="B34" s="3">
        <v>17</v>
      </c>
      <c r="C34" s="17">
        <v>7</v>
      </c>
      <c r="D34" s="3">
        <v>4</v>
      </c>
      <c r="E34" s="18">
        <v>8</v>
      </c>
      <c r="F34" s="18">
        <v>9</v>
      </c>
      <c r="G34" s="18">
        <v>76</v>
      </c>
      <c r="H34" s="19">
        <v>2</v>
      </c>
      <c r="I34" s="18"/>
      <c r="J34" s="18"/>
      <c r="K34" s="20">
        <v>118</v>
      </c>
      <c r="L34" s="18">
        <v>278</v>
      </c>
      <c r="M34" s="18">
        <v>237</v>
      </c>
      <c r="N34" s="18">
        <v>260</v>
      </c>
      <c r="O34" s="18">
        <v>69</v>
      </c>
      <c r="P34" s="18">
        <v>217</v>
      </c>
      <c r="Q34" s="17">
        <v>7</v>
      </c>
      <c r="R34" s="17">
        <v>8</v>
      </c>
      <c r="S34" s="17">
        <v>0</v>
      </c>
      <c r="T34" s="17">
        <v>2</v>
      </c>
      <c r="U34" s="17">
        <v>2</v>
      </c>
      <c r="V34" s="3">
        <v>8</v>
      </c>
      <c r="W34" s="20">
        <v>54</v>
      </c>
      <c r="X34" s="17">
        <v>8</v>
      </c>
      <c r="Y34" s="17">
        <v>7</v>
      </c>
      <c r="Z34" s="17">
        <v>6</v>
      </c>
      <c r="AA34" s="20">
        <f>45*3</f>
        <v>135</v>
      </c>
      <c r="AB34" s="3"/>
      <c r="AC34" s="3"/>
      <c r="AD34" s="20"/>
      <c r="AE34" s="3"/>
      <c r="AF34" s="3"/>
      <c r="AG34" s="20"/>
      <c r="AH34" s="107"/>
      <c r="AI34" s="107"/>
      <c r="AJ34" s="107"/>
      <c r="AK34" s="107"/>
      <c r="AL34" s="108"/>
      <c r="AN34" s="67">
        <f t="shared" si="2"/>
        <v>-4.7742367354745738</v>
      </c>
      <c r="AO34" s="67">
        <f t="shared" si="2"/>
        <v>-1.8637225081038338</v>
      </c>
      <c r="AP34" s="67">
        <f t="shared" si="2"/>
        <v>-3.3043639659835833</v>
      </c>
      <c r="AY34" s="67">
        <f t="shared" si="0"/>
        <v>264.77423673547457</v>
      </c>
      <c r="AZ34" s="67">
        <f t="shared" si="1"/>
        <v>70.863722508103834</v>
      </c>
      <c r="BA34" s="67">
        <f t="shared" si="3"/>
        <v>220.30436396598358</v>
      </c>
      <c r="BC34">
        <f t="shared" si="4"/>
        <v>37.363862264672235</v>
      </c>
      <c r="BD34">
        <v>1013.2</v>
      </c>
      <c r="BE34">
        <f t="shared" si="5"/>
        <v>29.293868430343458</v>
      </c>
    </row>
    <row r="35" spans="1:57" x14ac:dyDescent="0.2">
      <c r="A35" s="13">
        <v>26</v>
      </c>
      <c r="B35" s="3">
        <v>17</v>
      </c>
      <c r="C35" s="17">
        <v>7</v>
      </c>
      <c r="D35" s="3">
        <v>4</v>
      </c>
      <c r="E35" s="18">
        <v>9</v>
      </c>
      <c r="F35" s="18">
        <v>8</v>
      </c>
      <c r="G35" s="18">
        <v>72</v>
      </c>
      <c r="H35" s="19">
        <v>1</v>
      </c>
      <c r="I35" s="18">
        <v>5</v>
      </c>
      <c r="J35" s="18">
        <v>82</v>
      </c>
      <c r="K35" s="20">
        <v>120</v>
      </c>
      <c r="L35" s="18">
        <v>272</v>
      </c>
      <c r="M35" s="18">
        <v>247</v>
      </c>
      <c r="N35" s="18">
        <v>292</v>
      </c>
      <c r="O35" s="18">
        <v>81</v>
      </c>
      <c r="P35" s="18">
        <v>236</v>
      </c>
      <c r="Q35" s="17">
        <v>5</v>
      </c>
      <c r="R35" s="17">
        <v>8</v>
      </c>
      <c r="S35" s="17">
        <v>6</v>
      </c>
      <c r="T35" s="17">
        <v>3</v>
      </c>
      <c r="U35" s="17">
        <v>1</v>
      </c>
      <c r="V35" s="3">
        <v>8</v>
      </c>
      <c r="W35" s="20">
        <v>48</v>
      </c>
      <c r="X35" s="17">
        <v>8</v>
      </c>
      <c r="Y35" s="17">
        <v>4</v>
      </c>
      <c r="Z35" s="17">
        <v>6</v>
      </c>
      <c r="AA35" s="20">
        <v>114</v>
      </c>
      <c r="AB35" s="3"/>
      <c r="AC35" s="3"/>
      <c r="AD35" s="20"/>
      <c r="AE35" s="3"/>
      <c r="AF35" s="3"/>
      <c r="AG35" s="20"/>
      <c r="AH35" s="107" t="s">
        <v>176</v>
      </c>
      <c r="AI35" s="107"/>
      <c r="AJ35" s="107"/>
      <c r="AK35" s="107"/>
      <c r="AL35" s="108"/>
      <c r="AN35" s="67">
        <f t="shared" si="2"/>
        <v>-1.8708206899901825</v>
      </c>
      <c r="AO35" s="67">
        <f t="shared" si="2"/>
        <v>-0.46468706765890033</v>
      </c>
      <c r="AP35" s="67">
        <f t="shared" si="2"/>
        <v>-1.500298019494096</v>
      </c>
      <c r="AY35" s="67">
        <f t="shared" si="0"/>
        <v>293.87082068999018</v>
      </c>
      <c r="AZ35" s="67">
        <f t="shared" si="1"/>
        <v>81.4646870676589</v>
      </c>
      <c r="BA35" s="67">
        <f t="shared" si="3"/>
        <v>237.5002980194941</v>
      </c>
      <c r="BC35">
        <f t="shared" si="4"/>
        <v>36.073399563411016</v>
      </c>
      <c r="BD35">
        <v>1013.2</v>
      </c>
      <c r="BE35">
        <f t="shared" si="5"/>
        <v>31.106348979899021</v>
      </c>
    </row>
    <row r="36" spans="1:57" x14ac:dyDescent="0.2">
      <c r="A36" s="13">
        <v>27</v>
      </c>
      <c r="B36" s="3">
        <v>17</v>
      </c>
      <c r="C36" s="17">
        <v>7</v>
      </c>
      <c r="D36" s="3">
        <v>4</v>
      </c>
      <c r="E36" s="18">
        <v>7</v>
      </c>
      <c r="F36" s="18">
        <v>13</v>
      </c>
      <c r="G36" s="18">
        <v>59</v>
      </c>
      <c r="H36" s="19">
        <v>1</v>
      </c>
      <c r="I36" s="18">
        <v>15</v>
      </c>
      <c r="J36" s="18">
        <v>82</v>
      </c>
      <c r="K36" s="20">
        <v>119</v>
      </c>
      <c r="L36" s="18">
        <v>278</v>
      </c>
      <c r="M36" s="18">
        <v>252</v>
      </c>
      <c r="N36" s="18">
        <v>300</v>
      </c>
      <c r="O36" s="18">
        <v>80</v>
      </c>
      <c r="P36" s="18">
        <v>241</v>
      </c>
      <c r="Q36" s="17">
        <v>4</v>
      </c>
      <c r="R36" s="17">
        <v>8</v>
      </c>
      <c r="S36" s="17">
        <v>4</v>
      </c>
      <c r="T36" s="17">
        <v>1</v>
      </c>
      <c r="U36" s="17">
        <v>2</v>
      </c>
      <c r="V36" s="3">
        <v>8</v>
      </c>
      <c r="W36" s="20">
        <v>48</v>
      </c>
      <c r="X36" s="17">
        <v>8</v>
      </c>
      <c r="Y36" s="17">
        <v>3</v>
      </c>
      <c r="Z36" s="17">
        <v>6</v>
      </c>
      <c r="AA36" s="20">
        <v>105</v>
      </c>
      <c r="AB36" s="17">
        <v>6</v>
      </c>
      <c r="AC36" s="17">
        <v>0</v>
      </c>
      <c r="AD36" s="20">
        <v>840</v>
      </c>
      <c r="AE36" s="3"/>
      <c r="AF36" s="3"/>
      <c r="AG36" s="20"/>
      <c r="AH36" s="107" t="s">
        <v>90</v>
      </c>
      <c r="AI36" s="107"/>
      <c r="AJ36" s="107"/>
      <c r="AK36" s="107"/>
      <c r="AL36" s="108"/>
      <c r="AN36" s="67">
        <f t="shared" si="2"/>
        <v>-2.5981067643058964</v>
      </c>
      <c r="AO36" s="67">
        <f t="shared" si="2"/>
        <v>-0.98683819697470199</v>
      </c>
      <c r="AP36" s="67">
        <f t="shared" si="2"/>
        <v>-1.3670873305231908</v>
      </c>
      <c r="AY36" s="67">
        <f t="shared" si="0"/>
        <v>302.5981067643059</v>
      </c>
      <c r="AZ36" s="67">
        <f t="shared" si="1"/>
        <v>80.986838196974702</v>
      </c>
      <c r="BA36" s="67">
        <f t="shared" si="3"/>
        <v>242.36708733052319</v>
      </c>
      <c r="BC36">
        <f t="shared" si="4"/>
        <v>37.363862264672235</v>
      </c>
      <c r="BD36">
        <v>1013.2</v>
      </c>
      <c r="BE36">
        <f t="shared" si="5"/>
        <v>32.048847988206589</v>
      </c>
    </row>
    <row r="37" spans="1:57" x14ac:dyDescent="0.2">
      <c r="A37" s="13">
        <v>28</v>
      </c>
      <c r="B37" s="3">
        <v>17</v>
      </c>
      <c r="C37" s="17">
        <v>4</v>
      </c>
      <c r="D37" s="3">
        <v>4</v>
      </c>
      <c r="E37" s="18">
        <v>8</v>
      </c>
      <c r="F37" s="18">
        <v>13</v>
      </c>
      <c r="G37" s="18">
        <v>68</v>
      </c>
      <c r="H37" s="19">
        <v>1</v>
      </c>
      <c r="I37" s="18">
        <v>5</v>
      </c>
      <c r="J37" s="18">
        <v>11</v>
      </c>
      <c r="K37" s="20">
        <v>129</v>
      </c>
      <c r="L37" s="18">
        <v>284</v>
      </c>
      <c r="M37" s="18">
        <v>257</v>
      </c>
      <c r="N37" s="18">
        <v>307</v>
      </c>
      <c r="O37" s="18">
        <v>79</v>
      </c>
      <c r="P37" s="18">
        <v>245</v>
      </c>
      <c r="Q37" s="17">
        <v>3</v>
      </c>
      <c r="R37" s="17">
        <v>8</v>
      </c>
      <c r="S37" s="17">
        <v>4</v>
      </c>
      <c r="T37" s="17">
        <v>2</v>
      </c>
      <c r="U37" s="17">
        <v>2</v>
      </c>
      <c r="V37" s="3">
        <v>8</v>
      </c>
      <c r="W37" s="20">
        <v>63</v>
      </c>
      <c r="X37" s="17">
        <v>8</v>
      </c>
      <c r="Y37" s="3"/>
      <c r="Z37" s="3"/>
      <c r="AA37" s="20"/>
      <c r="AB37" s="3"/>
      <c r="AC37" s="3"/>
      <c r="AD37" s="20"/>
      <c r="AE37" s="3"/>
      <c r="AF37" s="3"/>
      <c r="AG37" s="20"/>
      <c r="AH37" s="107" t="s">
        <v>85</v>
      </c>
      <c r="AI37" s="107"/>
      <c r="AJ37" s="107"/>
      <c r="AK37" s="107"/>
      <c r="AL37" s="108"/>
      <c r="AN37" s="67">
        <f t="shared" si="2"/>
        <v>-4.5735830130547015</v>
      </c>
      <c r="AO37" s="67">
        <f t="shared" si="2"/>
        <v>-1.52144221305619</v>
      </c>
      <c r="AP37" s="67">
        <f t="shared" si="2"/>
        <v>-2.2457365478078657</v>
      </c>
      <c r="AY37" s="67">
        <f t="shared" si="0"/>
        <v>311.5735830130547</v>
      </c>
      <c r="AZ37" s="67">
        <f t="shared" si="1"/>
        <v>80.52144221305619</v>
      </c>
      <c r="BA37" s="67">
        <f t="shared" si="3"/>
        <v>247.24573654780787</v>
      </c>
      <c r="BC37">
        <f t="shared" si="4"/>
        <v>38.694486145521928</v>
      </c>
      <c r="BD37">
        <v>1013.2</v>
      </c>
      <c r="BE37">
        <f t="shared" si="5"/>
        <v>33.016242915837466</v>
      </c>
    </row>
    <row r="38" spans="1:57" x14ac:dyDescent="0.2">
      <c r="A38" s="13">
        <v>29</v>
      </c>
      <c r="B38" s="3">
        <v>17</v>
      </c>
      <c r="C38" s="17">
        <v>6</v>
      </c>
      <c r="D38" s="3">
        <v>4</v>
      </c>
      <c r="E38" s="18">
        <v>6</v>
      </c>
      <c r="F38" s="18">
        <v>14</v>
      </c>
      <c r="G38" s="18">
        <v>57</v>
      </c>
      <c r="H38" s="19">
        <v>1</v>
      </c>
      <c r="I38" s="18">
        <v>25</v>
      </c>
      <c r="J38" s="18">
        <v>82</v>
      </c>
      <c r="K38" s="20">
        <v>125</v>
      </c>
      <c r="L38" s="18">
        <v>255</v>
      </c>
      <c r="M38" s="18">
        <v>240</v>
      </c>
      <c r="N38" s="18">
        <v>287</v>
      </c>
      <c r="O38" s="18">
        <v>88</v>
      </c>
      <c r="P38" s="18">
        <v>233</v>
      </c>
      <c r="Q38" s="17">
        <v>6</v>
      </c>
      <c r="R38" s="17">
        <v>8</v>
      </c>
      <c r="S38" s="17" t="s">
        <v>89</v>
      </c>
      <c r="T38" s="17" t="s">
        <v>89</v>
      </c>
      <c r="U38" s="17">
        <v>3</v>
      </c>
      <c r="V38" s="3">
        <v>8</v>
      </c>
      <c r="W38" s="20">
        <v>51</v>
      </c>
      <c r="X38" s="17">
        <v>8</v>
      </c>
      <c r="Y38" s="17">
        <v>6</v>
      </c>
      <c r="Z38" s="17">
        <v>6</v>
      </c>
      <c r="AA38" s="20">
        <v>105</v>
      </c>
      <c r="AB38" s="3"/>
      <c r="AC38" s="3"/>
      <c r="AD38" s="20"/>
      <c r="AE38" s="3"/>
      <c r="AF38" s="3"/>
      <c r="AG38" s="20"/>
      <c r="AH38" s="107" t="s">
        <v>210</v>
      </c>
      <c r="AI38" s="107"/>
      <c r="AJ38" s="107"/>
      <c r="AK38" s="107"/>
      <c r="AL38" s="108"/>
      <c r="AN38" s="67">
        <f t="shared" si="2"/>
        <v>-0.96887037502068551</v>
      </c>
      <c r="AO38" s="67">
        <f t="shared" si="2"/>
        <v>-0.26290582245501071</v>
      </c>
      <c r="AP38" s="67">
        <f t="shared" si="2"/>
        <v>-1.13680772947896</v>
      </c>
      <c r="AY38" s="67">
        <f t="shared" si="0"/>
        <v>287.96887037502069</v>
      </c>
      <c r="AZ38" s="67">
        <f t="shared" si="1"/>
        <v>88.262905822455011</v>
      </c>
      <c r="BA38" s="67">
        <f t="shared" si="3"/>
        <v>234.13680772947896</v>
      </c>
      <c r="BC38">
        <f t="shared" si="4"/>
        <v>32.626262153014039</v>
      </c>
      <c r="BD38">
        <v>1013.2</v>
      </c>
      <c r="BE38">
        <f t="shared" si="5"/>
        <v>29.827639714302066</v>
      </c>
    </row>
    <row r="39" spans="1:57" x14ac:dyDescent="0.2">
      <c r="A39" s="13">
        <v>30</v>
      </c>
      <c r="B39" s="3">
        <v>17</v>
      </c>
      <c r="C39" s="17">
        <v>7</v>
      </c>
      <c r="D39" s="3">
        <v>4</v>
      </c>
      <c r="E39" s="18">
        <v>7</v>
      </c>
      <c r="F39" s="18">
        <v>13</v>
      </c>
      <c r="G39" s="18">
        <v>62</v>
      </c>
      <c r="H39" s="19">
        <v>1</v>
      </c>
      <c r="I39" s="18">
        <v>25</v>
      </c>
      <c r="J39" s="18">
        <v>22</v>
      </c>
      <c r="K39" s="20">
        <v>107</v>
      </c>
      <c r="L39" s="18">
        <v>270</v>
      </c>
      <c r="M39" s="18">
        <v>239</v>
      </c>
      <c r="N39" s="18">
        <v>273</v>
      </c>
      <c r="O39" s="18">
        <v>76</v>
      </c>
      <c r="P39" s="18">
        <v>225</v>
      </c>
      <c r="Q39" s="17">
        <v>7</v>
      </c>
      <c r="R39" s="17">
        <v>8</v>
      </c>
      <c r="S39" s="17">
        <v>4</v>
      </c>
      <c r="T39" s="17">
        <v>0</v>
      </c>
      <c r="U39" s="17">
        <v>3</v>
      </c>
      <c r="V39" s="3">
        <v>8</v>
      </c>
      <c r="W39" s="20">
        <v>45</v>
      </c>
      <c r="X39" s="17">
        <v>8</v>
      </c>
      <c r="Y39" s="17">
        <v>7</v>
      </c>
      <c r="Z39" s="17">
        <v>6</v>
      </c>
      <c r="AA39" s="20">
        <v>105</v>
      </c>
      <c r="AB39" s="3"/>
      <c r="AC39" s="3"/>
      <c r="AD39" s="20"/>
      <c r="AE39" s="3"/>
      <c r="AF39" s="3"/>
      <c r="AG39" s="20"/>
      <c r="AH39" s="118" t="s">
        <v>217</v>
      </c>
      <c r="AI39" s="107"/>
      <c r="AJ39" s="107"/>
      <c r="AK39" s="107"/>
      <c r="AL39" s="108"/>
      <c r="AN39" s="67">
        <f t="shared" si="2"/>
        <v>-2.1879362100581261</v>
      </c>
      <c r="AO39" s="67">
        <f t="shared" si="2"/>
        <v>-1.1872551746267135</v>
      </c>
      <c r="AP39" s="67">
        <f t="shared" si="2"/>
        <v>-1.6409277907924036</v>
      </c>
      <c r="AY39" s="67">
        <f t="shared" si="0"/>
        <v>275.18793621005813</v>
      </c>
      <c r="AZ39" s="67">
        <f t="shared" si="1"/>
        <v>77.187255174626713</v>
      </c>
      <c r="BA39" s="67">
        <f t="shared" si="3"/>
        <v>226.6409277907924</v>
      </c>
      <c r="BC39">
        <f t="shared" si="4"/>
        <v>35.651991457330503</v>
      </c>
      <c r="BD39">
        <v>1013.2</v>
      </c>
      <c r="BE39">
        <f t="shared" si="5"/>
        <v>29.648777423897815</v>
      </c>
    </row>
    <row r="40" spans="1:57" x14ac:dyDescent="0.2">
      <c r="A40" s="13"/>
      <c r="B40" s="3"/>
      <c r="C40" s="17"/>
      <c r="D40" s="3"/>
      <c r="E40" s="18"/>
      <c r="F40" s="18"/>
      <c r="G40" s="18"/>
      <c r="H40" s="19"/>
      <c r="I40" s="18"/>
      <c r="J40" s="18"/>
      <c r="K40" s="20"/>
      <c r="L40" s="18"/>
      <c r="M40" s="18"/>
      <c r="N40" s="18"/>
      <c r="O40" s="18"/>
      <c r="P40" s="18"/>
      <c r="Q40" s="17"/>
      <c r="R40" s="17"/>
      <c r="S40" s="17"/>
      <c r="T40" s="17"/>
      <c r="U40" s="17"/>
      <c r="V40" s="3"/>
      <c r="W40" s="20"/>
      <c r="X40" s="17"/>
      <c r="Y40" s="3"/>
      <c r="Z40" s="3"/>
      <c r="AA40" s="20"/>
      <c r="AB40" s="3"/>
      <c r="AC40" s="3"/>
      <c r="AD40" s="20"/>
      <c r="AE40" s="3"/>
      <c r="AF40" s="3"/>
      <c r="AG40" s="20"/>
      <c r="AH40" s="107"/>
      <c r="AI40" s="107"/>
      <c r="AJ40" s="107"/>
      <c r="AK40" s="107"/>
      <c r="AL40" s="108"/>
      <c r="AN40" s="67"/>
      <c r="AO40" s="67"/>
      <c r="AP40" s="67"/>
      <c r="AY40" s="67">
        <f t="shared" si="0"/>
        <v>61.120000000000005</v>
      </c>
      <c r="AZ40" s="67">
        <f t="shared" si="1"/>
        <v>100</v>
      </c>
      <c r="BA40" s="67">
        <f t="shared" si="3"/>
        <v>0</v>
      </c>
      <c r="BC40">
        <f t="shared" si="4"/>
        <v>6.1120000000000001</v>
      </c>
      <c r="BD40">
        <v>1013.2</v>
      </c>
      <c r="BE40">
        <f t="shared" si="5"/>
        <v>6.1120000000000001</v>
      </c>
    </row>
    <row r="41" spans="1:57" x14ac:dyDescent="0.2">
      <c r="A41" s="18"/>
      <c r="B41" s="3"/>
      <c r="C41" s="17"/>
      <c r="D41" s="3"/>
      <c r="E41" s="18"/>
      <c r="F41" s="18"/>
      <c r="G41" s="18"/>
      <c r="H41" s="19"/>
      <c r="I41" s="18"/>
      <c r="J41" s="18"/>
      <c r="K41" s="20"/>
      <c r="L41" s="18"/>
      <c r="M41" s="18"/>
      <c r="N41" s="18"/>
      <c r="O41" s="18"/>
      <c r="P41" s="18"/>
      <c r="Q41" s="17"/>
      <c r="R41" s="17"/>
      <c r="S41" s="17"/>
      <c r="T41" s="17"/>
      <c r="U41" s="17"/>
      <c r="V41" s="3"/>
      <c r="W41" s="20"/>
      <c r="X41" s="3"/>
      <c r="Y41" s="3"/>
      <c r="Z41" s="3"/>
      <c r="AA41" s="20"/>
      <c r="AB41" s="3"/>
      <c r="AC41" s="3"/>
      <c r="AD41" s="20"/>
      <c r="AE41" s="3"/>
      <c r="AF41" s="3"/>
      <c r="AG41" s="20"/>
      <c r="AH41" s="109" t="s">
        <v>228</v>
      </c>
      <c r="AI41" s="107"/>
      <c r="AJ41" s="107"/>
      <c r="AK41" s="107"/>
      <c r="AL41" s="108"/>
      <c r="AN41" s="67"/>
      <c r="AO41" s="67"/>
      <c r="AP41" s="67"/>
    </row>
    <row r="42" spans="1:57" x14ac:dyDescent="0.2">
      <c r="A42" s="13" t="s">
        <v>9</v>
      </c>
      <c r="B42" s="1"/>
      <c r="C42" s="21">
        <f>SUM(C10:C40)</f>
        <v>159</v>
      </c>
      <c r="D42" s="1"/>
      <c r="E42" s="13"/>
      <c r="F42" s="13">
        <f>SUM(F10:F40)</f>
        <v>342</v>
      </c>
      <c r="G42" s="13"/>
      <c r="H42" s="2"/>
      <c r="I42" s="13"/>
      <c r="J42" s="13"/>
      <c r="K42" s="22">
        <f>SUM(K10:K40)</f>
        <v>3400</v>
      </c>
      <c r="L42" s="13">
        <f>SUM(L10:L40)</f>
        <v>8441</v>
      </c>
      <c r="M42" s="13">
        <f>SUM(M10:M40)</f>
        <v>7471</v>
      </c>
      <c r="N42" s="13">
        <f>SUM(N10:N40)</f>
        <v>8687</v>
      </c>
      <c r="O42" s="13">
        <f>SUM(O10:O40)</f>
        <v>2281</v>
      </c>
      <c r="P42" s="13">
        <f t="shared" ref="P42" si="6">SUM(P10:P40)</f>
        <v>7038</v>
      </c>
      <c r="Q42" s="21">
        <f>SUM(Q10:Q40)</f>
        <v>102</v>
      </c>
      <c r="R42" s="21"/>
      <c r="S42" s="21"/>
      <c r="T42" s="21"/>
      <c r="U42" s="21"/>
      <c r="V42" s="1"/>
      <c r="W42" s="22"/>
      <c r="X42" s="1"/>
      <c r="Y42" s="1"/>
      <c r="Z42" s="1"/>
      <c r="AA42" s="22"/>
      <c r="AB42" s="1"/>
      <c r="AC42" s="1"/>
      <c r="AD42" s="22"/>
      <c r="AE42" s="1"/>
      <c r="AF42" s="1"/>
      <c r="AG42" s="22"/>
      <c r="AH42" s="116"/>
      <c r="AI42" s="116"/>
      <c r="AJ42" s="116"/>
      <c r="AK42" s="116"/>
      <c r="AL42" s="117"/>
      <c r="AN42" s="67"/>
      <c r="AO42" s="67"/>
      <c r="AP42" s="67"/>
    </row>
    <row r="43" spans="1:57" ht="13.5" thickBot="1" x14ac:dyDescent="0.25">
      <c r="A43" s="23" t="s">
        <v>10</v>
      </c>
      <c r="B43" s="24"/>
      <c r="C43" s="25">
        <f>AVERAGE(C10:C40)</f>
        <v>5.3</v>
      </c>
      <c r="D43" s="24"/>
      <c r="E43" s="23">
        <f>MODE(E10:E40)</f>
        <v>8</v>
      </c>
      <c r="F43" s="23">
        <f>AVERAGE(F10:F40)</f>
        <v>11.4</v>
      </c>
      <c r="G43" s="23"/>
      <c r="H43" s="26"/>
      <c r="I43" s="23"/>
      <c r="J43" s="23"/>
      <c r="K43" s="27">
        <f>AVERAGE(K10:K40)</f>
        <v>113.33333333333333</v>
      </c>
      <c r="L43" s="23">
        <f t="shared" ref="L43:Q43" si="7">AVERAGE(L10:L40)</f>
        <v>281.36666666666667</v>
      </c>
      <c r="M43" s="23">
        <f t="shared" si="7"/>
        <v>249.03333333333333</v>
      </c>
      <c r="N43" s="23">
        <f t="shared" si="7"/>
        <v>289.56666666666666</v>
      </c>
      <c r="O43" s="23">
        <f t="shared" si="7"/>
        <v>76.033333333333331</v>
      </c>
      <c r="P43" s="23">
        <f>AVERAGE(P10:P40)</f>
        <v>234.6</v>
      </c>
      <c r="Q43" s="25">
        <f t="shared" si="7"/>
        <v>3.4</v>
      </c>
      <c r="R43" s="25"/>
      <c r="S43" s="25"/>
      <c r="T43" s="25"/>
      <c r="U43" s="25"/>
      <c r="V43" s="24"/>
      <c r="W43" s="27"/>
      <c r="X43" s="24"/>
      <c r="Y43" s="24"/>
      <c r="Z43" s="24"/>
      <c r="AA43" s="27"/>
      <c r="AB43" s="24"/>
      <c r="AC43" s="24"/>
      <c r="AD43" s="27"/>
      <c r="AE43" s="24"/>
      <c r="AF43" s="24"/>
      <c r="AG43" s="27"/>
      <c r="AH43" s="111"/>
      <c r="AI43" s="111"/>
      <c r="AJ43" s="111"/>
      <c r="AK43" s="111"/>
      <c r="AL43" s="112"/>
      <c r="AN43" s="67">
        <f>AVERAGE(AN10:AN40)</f>
        <v>-3.2522752512770845</v>
      </c>
      <c r="AO43" s="67">
        <f t="shared" ref="AO43:AP43" si="8">AVERAGE(AO10:AO40)</f>
        <v>-1.0117000649503747</v>
      </c>
      <c r="AP43" s="67">
        <f t="shared" si="8"/>
        <v>-2.1427002645502387</v>
      </c>
    </row>
    <row r="44" spans="1:57" x14ac:dyDescent="0.2">
      <c r="E44" s="11"/>
      <c r="G44" s="11"/>
      <c r="K44" s="4"/>
      <c r="M44" s="11"/>
      <c r="P44" s="11"/>
      <c r="Q44" s="11"/>
      <c r="W44" s="4"/>
      <c r="AA44" s="4"/>
      <c r="AD44" s="4"/>
    </row>
    <row r="45" spans="1:57" x14ac:dyDescent="0.2">
      <c r="E45" s="11"/>
      <c r="G45" s="11"/>
      <c r="K45" s="4"/>
      <c r="M45" s="11"/>
      <c r="P45" s="11"/>
      <c r="Q45" s="11"/>
      <c r="W45" s="4"/>
      <c r="AA45" s="4"/>
    </row>
    <row r="46" spans="1:57" x14ac:dyDescent="0.2">
      <c r="E46" s="11"/>
      <c r="G46" s="11"/>
      <c r="M46" s="11"/>
      <c r="P46" s="11"/>
      <c r="Q46" s="11"/>
      <c r="W46" s="4"/>
      <c r="AA46" s="4"/>
    </row>
    <row r="47" spans="1:57" x14ac:dyDescent="0.2">
      <c r="E47" s="11"/>
      <c r="G47" s="11"/>
      <c r="M47" s="11"/>
      <c r="P47" s="11"/>
      <c r="Q47" s="11"/>
    </row>
    <row r="48" spans="1:57" x14ac:dyDescent="0.2">
      <c r="E48" s="11"/>
      <c r="G48" s="11"/>
      <c r="M48" s="11"/>
      <c r="P48" s="11"/>
      <c r="Q48" s="11"/>
    </row>
    <row r="49" spans="5:17" x14ac:dyDescent="0.2">
      <c r="E49" s="11"/>
      <c r="G49" s="11"/>
      <c r="M49" s="11"/>
      <c r="P49" s="11"/>
      <c r="Q49" s="11"/>
    </row>
  </sheetData>
  <mergeCells count="72">
    <mergeCell ref="AH41:AL41"/>
    <mergeCell ref="AH42:AL42"/>
    <mergeCell ref="AH43:AL43"/>
    <mergeCell ref="AH31:AL31"/>
    <mergeCell ref="AH32:AL32"/>
    <mergeCell ref="AH33:AL33"/>
    <mergeCell ref="AH34:AL34"/>
    <mergeCell ref="AH35:AL35"/>
    <mergeCell ref="AH36:AL36"/>
    <mergeCell ref="AH37:AL37"/>
    <mergeCell ref="AH38:AL38"/>
    <mergeCell ref="AH39:AL39"/>
    <mergeCell ref="AH40:AL40"/>
    <mergeCell ref="AH26:AL26"/>
    <mergeCell ref="AH27:AL27"/>
    <mergeCell ref="AH28:AL28"/>
    <mergeCell ref="AH29:AL29"/>
    <mergeCell ref="AH30:AL30"/>
    <mergeCell ref="AH21:AL21"/>
    <mergeCell ref="AH22:AL22"/>
    <mergeCell ref="AH23:AL23"/>
    <mergeCell ref="AH24:AL24"/>
    <mergeCell ref="AH25:AL25"/>
    <mergeCell ref="AH16:AL16"/>
    <mergeCell ref="AH17:AL17"/>
    <mergeCell ref="AH18:AL18"/>
    <mergeCell ref="AH19:AL19"/>
    <mergeCell ref="AH20:AL20"/>
    <mergeCell ref="AH11:AL11"/>
    <mergeCell ref="AH12:AL12"/>
    <mergeCell ref="AH13:AL13"/>
    <mergeCell ref="AH14:AL14"/>
    <mergeCell ref="AH15:AL15"/>
    <mergeCell ref="U8:W8"/>
    <mergeCell ref="X8:AA8"/>
    <mergeCell ref="AB8:AD8"/>
    <mergeCell ref="AE8:AG8"/>
    <mergeCell ref="AH10:AL10"/>
    <mergeCell ref="AH7:AL9"/>
    <mergeCell ref="P8:P9"/>
    <mergeCell ref="Q8:Q9"/>
    <mergeCell ref="R8:R9"/>
    <mergeCell ref="S8:S9"/>
    <mergeCell ref="T8:T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3:T3"/>
    <mergeCell ref="E7:F7"/>
    <mergeCell ref="L7:P7"/>
    <mergeCell ref="Q7:T7"/>
    <mergeCell ref="U7:AG7"/>
    <mergeCell ref="AN7:AP7"/>
    <mergeCell ref="AY7:BA7"/>
    <mergeCell ref="AN8:AN9"/>
    <mergeCell ref="AO8:AO9"/>
    <mergeCell ref="AP8:AP9"/>
    <mergeCell ref="AY8:AY9"/>
    <mergeCell ref="AZ8:AZ9"/>
    <mergeCell ref="BA8:BA9"/>
  </mergeCells>
  <phoneticPr fontId="2" type="noConversion"/>
  <dataValidations count="5">
    <dataValidation type="whole" allowBlank="1" showInputMessage="1" showErrorMessage="1" sqref="C10:C40" xr:uid="{00000000-0002-0000-0200-000000000000}">
      <formula1>0</formula1>
      <formula2>9</formula2>
    </dataValidation>
    <dataValidation type="whole" allowBlank="1" showInputMessage="1" showErrorMessage="1" sqref="AE10:AE40" xr:uid="{00000000-0002-0000-0200-000001000000}">
      <formula1>1</formula1>
      <formula2>9</formula2>
    </dataValidation>
    <dataValidation type="whole" allowBlank="1" showInputMessage="1" showErrorMessage="1" sqref="D10:D40" xr:uid="{00000000-0002-0000-0200-000002000000}">
      <formula1>0</formula1>
      <formula2>4</formula2>
    </dataValidation>
    <dataValidation type="whole" allowBlank="1" showInputMessage="1" showErrorMessage="1" sqref="AB10:AB40" xr:uid="{00000000-0002-0000-0200-000003000000}">
      <formula1>5</formula1>
      <formula2>9</formula2>
    </dataValidation>
    <dataValidation type="whole" allowBlank="1" showInputMessage="1" showErrorMessage="1" sqref="Y10:Y40" xr:uid="{00000000-0002-0000-0200-000004000000}">
      <formula1>3</formula1>
      <formula2>9</formula2>
    </dataValidation>
  </dataValidations>
  <pageMargins left="0.75" right="0.75" top="1" bottom="1" header="0.5" footer="0.5"/>
  <pageSetup orientation="portrait" horizontalDpi="3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49"/>
  <sheetViews>
    <sheetView workbookViewId="0">
      <pane xSplit="2" ySplit="9" topLeftCell="C10" activePane="bottomRight" state="frozen"/>
      <selection activeCell="AM2" sqref="AM2"/>
      <selection pane="topRight" activeCell="AM2" sqref="AM2"/>
      <selection pane="bottomLeft" activeCell="AM2" sqref="AM2"/>
      <selection pane="bottomRight" activeCell="AS39" sqref="AS39"/>
    </sheetView>
  </sheetViews>
  <sheetFormatPr defaultRowHeight="12.75" x14ac:dyDescent="0.2"/>
  <cols>
    <col min="1" max="1" width="4.28515625" bestFit="1" customWidth="1"/>
    <col min="2" max="2" width="5.140625" bestFit="1" customWidth="1"/>
    <col min="3" max="3" width="4" bestFit="1" customWidth="1"/>
    <col min="4" max="5" width="3" bestFit="1" customWidth="1"/>
    <col min="6" max="6" width="5" bestFit="1" customWidth="1"/>
    <col min="7" max="10" width="3" bestFit="1" customWidth="1"/>
    <col min="11" max="11" width="8.5703125" bestFit="1" customWidth="1"/>
    <col min="12" max="16" width="5" bestFit="1" customWidth="1"/>
    <col min="17" max="22" width="3" bestFit="1" customWidth="1"/>
    <col min="23" max="23" width="5.28515625" bestFit="1" customWidth="1"/>
    <col min="24" max="26" width="3" bestFit="1" customWidth="1"/>
    <col min="27" max="27" width="5.28515625" bestFit="1" customWidth="1"/>
    <col min="28" max="29" width="3" bestFit="1" customWidth="1"/>
    <col min="30" max="30" width="5.28515625" bestFit="1" customWidth="1"/>
    <col min="31" max="32" width="3" bestFit="1" customWidth="1"/>
    <col min="33" max="33" width="5.28515625" bestFit="1" customWidth="1"/>
    <col min="34" max="34" width="5.42578125" customWidth="1"/>
    <col min="40" max="42" width="4.7109375" customWidth="1"/>
    <col min="50" max="58" width="0" hidden="1" customWidth="1"/>
  </cols>
  <sheetData>
    <row r="1" spans="1:5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  <c r="P1" s="1"/>
      <c r="Q1" s="1"/>
      <c r="R1" s="1"/>
    </row>
    <row r="2" spans="1:57" ht="36.75" customHeight="1" x14ac:dyDescent="0.2">
      <c r="A2" s="1"/>
      <c r="B2" s="1"/>
      <c r="C2" s="1"/>
      <c r="D2" s="1"/>
      <c r="E2" s="1"/>
      <c r="F2" s="1"/>
      <c r="G2" s="1"/>
      <c r="H2" s="1"/>
      <c r="I2" s="2"/>
      <c r="J2" s="2"/>
      <c r="K2" s="1"/>
      <c r="L2" s="1"/>
      <c r="M2" s="1"/>
      <c r="O2" s="2"/>
      <c r="P2" s="1"/>
      <c r="Q2" s="1"/>
      <c r="R2" s="1"/>
    </row>
    <row r="3" spans="1:5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80"/>
      <c r="Q3" s="80"/>
      <c r="R3" s="80"/>
      <c r="S3" s="80"/>
      <c r="T3" s="80"/>
    </row>
    <row r="4" spans="1:5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7" spans="1:57" ht="14.25" x14ac:dyDescent="0.25">
      <c r="A7" s="7"/>
      <c r="B7" s="7"/>
      <c r="C7" s="7"/>
      <c r="D7" s="7"/>
      <c r="E7" s="81" t="s">
        <v>20</v>
      </c>
      <c r="F7" s="81"/>
      <c r="G7" s="7"/>
      <c r="H7" s="7"/>
      <c r="I7" s="7"/>
      <c r="J7" s="7"/>
      <c r="K7" s="7"/>
      <c r="L7" s="82" t="s">
        <v>11</v>
      </c>
      <c r="M7" s="82"/>
      <c r="N7" s="82"/>
      <c r="O7" s="82"/>
      <c r="P7" s="82"/>
      <c r="Q7" s="83" t="s">
        <v>29</v>
      </c>
      <c r="R7" s="83"/>
      <c r="S7" s="83"/>
      <c r="T7" s="83"/>
      <c r="U7" s="84" t="s">
        <v>33</v>
      </c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98" t="s">
        <v>8</v>
      </c>
      <c r="AI7" s="99"/>
      <c r="AJ7" s="99"/>
      <c r="AK7" s="99"/>
      <c r="AL7" s="100"/>
      <c r="AN7" s="73" t="s">
        <v>80</v>
      </c>
      <c r="AO7" s="74"/>
      <c r="AP7" s="75"/>
      <c r="AY7" s="76" t="s">
        <v>81</v>
      </c>
      <c r="AZ7" s="77"/>
      <c r="BA7" s="78"/>
    </row>
    <row r="8" spans="1:57" ht="16.5" customHeight="1" x14ac:dyDescent="0.2">
      <c r="A8" s="85" t="s">
        <v>18</v>
      </c>
      <c r="B8" s="89" t="s">
        <v>19</v>
      </c>
      <c r="C8" s="90" t="s">
        <v>23</v>
      </c>
      <c r="D8" s="88" t="s">
        <v>24</v>
      </c>
      <c r="E8" s="91" t="s">
        <v>25</v>
      </c>
      <c r="F8" s="86" t="s">
        <v>26</v>
      </c>
      <c r="G8" s="88" t="s">
        <v>27</v>
      </c>
      <c r="H8" s="88" t="s">
        <v>0</v>
      </c>
      <c r="I8" s="88" t="s">
        <v>21</v>
      </c>
      <c r="J8" s="88" t="s">
        <v>22</v>
      </c>
      <c r="K8" s="85" t="s">
        <v>28</v>
      </c>
      <c r="L8" s="79" t="s">
        <v>1</v>
      </c>
      <c r="M8" s="79" t="s">
        <v>2</v>
      </c>
      <c r="N8" s="79" t="s">
        <v>3</v>
      </c>
      <c r="O8" s="79" t="s">
        <v>4</v>
      </c>
      <c r="P8" s="79" t="s">
        <v>5</v>
      </c>
      <c r="Q8" s="92" t="s">
        <v>34</v>
      </c>
      <c r="R8" s="92" t="s">
        <v>30</v>
      </c>
      <c r="S8" s="92" t="s">
        <v>31</v>
      </c>
      <c r="T8" s="92" t="s">
        <v>32</v>
      </c>
      <c r="U8" s="93" t="s">
        <v>38</v>
      </c>
      <c r="V8" s="93"/>
      <c r="W8" s="93"/>
      <c r="X8" s="93" t="s">
        <v>39</v>
      </c>
      <c r="Y8" s="93"/>
      <c r="Z8" s="93"/>
      <c r="AA8" s="93"/>
      <c r="AB8" s="93" t="s">
        <v>40</v>
      </c>
      <c r="AC8" s="93"/>
      <c r="AD8" s="93"/>
      <c r="AE8" s="93" t="s">
        <v>41</v>
      </c>
      <c r="AF8" s="94"/>
      <c r="AG8" s="95"/>
      <c r="AH8" s="101"/>
      <c r="AI8" s="102"/>
      <c r="AJ8" s="102"/>
      <c r="AK8" s="102"/>
      <c r="AL8" s="103"/>
      <c r="AN8" s="79" t="s">
        <v>3</v>
      </c>
      <c r="AO8" s="79" t="s">
        <v>4</v>
      </c>
      <c r="AP8" s="79" t="s">
        <v>5</v>
      </c>
      <c r="AY8" s="79" t="s">
        <v>3</v>
      </c>
      <c r="AZ8" s="79" t="s">
        <v>4</v>
      </c>
      <c r="BA8" s="79" t="s">
        <v>5</v>
      </c>
    </row>
    <row r="9" spans="1:57" s="3" customFormat="1" ht="72" customHeight="1" x14ac:dyDescent="0.2">
      <c r="A9" s="85"/>
      <c r="B9" s="89"/>
      <c r="C9" s="90"/>
      <c r="D9" s="88"/>
      <c r="E9" s="91"/>
      <c r="F9" s="87"/>
      <c r="G9" s="88"/>
      <c r="H9" s="88"/>
      <c r="I9" s="88"/>
      <c r="J9" s="88"/>
      <c r="K9" s="85"/>
      <c r="L9" s="79"/>
      <c r="M9" s="79"/>
      <c r="N9" s="79"/>
      <c r="O9" s="79"/>
      <c r="P9" s="79"/>
      <c r="Q9" s="92"/>
      <c r="R9" s="92"/>
      <c r="S9" s="92"/>
      <c r="T9" s="92"/>
      <c r="U9" s="8" t="s">
        <v>16</v>
      </c>
      <c r="V9" s="8" t="s">
        <v>6</v>
      </c>
      <c r="W9" s="9" t="s">
        <v>7</v>
      </c>
      <c r="X9" s="8" t="s">
        <v>17</v>
      </c>
      <c r="Y9" s="8" t="s">
        <v>16</v>
      </c>
      <c r="Z9" s="8" t="s">
        <v>6</v>
      </c>
      <c r="AA9" s="9" t="s">
        <v>7</v>
      </c>
      <c r="AB9" s="8" t="s">
        <v>16</v>
      </c>
      <c r="AC9" s="8" t="s">
        <v>6</v>
      </c>
      <c r="AD9" s="9" t="s">
        <v>7</v>
      </c>
      <c r="AE9" s="8" t="s">
        <v>16</v>
      </c>
      <c r="AF9" s="8" t="s">
        <v>6</v>
      </c>
      <c r="AG9" s="9" t="s">
        <v>7</v>
      </c>
      <c r="AH9" s="104"/>
      <c r="AI9" s="105"/>
      <c r="AJ9" s="105"/>
      <c r="AK9" s="105"/>
      <c r="AL9" s="106"/>
      <c r="AN9" s="79"/>
      <c r="AO9" s="79"/>
      <c r="AP9" s="79"/>
      <c r="AY9" s="79"/>
      <c r="AZ9" s="79"/>
      <c r="BA9" s="79"/>
      <c r="BC9" s="3" t="s">
        <v>82</v>
      </c>
      <c r="BD9" s="3" t="s">
        <v>83</v>
      </c>
      <c r="BE9" s="3" t="s">
        <v>84</v>
      </c>
    </row>
    <row r="10" spans="1:57" x14ac:dyDescent="0.2">
      <c r="A10" s="13">
        <v>1</v>
      </c>
      <c r="B10" s="3">
        <v>16</v>
      </c>
      <c r="C10" s="17">
        <v>2</v>
      </c>
      <c r="D10" s="3">
        <v>4</v>
      </c>
      <c r="E10" s="18">
        <v>12</v>
      </c>
      <c r="F10" s="18">
        <v>15</v>
      </c>
      <c r="G10" s="18">
        <v>76</v>
      </c>
      <c r="H10" s="19">
        <v>2</v>
      </c>
      <c r="I10" s="18"/>
      <c r="J10" s="18"/>
      <c r="K10" s="20">
        <v>120</v>
      </c>
      <c r="L10" s="18">
        <v>288</v>
      </c>
      <c r="M10" s="18">
        <v>250</v>
      </c>
      <c r="N10" s="18">
        <v>286</v>
      </c>
      <c r="O10" s="69">
        <v>72</v>
      </c>
      <c r="P10" s="18">
        <v>233</v>
      </c>
      <c r="Q10" s="17">
        <v>1</v>
      </c>
      <c r="R10" s="17">
        <v>2</v>
      </c>
      <c r="S10" s="17">
        <v>0</v>
      </c>
      <c r="T10" s="17">
        <v>1</v>
      </c>
      <c r="U10" s="17">
        <v>1</v>
      </c>
      <c r="V10" s="3">
        <v>8</v>
      </c>
      <c r="W10" s="20">
        <v>69</v>
      </c>
      <c r="X10" s="17">
        <v>8</v>
      </c>
      <c r="Y10" s="3"/>
      <c r="Z10" s="3"/>
      <c r="AA10" s="20"/>
      <c r="AB10" s="3"/>
      <c r="AC10" s="3"/>
      <c r="AD10" s="20"/>
      <c r="AE10" s="3"/>
      <c r="AF10" s="3"/>
      <c r="AG10" s="20"/>
      <c r="AH10" s="96"/>
      <c r="AI10" s="96"/>
      <c r="AJ10" s="96"/>
      <c r="AK10" s="96"/>
      <c r="AL10" s="97"/>
      <c r="AN10" s="67">
        <f>N10-AY10</f>
        <v>-4.5472922361599899</v>
      </c>
      <c r="AO10" s="67">
        <f>O10-AZ10</f>
        <v>-1.3623793826557602</v>
      </c>
      <c r="AP10" s="67">
        <f>P10-BA10</f>
        <v>-2.6135942643572889</v>
      </c>
      <c r="AY10" s="67">
        <f t="shared" ref="AY10:AY40" si="0">10*(BE10-BD10*((L10/10)-(M10/10))*0.00066*(1+(0.00115*(M10/10))))</f>
        <v>290.54729223615999</v>
      </c>
      <c r="AZ10" s="67">
        <f t="shared" ref="AZ10:AZ40" si="1">((AY10/10)*100)/BC10</f>
        <v>73.36237938265576</v>
      </c>
      <c r="BA10" s="67">
        <f>(243.5*LN((AY10/10)/6.112))/(17.67-LN((AY10/10)/6.112))*10</f>
        <v>235.61359426435729</v>
      </c>
      <c r="BC10">
        <f>6.112*2.718^((17.67*(L10/10))/((L10/10)+243.5))</f>
        <v>39.60439869605031</v>
      </c>
      <c r="BD10">
        <v>1013.2</v>
      </c>
      <c r="BE10">
        <f>6.112*2.718^((17.67*(M10/10))/((M10/10)+243.5))</f>
        <v>31.668891609615997</v>
      </c>
    </row>
    <row r="11" spans="1:57" x14ac:dyDescent="0.2">
      <c r="A11" s="13">
        <v>2</v>
      </c>
      <c r="B11" s="3">
        <v>16</v>
      </c>
      <c r="C11" s="17">
        <v>2</v>
      </c>
      <c r="D11" s="3">
        <v>4</v>
      </c>
      <c r="E11" s="18">
        <v>11</v>
      </c>
      <c r="F11" s="18">
        <v>13</v>
      </c>
      <c r="G11" s="18">
        <v>75</v>
      </c>
      <c r="H11" s="19">
        <v>2</v>
      </c>
      <c r="I11" s="18"/>
      <c r="J11" s="18"/>
      <c r="K11" s="20">
        <v>118</v>
      </c>
      <c r="L11" s="18">
        <v>290</v>
      </c>
      <c r="M11" s="18">
        <v>250</v>
      </c>
      <c r="N11" s="18">
        <v>285</v>
      </c>
      <c r="O11" s="18">
        <v>71</v>
      </c>
      <c r="P11" s="18">
        <v>232</v>
      </c>
      <c r="Q11" s="17">
        <v>2</v>
      </c>
      <c r="R11" s="17">
        <v>8</v>
      </c>
      <c r="S11" s="17">
        <v>0</v>
      </c>
      <c r="T11" s="17">
        <v>0</v>
      </c>
      <c r="U11" s="17">
        <v>2</v>
      </c>
      <c r="V11" s="3">
        <v>8</v>
      </c>
      <c r="W11" s="20">
        <v>63</v>
      </c>
      <c r="X11" s="17">
        <v>8</v>
      </c>
      <c r="Y11" s="3"/>
      <c r="Z11" s="3"/>
      <c r="AA11" s="20"/>
      <c r="AB11" s="3"/>
      <c r="AC11" s="3"/>
      <c r="AD11" s="20"/>
      <c r="AE11" s="3"/>
      <c r="AF11" s="3"/>
      <c r="AG11" s="20"/>
      <c r="AH11" s="107"/>
      <c r="AI11" s="107"/>
      <c r="AJ11" s="107"/>
      <c r="AK11" s="107"/>
      <c r="AL11" s="108"/>
      <c r="AN11" s="67">
        <f t="shared" ref="AN11:AP39" si="2">N11-AY11</f>
        <v>-4.1714172961599729</v>
      </c>
      <c r="AO11" s="67">
        <f t="shared" si="2"/>
        <v>-1.1731869118641072</v>
      </c>
      <c r="AP11" s="67">
        <f t="shared" si="2"/>
        <v>-2.8269993832577995</v>
      </c>
      <c r="AY11" s="67">
        <f t="shared" si="0"/>
        <v>289.17141729615997</v>
      </c>
      <c r="AZ11" s="67">
        <f t="shared" si="1"/>
        <v>72.173186911864107</v>
      </c>
      <c r="BA11" s="67">
        <f t="shared" ref="BA11:BA40" si="3">(243.5*LN((AY11/10)/6.112))/(17.67-LN((AY11/10)/6.112))*10</f>
        <v>234.8269993832578</v>
      </c>
      <c r="BC11">
        <f t="shared" ref="BC11:BC40" si="4">6.112*2.718^((17.67*(L11/10))/((L11/10)+243.5))</f>
        <v>40.066322365574365</v>
      </c>
      <c r="BD11">
        <v>1013.2</v>
      </c>
      <c r="BE11">
        <f t="shared" ref="BE11:BE40" si="5">6.112*2.718^((17.67*(M11/10))/((M11/10)+243.5))</f>
        <v>31.668891609615997</v>
      </c>
    </row>
    <row r="12" spans="1:57" x14ac:dyDescent="0.2">
      <c r="A12" s="13">
        <v>3</v>
      </c>
      <c r="B12" s="3">
        <v>16</v>
      </c>
      <c r="C12" s="17">
        <v>2</v>
      </c>
      <c r="D12" s="3">
        <v>4</v>
      </c>
      <c r="E12" s="18">
        <v>12</v>
      </c>
      <c r="F12" s="18">
        <v>12</v>
      </c>
      <c r="G12" s="18">
        <v>75</v>
      </c>
      <c r="H12" s="19">
        <v>2</v>
      </c>
      <c r="I12" s="18"/>
      <c r="J12" s="18"/>
      <c r="K12" s="20">
        <v>118</v>
      </c>
      <c r="L12" s="18">
        <v>288</v>
      </c>
      <c r="M12" s="18">
        <v>250</v>
      </c>
      <c r="N12" s="18">
        <v>286</v>
      </c>
      <c r="O12" s="18">
        <v>72</v>
      </c>
      <c r="P12" s="18">
        <v>233</v>
      </c>
      <c r="Q12" s="17">
        <v>1</v>
      </c>
      <c r="R12" s="17">
        <v>2</v>
      </c>
      <c r="S12" s="17">
        <v>0</v>
      </c>
      <c r="T12" s="17">
        <v>1</v>
      </c>
      <c r="U12" s="17">
        <v>1</v>
      </c>
      <c r="V12" s="3">
        <v>8</v>
      </c>
      <c r="W12" s="20">
        <v>66</v>
      </c>
      <c r="X12" s="17">
        <v>8</v>
      </c>
      <c r="Y12" s="3"/>
      <c r="Z12" s="3"/>
      <c r="AA12" s="20"/>
      <c r="AB12" s="3"/>
      <c r="AC12" s="3"/>
      <c r="AD12" s="20"/>
      <c r="AE12" s="3"/>
      <c r="AF12" s="3"/>
      <c r="AG12" s="20"/>
      <c r="AH12" s="107"/>
      <c r="AI12" s="107"/>
      <c r="AJ12" s="107"/>
      <c r="AK12" s="107"/>
      <c r="AL12" s="108"/>
      <c r="AN12" s="67">
        <f t="shared" si="2"/>
        <v>-4.5472922361599899</v>
      </c>
      <c r="AO12" s="67">
        <f t="shared" si="2"/>
        <v>-1.3623793826557602</v>
      </c>
      <c r="AP12" s="67">
        <f t="shared" si="2"/>
        <v>-2.6135942643572889</v>
      </c>
      <c r="AY12" s="67">
        <f t="shared" si="0"/>
        <v>290.54729223615999</v>
      </c>
      <c r="AZ12" s="67">
        <f t="shared" si="1"/>
        <v>73.36237938265576</v>
      </c>
      <c r="BA12" s="67">
        <f t="shared" si="3"/>
        <v>235.61359426435729</v>
      </c>
      <c r="BC12">
        <f t="shared" si="4"/>
        <v>39.60439869605031</v>
      </c>
      <c r="BD12">
        <v>1013.2</v>
      </c>
      <c r="BE12">
        <f t="shared" si="5"/>
        <v>31.668891609615997</v>
      </c>
    </row>
    <row r="13" spans="1:57" x14ac:dyDescent="0.2">
      <c r="A13" s="13">
        <v>4</v>
      </c>
      <c r="B13" s="3">
        <v>16</v>
      </c>
      <c r="C13" s="17">
        <v>1</v>
      </c>
      <c r="D13" s="3">
        <v>4</v>
      </c>
      <c r="E13" s="18">
        <v>10</v>
      </c>
      <c r="F13" s="18">
        <v>15</v>
      </c>
      <c r="G13" s="18">
        <v>80</v>
      </c>
      <c r="H13" s="19">
        <v>2</v>
      </c>
      <c r="I13" s="18"/>
      <c r="J13" s="18"/>
      <c r="K13" s="20">
        <v>122</v>
      </c>
      <c r="L13" s="18">
        <v>290</v>
      </c>
      <c r="M13" s="18">
        <v>255</v>
      </c>
      <c r="N13" s="18">
        <v>299</v>
      </c>
      <c r="O13" s="18">
        <v>74</v>
      </c>
      <c r="P13" s="18">
        <v>240</v>
      </c>
      <c r="Q13" s="17">
        <v>1</v>
      </c>
      <c r="R13" s="17">
        <v>2</v>
      </c>
      <c r="S13" s="17">
        <v>0</v>
      </c>
      <c r="T13" s="17">
        <v>2</v>
      </c>
      <c r="U13" s="17">
        <v>1</v>
      </c>
      <c r="V13" s="3">
        <v>8</v>
      </c>
      <c r="W13" s="20">
        <v>69</v>
      </c>
      <c r="X13" s="17">
        <v>8</v>
      </c>
      <c r="Y13" s="3"/>
      <c r="Z13" s="3"/>
      <c r="AA13" s="20"/>
      <c r="AB13" s="3"/>
      <c r="AC13" s="3"/>
      <c r="AD13" s="20"/>
      <c r="AE13" s="3"/>
      <c r="AF13" s="3"/>
      <c r="AG13" s="20"/>
      <c r="AH13" s="107"/>
      <c r="AI13" s="107"/>
      <c r="AJ13" s="107"/>
      <c r="AK13" s="107"/>
      <c r="AL13" s="108"/>
      <c r="AN13" s="67">
        <f t="shared" si="2"/>
        <v>-3.1713522511403767</v>
      </c>
      <c r="AO13" s="67">
        <f t="shared" si="2"/>
        <v>-1.4177909053042868</v>
      </c>
      <c r="AP13" s="67">
        <f t="shared" si="2"/>
        <v>-2.1319830549777521</v>
      </c>
      <c r="AY13" s="67">
        <f t="shared" si="0"/>
        <v>302.17135225114038</v>
      </c>
      <c r="AZ13" s="67">
        <f t="shared" si="1"/>
        <v>75.417790905304287</v>
      </c>
      <c r="BA13" s="67">
        <f t="shared" si="3"/>
        <v>242.13198305497775</v>
      </c>
      <c r="BC13">
        <f t="shared" si="4"/>
        <v>40.066322365574365</v>
      </c>
      <c r="BD13">
        <v>1013.2</v>
      </c>
      <c r="BE13">
        <f t="shared" si="5"/>
        <v>32.626262153014039</v>
      </c>
    </row>
    <row r="14" spans="1:57" x14ac:dyDescent="0.2">
      <c r="A14" s="13">
        <v>5</v>
      </c>
      <c r="B14" s="3">
        <v>16</v>
      </c>
      <c r="C14" s="17">
        <v>7</v>
      </c>
      <c r="D14" s="3">
        <v>4</v>
      </c>
      <c r="E14" s="18">
        <v>9</v>
      </c>
      <c r="F14" s="18">
        <v>12</v>
      </c>
      <c r="G14" s="18">
        <v>80</v>
      </c>
      <c r="H14" s="19">
        <v>2</v>
      </c>
      <c r="I14" s="18"/>
      <c r="J14" s="18"/>
      <c r="K14" s="20">
        <v>120</v>
      </c>
      <c r="L14" s="18">
        <v>291</v>
      </c>
      <c r="M14" s="18">
        <v>256</v>
      </c>
      <c r="N14" s="18">
        <v>300</v>
      </c>
      <c r="O14" s="18">
        <v>75</v>
      </c>
      <c r="P14" s="18">
        <v>241</v>
      </c>
      <c r="Q14" s="17">
        <v>1</v>
      </c>
      <c r="R14" s="17">
        <v>2</v>
      </c>
      <c r="S14" s="17">
        <v>0</v>
      </c>
      <c r="T14" s="17">
        <v>1</v>
      </c>
      <c r="U14" s="17">
        <v>1</v>
      </c>
      <c r="V14" s="3">
        <v>8</v>
      </c>
      <c r="W14" s="20">
        <v>75</v>
      </c>
      <c r="X14" s="17">
        <v>8</v>
      </c>
      <c r="Y14" s="17">
        <v>6</v>
      </c>
      <c r="Z14" s="17">
        <v>0</v>
      </c>
      <c r="AA14" s="20">
        <v>840</v>
      </c>
      <c r="AB14" s="3"/>
      <c r="AC14" s="3"/>
      <c r="AD14" s="20"/>
      <c r="AE14" s="3"/>
      <c r="AF14" s="3"/>
      <c r="AG14" s="20"/>
      <c r="AH14" s="107"/>
      <c r="AI14" s="107"/>
      <c r="AJ14" s="107"/>
      <c r="AK14" s="107"/>
      <c r="AL14" s="108"/>
      <c r="AN14" s="67">
        <f t="shared" si="2"/>
        <v>-4.1134968777389531</v>
      </c>
      <c r="AO14" s="67">
        <f t="shared" si="2"/>
        <v>-0.46419726094637781</v>
      </c>
      <c r="AP14" s="67">
        <f t="shared" si="2"/>
        <v>-2.1995952864708102</v>
      </c>
      <c r="AY14" s="67">
        <f t="shared" si="0"/>
        <v>304.11349687773895</v>
      </c>
      <c r="AZ14" s="67">
        <f t="shared" si="1"/>
        <v>75.464197260946378</v>
      </c>
      <c r="BA14" s="67">
        <f t="shared" si="3"/>
        <v>243.19959528647081</v>
      </c>
      <c r="BC14">
        <f t="shared" si="4"/>
        <v>40.299043508824454</v>
      </c>
      <c r="BD14">
        <v>1013.2</v>
      </c>
      <c r="BE14">
        <f t="shared" si="5"/>
        <v>32.820745772253893</v>
      </c>
    </row>
    <row r="15" spans="1:57" x14ac:dyDescent="0.2">
      <c r="A15" s="13">
        <v>6</v>
      </c>
      <c r="B15" s="3">
        <v>16</v>
      </c>
      <c r="C15" s="17">
        <v>2</v>
      </c>
      <c r="D15" s="3">
        <v>4</v>
      </c>
      <c r="E15" s="18">
        <v>10</v>
      </c>
      <c r="F15" s="18">
        <v>15</v>
      </c>
      <c r="G15" s="18">
        <v>80</v>
      </c>
      <c r="H15" s="19">
        <v>2</v>
      </c>
      <c r="I15" s="18"/>
      <c r="J15" s="18"/>
      <c r="K15" s="20">
        <v>118</v>
      </c>
      <c r="L15" s="18">
        <v>295</v>
      </c>
      <c r="M15" s="18">
        <v>254</v>
      </c>
      <c r="N15" s="18">
        <v>291</v>
      </c>
      <c r="O15" s="18">
        <v>71</v>
      </c>
      <c r="P15" s="18">
        <v>236</v>
      </c>
      <c r="Q15" s="17">
        <v>1</v>
      </c>
      <c r="R15" s="17">
        <v>1</v>
      </c>
      <c r="S15" s="17">
        <v>0</v>
      </c>
      <c r="T15" s="17">
        <v>1</v>
      </c>
      <c r="U15" s="17">
        <v>1</v>
      </c>
      <c r="V15" s="3">
        <v>8</v>
      </c>
      <c r="W15" s="20">
        <v>69</v>
      </c>
      <c r="X15" s="17">
        <v>8</v>
      </c>
      <c r="Y15" s="3"/>
      <c r="Z15" s="3"/>
      <c r="AA15" s="20"/>
      <c r="AB15" s="3"/>
      <c r="AC15" s="3"/>
      <c r="AD15" s="20"/>
      <c r="AE15" s="3"/>
      <c r="AF15" s="3"/>
      <c r="AG15" s="20"/>
      <c r="AH15" s="107"/>
      <c r="AI15" s="107"/>
      <c r="AJ15" s="107"/>
      <c r="AK15" s="107"/>
      <c r="AL15" s="108"/>
      <c r="AN15" s="67">
        <f t="shared" si="2"/>
        <v>-5.1098278713605509</v>
      </c>
      <c r="AO15" s="67">
        <f t="shared" si="2"/>
        <v>-0.79851810515773991</v>
      </c>
      <c r="AP15" s="67">
        <f t="shared" si="2"/>
        <v>-2.760832136260376</v>
      </c>
      <c r="AY15" s="67">
        <f t="shared" si="0"/>
        <v>296.10982787136055</v>
      </c>
      <c r="AZ15" s="67">
        <f t="shared" si="1"/>
        <v>71.79851810515774</v>
      </c>
      <c r="BA15" s="67">
        <f t="shared" si="3"/>
        <v>238.76083213626038</v>
      </c>
      <c r="BC15">
        <f t="shared" si="4"/>
        <v>41.241774299251048</v>
      </c>
      <c r="BD15">
        <v>1013.2</v>
      </c>
      <c r="BE15">
        <f t="shared" si="5"/>
        <v>32.432787604968055</v>
      </c>
    </row>
    <row r="16" spans="1:57" x14ac:dyDescent="0.2">
      <c r="A16" s="13">
        <v>7</v>
      </c>
      <c r="B16" s="3">
        <v>16</v>
      </c>
      <c r="C16" s="17">
        <v>6</v>
      </c>
      <c r="D16" s="3">
        <v>4</v>
      </c>
      <c r="E16" s="18">
        <v>11</v>
      </c>
      <c r="F16" s="18">
        <v>17</v>
      </c>
      <c r="G16" s="18">
        <v>75</v>
      </c>
      <c r="H16" s="19">
        <v>2</v>
      </c>
      <c r="I16" s="18"/>
      <c r="J16" s="18"/>
      <c r="K16" s="20">
        <v>107</v>
      </c>
      <c r="L16" s="18">
        <v>284</v>
      </c>
      <c r="M16" s="18">
        <v>250</v>
      </c>
      <c r="N16" s="18">
        <v>290</v>
      </c>
      <c r="O16" s="18">
        <v>75</v>
      </c>
      <c r="P16" s="18">
        <v>235</v>
      </c>
      <c r="Q16" s="17">
        <v>1</v>
      </c>
      <c r="R16" s="17">
        <v>2</v>
      </c>
      <c r="S16" s="17">
        <v>0</v>
      </c>
      <c r="T16" s="17">
        <v>8</v>
      </c>
      <c r="U16" s="17">
        <v>1</v>
      </c>
      <c r="V16" s="3">
        <v>8</v>
      </c>
      <c r="W16" s="20">
        <v>69</v>
      </c>
      <c r="X16" s="17">
        <v>8</v>
      </c>
      <c r="Y16" s="17">
        <v>6</v>
      </c>
      <c r="Z16" s="17">
        <v>2</v>
      </c>
      <c r="AA16" s="20">
        <v>840</v>
      </c>
      <c r="AB16" s="3"/>
      <c r="AC16" s="3"/>
      <c r="AD16" s="20"/>
      <c r="AE16" s="3"/>
      <c r="AF16" s="3"/>
      <c r="AG16" s="20"/>
      <c r="AH16" s="107"/>
      <c r="AI16" s="107"/>
      <c r="AJ16" s="107"/>
      <c r="AK16" s="107"/>
      <c r="AL16" s="108"/>
      <c r="AN16" s="67">
        <f t="shared" si="2"/>
        <v>-3.299042116159967</v>
      </c>
      <c r="AO16" s="67">
        <f t="shared" si="2"/>
        <v>-0.79866573576481414</v>
      </c>
      <c r="AP16" s="67">
        <f t="shared" si="2"/>
        <v>-2.1770456407085135</v>
      </c>
      <c r="AY16" s="67">
        <f t="shared" si="0"/>
        <v>293.29904211615997</v>
      </c>
      <c r="AZ16" s="67">
        <f t="shared" si="1"/>
        <v>75.798665735764814</v>
      </c>
      <c r="BA16" s="67">
        <f t="shared" si="3"/>
        <v>237.17704564070851</v>
      </c>
      <c r="BC16">
        <f t="shared" si="4"/>
        <v>38.694486145521928</v>
      </c>
      <c r="BD16">
        <v>1013.2</v>
      </c>
      <c r="BE16">
        <f t="shared" si="5"/>
        <v>31.668891609615997</v>
      </c>
    </row>
    <row r="17" spans="1:57" x14ac:dyDescent="0.2">
      <c r="A17" s="13">
        <v>8</v>
      </c>
      <c r="B17" s="3">
        <v>16</v>
      </c>
      <c r="C17" s="17">
        <v>1</v>
      </c>
      <c r="D17" s="3">
        <v>4</v>
      </c>
      <c r="E17" s="18">
        <v>10</v>
      </c>
      <c r="F17" s="18">
        <v>15</v>
      </c>
      <c r="G17" s="18">
        <v>75</v>
      </c>
      <c r="H17" s="19">
        <v>2</v>
      </c>
      <c r="I17" s="18"/>
      <c r="J17" s="18"/>
      <c r="K17" s="20">
        <v>108</v>
      </c>
      <c r="L17" s="18">
        <v>290</v>
      </c>
      <c r="M17" s="18">
        <v>248</v>
      </c>
      <c r="N17" s="18">
        <v>280</v>
      </c>
      <c r="O17" s="18">
        <v>70</v>
      </c>
      <c r="P17" s="18">
        <v>229</v>
      </c>
      <c r="Q17" s="17">
        <v>1</v>
      </c>
      <c r="R17" s="17">
        <v>2</v>
      </c>
      <c r="S17" s="17">
        <v>0</v>
      </c>
      <c r="T17" s="17">
        <v>0</v>
      </c>
      <c r="U17" s="17">
        <v>1</v>
      </c>
      <c r="V17" s="3">
        <v>8</v>
      </c>
      <c r="W17" s="20">
        <v>72</v>
      </c>
      <c r="X17" s="17">
        <v>8</v>
      </c>
      <c r="Y17" s="3"/>
      <c r="Z17" s="3"/>
      <c r="AA17" s="20"/>
      <c r="AB17" s="3"/>
      <c r="AC17" s="3"/>
      <c r="AD17" s="20"/>
      <c r="AE17" s="3"/>
      <c r="AF17" s="3"/>
      <c r="AG17" s="20"/>
      <c r="AH17" s="107"/>
      <c r="AI17" s="107"/>
      <c r="AJ17" s="107"/>
      <c r="AK17" s="107"/>
      <c r="AL17" s="108"/>
      <c r="AN17" s="67">
        <f t="shared" si="2"/>
        <v>-4.0419200759650948</v>
      </c>
      <c r="AO17" s="67">
        <f t="shared" si="2"/>
        <v>-0.89293533963540028</v>
      </c>
      <c r="AP17" s="67">
        <f t="shared" si="2"/>
        <v>-2.8652467852818688</v>
      </c>
      <c r="AY17" s="67">
        <f t="shared" si="0"/>
        <v>284.04192007596509</v>
      </c>
      <c r="AZ17" s="67">
        <f t="shared" si="1"/>
        <v>70.8929353396354</v>
      </c>
      <c r="BA17" s="67">
        <f t="shared" si="3"/>
        <v>231.86524678528187</v>
      </c>
      <c r="BC17">
        <f t="shared" si="4"/>
        <v>40.066322365574365</v>
      </c>
      <c r="BD17">
        <v>1013.2</v>
      </c>
      <c r="BE17">
        <f t="shared" si="5"/>
        <v>31.29288340580451</v>
      </c>
    </row>
    <row r="18" spans="1:57" x14ac:dyDescent="0.2">
      <c r="A18" s="13">
        <v>9</v>
      </c>
      <c r="B18" s="3">
        <v>16</v>
      </c>
      <c r="C18" s="17">
        <v>6</v>
      </c>
      <c r="D18" s="3">
        <v>4</v>
      </c>
      <c r="E18" s="18">
        <v>9</v>
      </c>
      <c r="F18" s="18">
        <v>16</v>
      </c>
      <c r="G18" s="18">
        <v>76</v>
      </c>
      <c r="H18" s="19">
        <v>2</v>
      </c>
      <c r="I18" s="18"/>
      <c r="J18" s="18"/>
      <c r="K18" s="20">
        <v>106</v>
      </c>
      <c r="L18" s="18">
        <v>289</v>
      </c>
      <c r="M18" s="18">
        <v>251</v>
      </c>
      <c r="N18" s="18">
        <v>288</v>
      </c>
      <c r="O18" s="18">
        <v>72</v>
      </c>
      <c r="P18" s="18">
        <v>234</v>
      </c>
      <c r="Q18" s="17">
        <v>1</v>
      </c>
      <c r="R18" s="17">
        <v>2</v>
      </c>
      <c r="S18" s="17">
        <v>0</v>
      </c>
      <c r="T18" s="17">
        <v>1</v>
      </c>
      <c r="U18" s="17">
        <v>1</v>
      </c>
      <c r="V18" s="3">
        <v>8</v>
      </c>
      <c r="W18" s="20">
        <v>66</v>
      </c>
      <c r="X18" s="17">
        <v>8</v>
      </c>
      <c r="Y18" s="17">
        <v>6</v>
      </c>
      <c r="Z18" s="17">
        <v>0</v>
      </c>
      <c r="AA18" s="20">
        <v>900</v>
      </c>
      <c r="AB18" s="3"/>
      <c r="AC18" s="3"/>
      <c r="AD18" s="20"/>
      <c r="AE18" s="3"/>
      <c r="AF18" s="3"/>
      <c r="AG18" s="20"/>
      <c r="AH18" s="107"/>
      <c r="AI18" s="107"/>
      <c r="AJ18" s="107"/>
      <c r="AK18" s="107"/>
      <c r="AL18" s="108"/>
      <c r="AN18" s="67">
        <f t="shared" si="2"/>
        <v>-4.4391947827829767</v>
      </c>
      <c r="AO18" s="67">
        <f t="shared" si="2"/>
        <v>-1.4130390267583977</v>
      </c>
      <c r="AP18" s="67">
        <f t="shared" si="2"/>
        <v>-2.6898943669415871</v>
      </c>
      <c r="AY18" s="67">
        <f t="shared" si="0"/>
        <v>292.43919478278298</v>
      </c>
      <c r="AZ18" s="67">
        <f t="shared" si="1"/>
        <v>73.413039026758398</v>
      </c>
      <c r="BA18" s="67">
        <f t="shared" si="3"/>
        <v>236.68989436694159</v>
      </c>
      <c r="BC18">
        <f t="shared" si="4"/>
        <v>39.834775764587476</v>
      </c>
      <c r="BD18">
        <v>1013.2</v>
      </c>
      <c r="BE18">
        <f t="shared" si="5"/>
        <v>31.858374091422295</v>
      </c>
    </row>
    <row r="19" spans="1:57" x14ac:dyDescent="0.2">
      <c r="A19" s="13">
        <v>10</v>
      </c>
      <c r="B19" s="3">
        <v>16</v>
      </c>
      <c r="C19" s="17">
        <v>6</v>
      </c>
      <c r="D19" s="3">
        <v>4</v>
      </c>
      <c r="E19" s="18">
        <v>11</v>
      </c>
      <c r="F19" s="18">
        <v>16</v>
      </c>
      <c r="G19" s="18">
        <v>74</v>
      </c>
      <c r="H19" s="19">
        <v>1</v>
      </c>
      <c r="I19" s="18">
        <v>5</v>
      </c>
      <c r="J19" s="18">
        <v>22</v>
      </c>
      <c r="K19" s="20">
        <v>89</v>
      </c>
      <c r="L19" s="18">
        <v>294</v>
      </c>
      <c r="M19" s="18">
        <v>260</v>
      </c>
      <c r="N19" s="18">
        <v>310</v>
      </c>
      <c r="O19" s="18">
        <v>76</v>
      </c>
      <c r="P19" s="18">
        <v>246</v>
      </c>
      <c r="Q19" s="17">
        <v>3</v>
      </c>
      <c r="R19" s="17">
        <v>2</v>
      </c>
      <c r="S19" s="17">
        <v>0</v>
      </c>
      <c r="T19" s="17">
        <v>1</v>
      </c>
      <c r="U19" s="17">
        <v>3</v>
      </c>
      <c r="V19" s="3">
        <v>8</v>
      </c>
      <c r="W19" s="20">
        <v>60</v>
      </c>
      <c r="X19" s="17">
        <v>8</v>
      </c>
      <c r="Y19" s="17">
        <v>5</v>
      </c>
      <c r="Z19" s="17">
        <v>0</v>
      </c>
      <c r="AA19" s="20">
        <v>900</v>
      </c>
      <c r="AB19" s="3"/>
      <c r="AC19" s="3"/>
      <c r="AD19" s="20"/>
      <c r="AE19" s="3"/>
      <c r="AF19" s="3"/>
      <c r="AG19" s="20"/>
      <c r="AH19" s="107" t="s">
        <v>85</v>
      </c>
      <c r="AI19" s="107"/>
      <c r="AJ19" s="107"/>
      <c r="AK19" s="107"/>
      <c r="AL19" s="108"/>
      <c r="AN19" s="67">
        <f t="shared" si="2"/>
        <v>-2.6725819821643881</v>
      </c>
      <c r="AO19" s="67">
        <f t="shared" si="2"/>
        <v>-0.25359957665789068</v>
      </c>
      <c r="AP19" s="67">
        <f t="shared" si="2"/>
        <v>-1.8346192490211024</v>
      </c>
      <c r="AY19" s="67">
        <f t="shared" si="0"/>
        <v>312.67258198216439</v>
      </c>
      <c r="AZ19" s="67">
        <f t="shared" si="1"/>
        <v>76.253599576657891</v>
      </c>
      <c r="BA19" s="67">
        <f t="shared" si="3"/>
        <v>247.8346192490211</v>
      </c>
      <c r="BC19">
        <f t="shared" si="4"/>
        <v>41.004304546677048</v>
      </c>
      <c r="BD19">
        <v>1013.2</v>
      </c>
      <c r="BE19">
        <f t="shared" si="5"/>
        <v>33.608860260136439</v>
      </c>
    </row>
    <row r="20" spans="1:57" x14ac:dyDescent="0.2">
      <c r="A20" s="13">
        <v>11</v>
      </c>
      <c r="B20" s="3">
        <v>16</v>
      </c>
      <c r="C20" s="17">
        <v>7</v>
      </c>
      <c r="D20" s="3">
        <v>4</v>
      </c>
      <c r="E20" s="18">
        <v>11</v>
      </c>
      <c r="F20" s="18">
        <v>11</v>
      </c>
      <c r="G20" s="18">
        <v>70</v>
      </c>
      <c r="H20" s="19">
        <v>1</v>
      </c>
      <c r="I20" s="18">
        <v>5</v>
      </c>
      <c r="J20" s="18">
        <v>22</v>
      </c>
      <c r="K20" s="20">
        <v>90</v>
      </c>
      <c r="L20" s="18">
        <v>283</v>
      </c>
      <c r="M20" s="18">
        <v>250</v>
      </c>
      <c r="N20" s="18">
        <v>290</v>
      </c>
      <c r="O20" s="18">
        <v>75</v>
      </c>
      <c r="P20" s="18">
        <v>235</v>
      </c>
      <c r="Q20" s="17">
        <v>6</v>
      </c>
      <c r="R20" s="17">
        <v>4</v>
      </c>
      <c r="S20" s="17">
        <v>0</v>
      </c>
      <c r="T20" s="17">
        <v>2</v>
      </c>
      <c r="U20" s="17">
        <v>6</v>
      </c>
      <c r="V20" s="3">
        <v>8</v>
      </c>
      <c r="W20" s="20">
        <v>57</v>
      </c>
      <c r="X20" s="17">
        <v>8</v>
      </c>
      <c r="Y20" s="17">
        <v>6</v>
      </c>
      <c r="Z20" s="17">
        <v>0</v>
      </c>
      <c r="AA20" s="20">
        <v>840</v>
      </c>
      <c r="AB20" s="3"/>
      <c r="AC20" s="3"/>
      <c r="AD20" s="20"/>
      <c r="AE20" s="3"/>
      <c r="AF20" s="3"/>
      <c r="AG20" s="20"/>
      <c r="AH20" s="107" t="s">
        <v>85</v>
      </c>
      <c r="AI20" s="107"/>
      <c r="AJ20" s="107"/>
      <c r="AK20" s="107"/>
      <c r="AL20" s="108"/>
      <c r="AN20" s="67">
        <f t="shared" si="2"/>
        <v>-3.9869795861599755</v>
      </c>
      <c r="AO20" s="67">
        <f t="shared" si="2"/>
        <v>-1.4200363698045919</v>
      </c>
      <c r="AP20" s="67">
        <f t="shared" si="2"/>
        <v>-2.565900590903027</v>
      </c>
      <c r="AY20" s="67">
        <f t="shared" si="0"/>
        <v>293.98697958615998</v>
      </c>
      <c r="AZ20" s="67">
        <f t="shared" si="1"/>
        <v>76.420036369804592</v>
      </c>
      <c r="BA20" s="67">
        <f t="shared" si="3"/>
        <v>237.56590059090303</v>
      </c>
      <c r="BC20">
        <f t="shared" si="4"/>
        <v>38.469882186855564</v>
      </c>
      <c r="BD20">
        <v>1013.2</v>
      </c>
      <c r="BE20">
        <f t="shared" si="5"/>
        <v>31.668891609615997</v>
      </c>
    </row>
    <row r="21" spans="1:57" x14ac:dyDescent="0.2">
      <c r="A21" s="13">
        <v>12</v>
      </c>
      <c r="B21" s="3">
        <v>16</v>
      </c>
      <c r="C21" s="17">
        <v>7</v>
      </c>
      <c r="D21" s="3">
        <v>4</v>
      </c>
      <c r="E21" s="18">
        <v>6</v>
      </c>
      <c r="F21" s="18">
        <v>9</v>
      </c>
      <c r="G21" s="18">
        <v>70</v>
      </c>
      <c r="H21" s="19">
        <v>1</v>
      </c>
      <c r="I21" s="18">
        <v>80</v>
      </c>
      <c r="J21" s="18">
        <v>22</v>
      </c>
      <c r="K21" s="20">
        <v>106</v>
      </c>
      <c r="L21" s="18">
        <v>280</v>
      </c>
      <c r="M21" s="18">
        <v>237</v>
      </c>
      <c r="N21" s="18">
        <v>260</v>
      </c>
      <c r="O21" s="18">
        <v>69</v>
      </c>
      <c r="P21" s="18">
        <v>217</v>
      </c>
      <c r="Q21" s="17">
        <v>6</v>
      </c>
      <c r="R21" s="17">
        <v>8</v>
      </c>
      <c r="S21" s="17">
        <v>4</v>
      </c>
      <c r="T21" s="17">
        <v>2</v>
      </c>
      <c r="U21" s="17">
        <v>4</v>
      </c>
      <c r="V21" s="3">
        <v>8</v>
      </c>
      <c r="W21" s="20">
        <v>60</v>
      </c>
      <c r="X21" s="17">
        <v>8</v>
      </c>
      <c r="Y21" s="17">
        <v>4</v>
      </c>
      <c r="Z21" s="17">
        <v>6</v>
      </c>
      <c r="AA21" s="20">
        <f>45*3</f>
        <v>135</v>
      </c>
      <c r="AB21" s="3"/>
      <c r="AC21" s="3"/>
      <c r="AD21" s="20"/>
      <c r="AE21" s="3"/>
      <c r="AF21" s="3"/>
      <c r="AG21" s="20"/>
      <c r="AH21" s="107" t="s">
        <v>92</v>
      </c>
      <c r="AI21" s="107"/>
      <c r="AJ21" s="107"/>
      <c r="AK21" s="107"/>
      <c r="AL21" s="108"/>
      <c r="AN21" s="67">
        <f t="shared" si="2"/>
        <v>-3.400361244354599</v>
      </c>
      <c r="AO21" s="67">
        <f t="shared" si="2"/>
        <v>-0.67730854619472325</v>
      </c>
      <c r="AP21" s="67">
        <f t="shared" si="2"/>
        <v>-2.4521384477516506</v>
      </c>
      <c r="AY21" s="67">
        <f t="shared" si="0"/>
        <v>263.4003612443546</v>
      </c>
      <c r="AZ21" s="67">
        <f t="shared" si="1"/>
        <v>69.677308546194723</v>
      </c>
      <c r="BA21" s="67">
        <f t="shared" si="3"/>
        <v>219.45213844775165</v>
      </c>
      <c r="BC21">
        <f t="shared" si="4"/>
        <v>37.802889741317315</v>
      </c>
      <c r="BD21">
        <v>1013.2</v>
      </c>
      <c r="BE21">
        <f t="shared" si="5"/>
        <v>29.293868430343458</v>
      </c>
    </row>
    <row r="22" spans="1:57" x14ac:dyDescent="0.2">
      <c r="A22" s="13">
        <v>13</v>
      </c>
      <c r="B22" s="3">
        <v>16</v>
      </c>
      <c r="C22" s="17">
        <v>4</v>
      </c>
      <c r="D22" s="3">
        <v>4</v>
      </c>
      <c r="E22" s="18">
        <v>10</v>
      </c>
      <c r="F22" s="18">
        <v>13</v>
      </c>
      <c r="G22" s="18">
        <v>80</v>
      </c>
      <c r="H22" s="19">
        <v>2</v>
      </c>
      <c r="I22" s="18"/>
      <c r="J22" s="18"/>
      <c r="K22" s="20">
        <v>115</v>
      </c>
      <c r="L22" s="18">
        <v>297</v>
      </c>
      <c r="M22" s="18">
        <v>248</v>
      </c>
      <c r="N22" s="18">
        <v>275</v>
      </c>
      <c r="O22" s="18">
        <v>66</v>
      </c>
      <c r="P22" s="18">
        <v>226</v>
      </c>
      <c r="Q22" s="17">
        <v>1</v>
      </c>
      <c r="R22" s="17">
        <v>8</v>
      </c>
      <c r="S22" s="17">
        <v>6</v>
      </c>
      <c r="T22" s="17">
        <v>1</v>
      </c>
      <c r="U22" s="17">
        <v>1</v>
      </c>
      <c r="V22" s="3">
        <v>8</v>
      </c>
      <c r="W22" s="20">
        <v>63</v>
      </c>
      <c r="X22" s="17">
        <v>8</v>
      </c>
      <c r="Y22" s="3"/>
      <c r="Z22" s="3"/>
      <c r="AA22" s="20"/>
      <c r="AB22" s="3"/>
      <c r="AC22" s="3"/>
      <c r="AD22" s="20"/>
      <c r="AE22" s="3"/>
      <c r="AF22" s="3"/>
      <c r="AG22" s="20"/>
      <c r="AH22" s="107"/>
      <c r="AI22" s="107"/>
      <c r="AJ22" s="107"/>
      <c r="AK22" s="107"/>
      <c r="AL22" s="108"/>
      <c r="AN22" s="67">
        <f t="shared" si="2"/>
        <v>-4.2274344122851062</v>
      </c>
      <c r="AO22" s="67">
        <f t="shared" si="2"/>
        <v>-0.9284043614404851</v>
      </c>
      <c r="AP22" s="67">
        <f t="shared" si="2"/>
        <v>-3.0424407146716703</v>
      </c>
      <c r="AY22" s="67">
        <f t="shared" si="0"/>
        <v>279.22743441228511</v>
      </c>
      <c r="AZ22" s="67">
        <f t="shared" si="1"/>
        <v>66.928404361440485</v>
      </c>
      <c r="BA22" s="67">
        <f t="shared" si="3"/>
        <v>229.04244071467167</v>
      </c>
      <c r="BC22">
        <f t="shared" si="4"/>
        <v>41.720318462150075</v>
      </c>
      <c r="BD22">
        <v>1013.2</v>
      </c>
      <c r="BE22">
        <f t="shared" si="5"/>
        <v>31.29288340580451</v>
      </c>
    </row>
    <row r="23" spans="1:57" x14ac:dyDescent="0.2">
      <c r="A23" s="13">
        <v>14</v>
      </c>
      <c r="B23" s="3">
        <v>16</v>
      </c>
      <c r="C23" s="17">
        <v>5</v>
      </c>
      <c r="D23" s="3">
        <v>4</v>
      </c>
      <c r="E23" s="18">
        <v>11</v>
      </c>
      <c r="F23" s="18">
        <v>12</v>
      </c>
      <c r="G23" s="18">
        <v>80</v>
      </c>
      <c r="H23" s="19">
        <v>2</v>
      </c>
      <c r="I23" s="18"/>
      <c r="J23" s="18"/>
      <c r="K23" s="20">
        <v>108</v>
      </c>
      <c r="L23" s="18">
        <v>294</v>
      </c>
      <c r="M23" s="18">
        <v>245</v>
      </c>
      <c r="N23" s="18">
        <v>268</v>
      </c>
      <c r="O23" s="18">
        <v>65</v>
      </c>
      <c r="P23" s="18">
        <v>222</v>
      </c>
      <c r="Q23" s="17">
        <v>1</v>
      </c>
      <c r="R23" s="17">
        <v>2</v>
      </c>
      <c r="S23" s="17">
        <v>0</v>
      </c>
      <c r="T23" s="17">
        <v>2</v>
      </c>
      <c r="U23" s="17">
        <v>1</v>
      </c>
      <c r="V23" s="3">
        <v>8</v>
      </c>
      <c r="W23" s="20">
        <v>66</v>
      </c>
      <c r="X23" s="17">
        <v>8</v>
      </c>
      <c r="Y23" s="17">
        <v>5</v>
      </c>
      <c r="Z23" s="17">
        <v>0</v>
      </c>
      <c r="AA23" s="20">
        <v>840</v>
      </c>
      <c r="AB23" s="3"/>
      <c r="AC23" s="3"/>
      <c r="AD23" s="20"/>
      <c r="AE23" s="3"/>
      <c r="AF23" s="3"/>
      <c r="AG23" s="20"/>
      <c r="AH23" s="107"/>
      <c r="AI23" s="107"/>
      <c r="AJ23" s="107"/>
      <c r="AK23" s="107"/>
      <c r="AL23" s="108"/>
      <c r="AN23" s="67">
        <f t="shared" si="2"/>
        <v>-5.6718832898707205</v>
      </c>
      <c r="AO23" s="67">
        <f t="shared" si="2"/>
        <v>-1.7422326303175453</v>
      </c>
      <c r="AP23" s="67">
        <f t="shared" si="2"/>
        <v>-3.731644838468867</v>
      </c>
      <c r="AY23" s="67">
        <f t="shared" si="0"/>
        <v>273.67188328987072</v>
      </c>
      <c r="AZ23" s="67">
        <f t="shared" si="1"/>
        <v>66.742232630317545</v>
      </c>
      <c r="BA23" s="67">
        <f t="shared" si="3"/>
        <v>225.73164483846887</v>
      </c>
      <c r="BC23">
        <f t="shared" si="4"/>
        <v>41.004304546677048</v>
      </c>
      <c r="BD23">
        <v>1013.2</v>
      </c>
      <c r="BE23">
        <f t="shared" si="5"/>
        <v>30.736197835927069</v>
      </c>
    </row>
    <row r="24" spans="1:57" x14ac:dyDescent="0.2">
      <c r="A24" s="13">
        <v>15</v>
      </c>
      <c r="B24" s="3">
        <v>16</v>
      </c>
      <c r="C24" s="17">
        <v>3</v>
      </c>
      <c r="D24" s="3">
        <v>4</v>
      </c>
      <c r="E24" s="18">
        <v>11</v>
      </c>
      <c r="F24" s="18">
        <v>12</v>
      </c>
      <c r="G24" s="18">
        <v>78</v>
      </c>
      <c r="H24" s="19">
        <v>2</v>
      </c>
      <c r="I24" s="18"/>
      <c r="J24" s="18"/>
      <c r="K24" s="20">
        <v>106</v>
      </c>
      <c r="L24" s="18">
        <v>301</v>
      </c>
      <c r="M24" s="18">
        <v>244</v>
      </c>
      <c r="N24" s="18">
        <v>261</v>
      </c>
      <c r="O24" s="18">
        <v>61</v>
      </c>
      <c r="P24" s="18">
        <v>218</v>
      </c>
      <c r="Q24" s="17">
        <v>1</v>
      </c>
      <c r="R24" s="17">
        <v>2</v>
      </c>
      <c r="S24" s="17">
        <v>0</v>
      </c>
      <c r="T24" s="17">
        <v>1</v>
      </c>
      <c r="U24" s="17">
        <v>1</v>
      </c>
      <c r="V24" s="3">
        <v>8</v>
      </c>
      <c r="W24" s="20">
        <v>63</v>
      </c>
      <c r="X24" s="17">
        <v>8</v>
      </c>
      <c r="Y24" s="3"/>
      <c r="Z24" s="3"/>
      <c r="AA24" s="20"/>
      <c r="AB24" s="3"/>
      <c r="AC24" s="3"/>
      <c r="AD24" s="20"/>
      <c r="AE24" s="3"/>
      <c r="AF24" s="3"/>
      <c r="AG24" s="20"/>
      <c r="AH24" s="107"/>
      <c r="AI24" s="107"/>
      <c r="AJ24" s="107"/>
      <c r="AK24" s="107"/>
      <c r="AL24" s="108"/>
      <c r="AN24" s="67">
        <f t="shared" si="2"/>
        <v>-5.3395897156445358</v>
      </c>
      <c r="AO24" s="67">
        <f t="shared" si="2"/>
        <v>-1.3863445020500009</v>
      </c>
      <c r="AP24" s="67">
        <f t="shared" si="2"/>
        <v>-3.2706529942359452</v>
      </c>
      <c r="AY24" s="67">
        <f t="shared" si="0"/>
        <v>266.33958971564454</v>
      </c>
      <c r="AZ24" s="67">
        <f t="shared" si="1"/>
        <v>62.386344502050001</v>
      </c>
      <c r="BA24" s="67">
        <f t="shared" si="3"/>
        <v>221.27065299423595</v>
      </c>
      <c r="BC24">
        <f t="shared" si="4"/>
        <v>42.691969186765327</v>
      </c>
      <c r="BD24">
        <v>1013.2</v>
      </c>
      <c r="BE24">
        <f t="shared" si="5"/>
        <v>30.552572506268454</v>
      </c>
    </row>
    <row r="25" spans="1:57" x14ac:dyDescent="0.2">
      <c r="A25" s="13">
        <v>16</v>
      </c>
      <c r="B25" s="3">
        <v>16</v>
      </c>
      <c r="C25" s="17">
        <v>7</v>
      </c>
      <c r="D25" s="3">
        <v>4</v>
      </c>
      <c r="E25" s="18">
        <v>3</v>
      </c>
      <c r="F25" s="18">
        <v>13</v>
      </c>
      <c r="G25" s="18">
        <v>68</v>
      </c>
      <c r="H25" s="19">
        <v>1</v>
      </c>
      <c r="I25" s="18">
        <v>15</v>
      </c>
      <c r="J25" s="18">
        <v>22</v>
      </c>
      <c r="K25" s="20">
        <v>118</v>
      </c>
      <c r="L25" s="18">
        <v>293</v>
      </c>
      <c r="M25" s="18">
        <v>258</v>
      </c>
      <c r="N25" s="18">
        <v>304</v>
      </c>
      <c r="O25" s="18">
        <v>74</v>
      </c>
      <c r="P25" s="18">
        <v>243</v>
      </c>
      <c r="Q25" s="17">
        <v>3</v>
      </c>
      <c r="R25" s="17">
        <v>9</v>
      </c>
      <c r="S25" s="17">
        <v>0</v>
      </c>
      <c r="T25" s="17">
        <v>2</v>
      </c>
      <c r="U25" s="17">
        <v>1</v>
      </c>
      <c r="V25" s="3">
        <v>9</v>
      </c>
      <c r="W25" s="20">
        <v>54</v>
      </c>
      <c r="X25" s="17">
        <v>8</v>
      </c>
      <c r="Y25" s="17">
        <v>7</v>
      </c>
      <c r="Z25" s="17">
        <v>0</v>
      </c>
      <c r="AA25" s="20">
        <v>840</v>
      </c>
      <c r="AB25" s="3"/>
      <c r="AC25" s="3"/>
      <c r="AD25" s="20"/>
      <c r="AE25" s="3"/>
      <c r="AF25" s="3"/>
      <c r="AG25" s="20"/>
      <c r="AH25" s="107" t="s">
        <v>99</v>
      </c>
      <c r="AI25" s="107"/>
      <c r="AJ25" s="107"/>
      <c r="AK25" s="107"/>
      <c r="AL25" s="108"/>
      <c r="AN25" s="67">
        <f t="shared" si="2"/>
        <v>-4.0282365499139132</v>
      </c>
      <c r="AO25" s="67">
        <f t="shared" si="2"/>
        <v>-1.5563219449653474</v>
      </c>
      <c r="AP25" s="67">
        <f t="shared" si="2"/>
        <v>-2.3335395908677015</v>
      </c>
      <c r="AY25" s="67">
        <f t="shared" si="0"/>
        <v>308.02823654991391</v>
      </c>
      <c r="AZ25" s="67">
        <f t="shared" si="1"/>
        <v>75.556321944965347</v>
      </c>
      <c r="BA25" s="67">
        <f t="shared" si="3"/>
        <v>245.3335395908677</v>
      </c>
      <c r="BC25">
        <f t="shared" si="4"/>
        <v>40.768029546790189</v>
      </c>
      <c r="BD25">
        <v>1013.2</v>
      </c>
      <c r="BE25">
        <f t="shared" si="5"/>
        <v>33.212758052631393</v>
      </c>
    </row>
    <row r="26" spans="1:57" x14ac:dyDescent="0.2">
      <c r="A26" s="13">
        <v>17</v>
      </c>
      <c r="B26" s="3">
        <v>16</v>
      </c>
      <c r="C26" s="17">
        <v>8</v>
      </c>
      <c r="D26" s="3">
        <v>4</v>
      </c>
      <c r="E26" s="18">
        <v>15</v>
      </c>
      <c r="F26" s="18">
        <v>10</v>
      </c>
      <c r="G26" s="18">
        <v>56</v>
      </c>
      <c r="H26" s="19">
        <v>1</v>
      </c>
      <c r="I26" s="18">
        <v>81</v>
      </c>
      <c r="J26" s="18">
        <v>82</v>
      </c>
      <c r="K26" s="20">
        <v>144</v>
      </c>
      <c r="L26" s="18">
        <v>241</v>
      </c>
      <c r="M26" s="18">
        <v>240</v>
      </c>
      <c r="N26" s="18">
        <v>296</v>
      </c>
      <c r="O26" s="18">
        <v>99</v>
      </c>
      <c r="P26" s="18">
        <v>239</v>
      </c>
      <c r="Q26" s="17">
        <v>8</v>
      </c>
      <c r="R26" s="17">
        <v>8</v>
      </c>
      <c r="S26" s="17" t="s">
        <v>89</v>
      </c>
      <c r="T26" s="17" t="s">
        <v>89</v>
      </c>
      <c r="U26" s="17">
        <v>7</v>
      </c>
      <c r="V26" s="3">
        <v>8</v>
      </c>
      <c r="W26" s="20">
        <f>8*3</f>
        <v>24</v>
      </c>
      <c r="X26" s="17">
        <v>8</v>
      </c>
      <c r="Y26" s="17">
        <v>5</v>
      </c>
      <c r="Z26" s="17">
        <v>6</v>
      </c>
      <c r="AA26" s="20">
        <v>105</v>
      </c>
      <c r="AB26" s="3"/>
      <c r="AC26" s="3"/>
      <c r="AD26" s="20"/>
      <c r="AE26" s="3"/>
      <c r="AF26" s="3"/>
      <c r="AG26" s="20"/>
      <c r="AH26" s="107" t="s">
        <v>107</v>
      </c>
      <c r="AI26" s="107"/>
      <c r="AJ26" s="107"/>
      <c r="AK26" s="107"/>
      <c r="AL26" s="108"/>
      <c r="AN26" s="67">
        <f t="shared" si="2"/>
        <v>-1.5892286918206651</v>
      </c>
      <c r="AO26" s="67">
        <f t="shared" si="2"/>
        <v>-0.17179466801876231</v>
      </c>
      <c r="AP26" s="67">
        <f t="shared" si="2"/>
        <v>-0.58914519951815691</v>
      </c>
      <c r="AY26" s="67">
        <f t="shared" si="0"/>
        <v>297.58922869182067</v>
      </c>
      <c r="AZ26" s="67">
        <f t="shared" si="1"/>
        <v>99.171794668018762</v>
      </c>
      <c r="BA26" s="67">
        <f t="shared" si="3"/>
        <v>239.58914519951816</v>
      </c>
      <c r="BC26">
        <f t="shared" si="4"/>
        <v>30.007446138089119</v>
      </c>
      <c r="BD26">
        <v>1013.2</v>
      </c>
      <c r="BE26">
        <f t="shared" si="5"/>
        <v>29.827639714302066</v>
      </c>
    </row>
    <row r="27" spans="1:57" x14ac:dyDescent="0.2">
      <c r="A27" s="13">
        <v>18</v>
      </c>
      <c r="B27" s="3">
        <v>16</v>
      </c>
      <c r="C27" s="17">
        <v>7</v>
      </c>
      <c r="D27" s="3">
        <v>4</v>
      </c>
      <c r="E27" s="18">
        <v>9</v>
      </c>
      <c r="F27" s="18">
        <v>14</v>
      </c>
      <c r="G27" s="18">
        <v>70</v>
      </c>
      <c r="H27" s="19">
        <v>1</v>
      </c>
      <c r="I27" s="18">
        <v>6</v>
      </c>
      <c r="J27" s="18">
        <v>22</v>
      </c>
      <c r="K27" s="20">
        <v>130</v>
      </c>
      <c r="L27" s="18">
        <v>293</v>
      </c>
      <c r="M27" s="18">
        <v>255</v>
      </c>
      <c r="N27" s="18">
        <v>297</v>
      </c>
      <c r="O27" s="18">
        <v>73</v>
      </c>
      <c r="P27" s="18">
        <v>239</v>
      </c>
      <c r="Q27" s="17">
        <v>6</v>
      </c>
      <c r="R27" s="17">
        <v>4</v>
      </c>
      <c r="S27" s="17">
        <v>6</v>
      </c>
      <c r="T27" s="17">
        <v>2</v>
      </c>
      <c r="U27" s="17">
        <v>1</v>
      </c>
      <c r="V27" s="3">
        <v>8</v>
      </c>
      <c r="W27" s="20">
        <v>57</v>
      </c>
      <c r="X27" s="17">
        <v>8</v>
      </c>
      <c r="Y27" s="17">
        <v>6</v>
      </c>
      <c r="Z27" s="17">
        <v>6</v>
      </c>
      <c r="AA27" s="20">
        <v>120</v>
      </c>
      <c r="AB27" s="3"/>
      <c r="AC27" s="3"/>
      <c r="AD27" s="20"/>
      <c r="AE27" s="3"/>
      <c r="AF27" s="3"/>
      <c r="AG27" s="20"/>
      <c r="AH27" s="107" t="s">
        <v>85</v>
      </c>
      <c r="AI27" s="107"/>
      <c r="AJ27" s="107"/>
      <c r="AK27" s="107"/>
      <c r="AL27" s="108"/>
      <c r="AN27" s="67">
        <f t="shared" si="2"/>
        <v>-3.1063863129404012</v>
      </c>
      <c r="AO27" s="67">
        <f t="shared" si="2"/>
        <v>-0.61316935087653235</v>
      </c>
      <c r="AP27" s="67">
        <f t="shared" si="2"/>
        <v>-1.9902447492295323</v>
      </c>
      <c r="AY27" s="67">
        <f t="shared" si="0"/>
        <v>300.1063863129404</v>
      </c>
      <c r="AZ27" s="67">
        <f t="shared" si="1"/>
        <v>73.613169350876532</v>
      </c>
      <c r="BA27" s="67">
        <f t="shared" si="3"/>
        <v>240.99024474922953</v>
      </c>
      <c r="BC27">
        <f t="shared" si="4"/>
        <v>40.768029546790189</v>
      </c>
      <c r="BD27">
        <v>1013.2</v>
      </c>
      <c r="BE27">
        <f t="shared" si="5"/>
        <v>32.626262153014039</v>
      </c>
    </row>
    <row r="28" spans="1:57" x14ac:dyDescent="0.2">
      <c r="A28" s="13">
        <v>19</v>
      </c>
      <c r="B28" s="3">
        <v>16</v>
      </c>
      <c r="C28" s="17">
        <v>5</v>
      </c>
      <c r="D28" s="3">
        <v>4</v>
      </c>
      <c r="E28" s="18">
        <v>8</v>
      </c>
      <c r="F28" s="18">
        <v>15</v>
      </c>
      <c r="G28" s="18">
        <v>68</v>
      </c>
      <c r="H28" s="19">
        <v>1</v>
      </c>
      <c r="I28" s="18">
        <v>15</v>
      </c>
      <c r="J28" s="18">
        <v>22</v>
      </c>
      <c r="K28" s="20">
        <v>109</v>
      </c>
      <c r="L28" s="18">
        <v>288</v>
      </c>
      <c r="M28" s="18">
        <v>252</v>
      </c>
      <c r="N28" s="18">
        <v>292</v>
      </c>
      <c r="O28" s="18">
        <v>74</v>
      </c>
      <c r="P28" s="18">
        <v>236</v>
      </c>
      <c r="Q28" s="17">
        <v>4</v>
      </c>
      <c r="R28" s="17">
        <v>8</v>
      </c>
      <c r="S28" s="17">
        <v>0</v>
      </c>
      <c r="T28" s="17">
        <v>1</v>
      </c>
      <c r="U28" s="17">
        <v>3</v>
      </c>
      <c r="V28" s="3">
        <v>8</v>
      </c>
      <c r="W28" s="20">
        <v>54</v>
      </c>
      <c r="X28" s="17">
        <v>8</v>
      </c>
      <c r="Y28" s="3"/>
      <c r="Z28" s="3"/>
      <c r="AA28" s="20"/>
      <c r="AB28" s="3"/>
      <c r="AC28" s="3"/>
      <c r="AD28" s="20"/>
      <c r="AE28" s="3"/>
      <c r="AF28" s="3"/>
      <c r="AG28" s="20"/>
      <c r="AH28" s="107" t="s">
        <v>123</v>
      </c>
      <c r="AI28" s="107"/>
      <c r="AJ28" s="107"/>
      <c r="AK28" s="107"/>
      <c r="AL28" s="108"/>
      <c r="AN28" s="67">
        <f t="shared" si="2"/>
        <v>-3.7171940267058972</v>
      </c>
      <c r="AO28" s="67">
        <f t="shared" si="2"/>
        <v>-0.66776513796618531</v>
      </c>
      <c r="AP28" s="67">
        <f t="shared" si="2"/>
        <v>-2.5403888925458773</v>
      </c>
      <c r="AY28" s="67">
        <f t="shared" si="0"/>
        <v>295.7171940267059</v>
      </c>
      <c r="AZ28" s="67">
        <f t="shared" si="1"/>
        <v>74.667765137966185</v>
      </c>
      <c r="BA28" s="67">
        <f t="shared" si="3"/>
        <v>238.54038889254588</v>
      </c>
      <c r="BC28">
        <f t="shared" si="4"/>
        <v>39.60439869605031</v>
      </c>
      <c r="BD28">
        <v>1013.2</v>
      </c>
      <c r="BE28">
        <f t="shared" si="5"/>
        <v>32.048847988206589</v>
      </c>
    </row>
    <row r="29" spans="1:57" x14ac:dyDescent="0.2">
      <c r="A29" s="13">
        <v>20</v>
      </c>
      <c r="B29" s="3">
        <v>16</v>
      </c>
      <c r="C29" s="17">
        <v>8</v>
      </c>
      <c r="D29" s="3">
        <v>4</v>
      </c>
      <c r="E29" s="18">
        <v>9</v>
      </c>
      <c r="F29" s="18">
        <v>13</v>
      </c>
      <c r="G29" s="18">
        <v>40</v>
      </c>
      <c r="H29" s="19">
        <v>1</v>
      </c>
      <c r="I29" s="18">
        <v>80</v>
      </c>
      <c r="J29" s="18">
        <v>22</v>
      </c>
      <c r="K29" s="20">
        <v>106</v>
      </c>
      <c r="L29" s="18">
        <v>280</v>
      </c>
      <c r="M29" s="18">
        <v>246</v>
      </c>
      <c r="N29" s="18">
        <v>284</v>
      </c>
      <c r="O29" s="18">
        <v>75</v>
      </c>
      <c r="P29" s="18">
        <v>231</v>
      </c>
      <c r="Q29" s="17">
        <v>6</v>
      </c>
      <c r="R29" s="17">
        <v>8</v>
      </c>
      <c r="S29" s="17">
        <v>7</v>
      </c>
      <c r="T29" s="17" t="s">
        <v>89</v>
      </c>
      <c r="U29" s="17">
        <v>6</v>
      </c>
      <c r="V29" s="3">
        <v>8</v>
      </c>
      <c r="W29" s="20">
        <v>48</v>
      </c>
      <c r="X29" s="17">
        <v>8</v>
      </c>
      <c r="Y29" s="17">
        <v>7</v>
      </c>
      <c r="Z29" s="17">
        <v>4</v>
      </c>
      <c r="AA29" s="20">
        <v>240</v>
      </c>
      <c r="AB29" s="3"/>
      <c r="AC29" s="3"/>
      <c r="AD29" s="20"/>
      <c r="AE29" s="3"/>
      <c r="AF29" s="3"/>
      <c r="AG29" s="20"/>
      <c r="AH29" s="107" t="s">
        <v>131</v>
      </c>
      <c r="AI29" s="107"/>
      <c r="AJ29" s="107"/>
      <c r="AK29" s="107"/>
      <c r="AL29" s="108"/>
      <c r="AN29" s="67">
        <f t="shared" si="2"/>
        <v>-1.8284702866097291</v>
      </c>
      <c r="AO29" s="67">
        <f t="shared" si="2"/>
        <v>-0.6102171666015721</v>
      </c>
      <c r="AP29" s="67">
        <f t="shared" si="2"/>
        <v>-1.902073059290899</v>
      </c>
      <c r="AY29" s="67">
        <f t="shared" si="0"/>
        <v>285.82847028660973</v>
      </c>
      <c r="AZ29" s="67">
        <f t="shared" si="1"/>
        <v>75.610217166601572</v>
      </c>
      <c r="BA29" s="67">
        <f t="shared" si="3"/>
        <v>232.9020730592909</v>
      </c>
      <c r="BC29">
        <f t="shared" si="4"/>
        <v>37.802889741317315</v>
      </c>
      <c r="BD29">
        <v>1013.2</v>
      </c>
      <c r="BE29">
        <f t="shared" si="5"/>
        <v>30.920788561092973</v>
      </c>
    </row>
    <row r="30" spans="1:57" x14ac:dyDescent="0.2">
      <c r="A30" s="13">
        <v>21</v>
      </c>
      <c r="B30" s="3">
        <v>16</v>
      </c>
      <c r="C30" s="17">
        <v>4</v>
      </c>
      <c r="D30" s="3">
        <v>4</v>
      </c>
      <c r="E30" s="18">
        <v>10</v>
      </c>
      <c r="F30" s="18">
        <v>13</v>
      </c>
      <c r="G30" s="18">
        <v>78</v>
      </c>
      <c r="H30" s="19">
        <v>2</v>
      </c>
      <c r="I30" s="18"/>
      <c r="J30" s="18"/>
      <c r="K30" s="20">
        <v>109</v>
      </c>
      <c r="L30" s="18">
        <v>290</v>
      </c>
      <c r="M30" s="18">
        <v>255</v>
      </c>
      <c r="N30" s="18">
        <v>299</v>
      </c>
      <c r="O30" s="18">
        <v>74</v>
      </c>
      <c r="P30" s="18">
        <v>240</v>
      </c>
      <c r="Q30" s="17">
        <v>1</v>
      </c>
      <c r="R30" s="17">
        <v>8</v>
      </c>
      <c r="S30" s="17">
        <v>0</v>
      </c>
      <c r="T30" s="17">
        <v>2</v>
      </c>
      <c r="U30" s="17">
        <v>1</v>
      </c>
      <c r="V30" s="3">
        <v>8</v>
      </c>
      <c r="W30" s="20">
        <v>69</v>
      </c>
      <c r="X30" s="17">
        <v>8</v>
      </c>
      <c r="Y30" s="17">
        <v>3</v>
      </c>
      <c r="Z30" s="17">
        <v>0</v>
      </c>
      <c r="AA30" s="20">
        <v>840</v>
      </c>
      <c r="AB30" s="3"/>
      <c r="AC30" s="3"/>
      <c r="AD30" s="20"/>
      <c r="AE30" s="3"/>
      <c r="AF30" s="3"/>
      <c r="AG30" s="20"/>
      <c r="AH30" s="107"/>
      <c r="AI30" s="107"/>
      <c r="AJ30" s="107"/>
      <c r="AK30" s="107"/>
      <c r="AL30" s="108"/>
      <c r="AN30" s="67">
        <f t="shared" si="2"/>
        <v>-3.1713522511403767</v>
      </c>
      <c r="AO30" s="67">
        <f t="shared" si="2"/>
        <v>-1.4177909053042868</v>
      </c>
      <c r="AP30" s="67">
        <f t="shared" si="2"/>
        <v>-2.1319830549777521</v>
      </c>
      <c r="AY30" s="67">
        <f t="shared" si="0"/>
        <v>302.17135225114038</v>
      </c>
      <c r="AZ30" s="67">
        <f t="shared" si="1"/>
        <v>75.417790905304287</v>
      </c>
      <c r="BA30" s="67">
        <f t="shared" si="3"/>
        <v>242.13198305497775</v>
      </c>
      <c r="BC30">
        <f t="shared" si="4"/>
        <v>40.066322365574365</v>
      </c>
      <c r="BD30">
        <v>1013.2</v>
      </c>
      <c r="BE30">
        <f t="shared" si="5"/>
        <v>32.626262153014039</v>
      </c>
    </row>
    <row r="31" spans="1:57" x14ac:dyDescent="0.2">
      <c r="A31" s="13">
        <v>22</v>
      </c>
      <c r="B31" s="3">
        <v>16</v>
      </c>
      <c r="C31" s="17">
        <v>6</v>
      </c>
      <c r="D31" s="3">
        <v>4</v>
      </c>
      <c r="E31" s="18">
        <v>7</v>
      </c>
      <c r="F31" s="18">
        <v>16</v>
      </c>
      <c r="G31" s="18">
        <v>70</v>
      </c>
      <c r="H31" s="19">
        <v>1</v>
      </c>
      <c r="I31" s="18">
        <v>5</v>
      </c>
      <c r="J31" s="18">
        <v>22</v>
      </c>
      <c r="K31" s="20">
        <v>113</v>
      </c>
      <c r="L31" s="18">
        <v>293</v>
      </c>
      <c r="M31" s="18">
        <v>251</v>
      </c>
      <c r="N31" s="18">
        <v>286</v>
      </c>
      <c r="O31" s="18">
        <v>70</v>
      </c>
      <c r="P31" s="18">
        <v>233</v>
      </c>
      <c r="Q31" s="17">
        <v>5</v>
      </c>
      <c r="R31" s="17">
        <v>8</v>
      </c>
      <c r="S31" s="17">
        <v>3</v>
      </c>
      <c r="T31" s="17">
        <v>0</v>
      </c>
      <c r="U31" s="17">
        <v>1</v>
      </c>
      <c r="V31" s="3">
        <v>8</v>
      </c>
      <c r="W31" s="20">
        <v>54</v>
      </c>
      <c r="X31" s="17">
        <v>8</v>
      </c>
      <c r="Y31" s="17">
        <v>4</v>
      </c>
      <c r="Z31" s="17">
        <v>6</v>
      </c>
      <c r="AA31" s="20">
        <v>120</v>
      </c>
      <c r="AB31" s="3"/>
      <c r="AC31" s="3"/>
      <c r="AD31" s="20"/>
      <c r="AE31" s="3"/>
      <c r="AF31" s="3"/>
      <c r="AG31" s="20"/>
      <c r="AH31" s="107" t="s">
        <v>85</v>
      </c>
      <c r="AI31" s="107"/>
      <c r="AJ31" s="107"/>
      <c r="AK31" s="107"/>
      <c r="AL31" s="108"/>
      <c r="AN31" s="67">
        <f t="shared" si="2"/>
        <v>-3.6871372952629713</v>
      </c>
      <c r="AO31" s="67">
        <f t="shared" si="2"/>
        <v>-1.0574291952923431</v>
      </c>
      <c r="AP31" s="67">
        <f t="shared" si="2"/>
        <v>-2.1222225094984708</v>
      </c>
      <c r="AY31" s="67">
        <f t="shared" si="0"/>
        <v>289.68713729526297</v>
      </c>
      <c r="AZ31" s="67">
        <f t="shared" si="1"/>
        <v>71.057429195292343</v>
      </c>
      <c r="BA31" s="67">
        <f t="shared" si="3"/>
        <v>235.12222250949847</v>
      </c>
      <c r="BC31">
        <f t="shared" si="4"/>
        <v>40.768029546790189</v>
      </c>
      <c r="BD31">
        <v>1013.2</v>
      </c>
      <c r="BE31">
        <f t="shared" si="5"/>
        <v>31.858374091422295</v>
      </c>
    </row>
    <row r="32" spans="1:57" x14ac:dyDescent="0.2">
      <c r="A32" s="13">
        <v>23</v>
      </c>
      <c r="B32" s="3">
        <v>16</v>
      </c>
      <c r="C32" s="17">
        <v>7</v>
      </c>
      <c r="D32" s="3">
        <v>4</v>
      </c>
      <c r="E32" s="18">
        <v>0</v>
      </c>
      <c r="F32" s="18">
        <v>0</v>
      </c>
      <c r="G32" s="18">
        <v>80</v>
      </c>
      <c r="H32" s="19">
        <v>2</v>
      </c>
      <c r="I32" s="18"/>
      <c r="J32" s="18"/>
      <c r="K32" s="20">
        <v>105</v>
      </c>
      <c r="L32" s="18">
        <v>294</v>
      </c>
      <c r="M32" s="18">
        <v>252</v>
      </c>
      <c r="N32" s="18">
        <v>286</v>
      </c>
      <c r="O32" s="18">
        <v>70</v>
      </c>
      <c r="P32" s="18">
        <v>233</v>
      </c>
      <c r="Q32" s="17">
        <v>2</v>
      </c>
      <c r="R32" s="17">
        <v>8</v>
      </c>
      <c r="S32" s="17">
        <v>0</v>
      </c>
      <c r="T32" s="17">
        <v>2</v>
      </c>
      <c r="U32" s="17">
        <v>2</v>
      </c>
      <c r="V32" s="3">
        <v>8</v>
      </c>
      <c r="W32" s="20">
        <v>66</v>
      </c>
      <c r="X32" s="17">
        <v>8</v>
      </c>
      <c r="Y32" s="17">
        <v>7</v>
      </c>
      <c r="Z32" s="17">
        <v>0</v>
      </c>
      <c r="AA32" s="20">
        <v>870</v>
      </c>
      <c r="AB32" s="3"/>
      <c r="AC32" s="3"/>
      <c r="AD32" s="20"/>
      <c r="AE32" s="3"/>
      <c r="AF32" s="3"/>
      <c r="AG32" s="20"/>
      <c r="AH32" s="107"/>
      <c r="AI32" s="107"/>
      <c r="AJ32" s="107"/>
      <c r="AK32" s="107"/>
      <c r="AL32" s="108"/>
      <c r="AN32" s="67">
        <f t="shared" si="2"/>
        <v>-5.5886463841458749</v>
      </c>
      <c r="AO32" s="67">
        <f t="shared" si="2"/>
        <v>-1.1117161009809138</v>
      </c>
      <c r="AP32" s="67">
        <f t="shared" si="2"/>
        <v>-3.2067756942090568</v>
      </c>
      <c r="AY32" s="67">
        <f t="shared" si="0"/>
        <v>291.58864638414587</v>
      </c>
      <c r="AZ32" s="67">
        <f t="shared" si="1"/>
        <v>71.111716100980914</v>
      </c>
      <c r="BA32" s="67">
        <f t="shared" si="3"/>
        <v>236.20677569420906</v>
      </c>
      <c r="BC32">
        <f t="shared" si="4"/>
        <v>41.004304546677048</v>
      </c>
      <c r="BD32">
        <v>1013.2</v>
      </c>
      <c r="BE32">
        <f t="shared" si="5"/>
        <v>32.048847988206589</v>
      </c>
    </row>
    <row r="33" spans="1:57" x14ac:dyDescent="0.2">
      <c r="A33" s="13">
        <v>24</v>
      </c>
      <c r="B33" s="3">
        <v>16</v>
      </c>
      <c r="C33" s="17">
        <v>7</v>
      </c>
      <c r="D33" s="3">
        <v>4</v>
      </c>
      <c r="E33" s="18">
        <v>0</v>
      </c>
      <c r="F33" s="18">
        <v>0</v>
      </c>
      <c r="G33" s="18">
        <v>70</v>
      </c>
      <c r="H33" s="19">
        <v>1</v>
      </c>
      <c r="I33" s="18">
        <v>6</v>
      </c>
      <c r="J33" s="18">
        <v>62</v>
      </c>
      <c r="K33" s="20">
        <v>102</v>
      </c>
      <c r="L33" s="18">
        <v>265</v>
      </c>
      <c r="M33" s="18">
        <v>242</v>
      </c>
      <c r="N33" s="18">
        <v>285</v>
      </c>
      <c r="O33" s="18">
        <v>82</v>
      </c>
      <c r="P33" s="18">
        <v>232</v>
      </c>
      <c r="Q33" s="17">
        <v>7</v>
      </c>
      <c r="R33" s="17">
        <v>8</v>
      </c>
      <c r="S33" s="17" t="s">
        <v>89</v>
      </c>
      <c r="T33" s="17" t="s">
        <v>89</v>
      </c>
      <c r="U33" s="17">
        <v>2</v>
      </c>
      <c r="V33" s="3">
        <v>8</v>
      </c>
      <c r="W33" s="20">
        <v>57</v>
      </c>
      <c r="X33" s="17">
        <v>8</v>
      </c>
      <c r="Y33" s="17">
        <v>7</v>
      </c>
      <c r="Z33" s="17">
        <v>6</v>
      </c>
      <c r="AA33" s="20">
        <v>114</v>
      </c>
      <c r="AB33" s="3"/>
      <c r="AC33" s="3"/>
      <c r="AD33" s="20"/>
      <c r="AE33" s="3"/>
      <c r="AF33" s="3"/>
      <c r="AG33" s="20"/>
      <c r="AH33" s="107" t="s">
        <v>155</v>
      </c>
      <c r="AI33" s="107"/>
      <c r="AJ33" s="107"/>
      <c r="AK33" s="107"/>
      <c r="AL33" s="108"/>
      <c r="AN33" s="67">
        <f t="shared" si="2"/>
        <v>-1.0735973093278517</v>
      </c>
      <c r="AO33" s="67">
        <f t="shared" si="2"/>
        <v>-0.63903864063608751</v>
      </c>
      <c r="AP33" s="67">
        <f t="shared" si="2"/>
        <v>-1.0438895991376569</v>
      </c>
      <c r="AY33" s="67">
        <f t="shared" si="0"/>
        <v>286.07359730932785</v>
      </c>
      <c r="AZ33" s="67">
        <f t="shared" si="1"/>
        <v>82.639038640636088</v>
      </c>
      <c r="BA33" s="67">
        <f t="shared" si="3"/>
        <v>233.04388959913766</v>
      </c>
      <c r="BC33">
        <f t="shared" si="4"/>
        <v>34.617246523564582</v>
      </c>
      <c r="BD33">
        <v>1013.2</v>
      </c>
      <c r="BE33">
        <f t="shared" si="5"/>
        <v>30.188200917340787</v>
      </c>
    </row>
    <row r="34" spans="1:57" x14ac:dyDescent="0.2">
      <c r="A34" s="13">
        <v>25</v>
      </c>
      <c r="B34" s="3">
        <v>16</v>
      </c>
      <c r="C34" s="17">
        <v>7</v>
      </c>
      <c r="D34" s="3">
        <v>4</v>
      </c>
      <c r="E34" s="18">
        <v>9</v>
      </c>
      <c r="F34" s="18">
        <v>7</v>
      </c>
      <c r="G34" s="18">
        <v>76</v>
      </c>
      <c r="H34" s="19">
        <v>2</v>
      </c>
      <c r="I34" s="18"/>
      <c r="J34" s="18"/>
      <c r="K34" s="20">
        <v>120</v>
      </c>
      <c r="L34" s="18">
        <v>284</v>
      </c>
      <c r="M34" s="18">
        <v>239</v>
      </c>
      <c r="N34" s="18">
        <v>261</v>
      </c>
      <c r="O34" s="18">
        <v>68</v>
      </c>
      <c r="P34" s="18">
        <v>218</v>
      </c>
      <c r="Q34" s="17">
        <v>7</v>
      </c>
      <c r="R34" s="17">
        <v>9</v>
      </c>
      <c r="S34" s="17">
        <v>0</v>
      </c>
      <c r="T34" s="17">
        <v>2</v>
      </c>
      <c r="U34" s="17">
        <v>1</v>
      </c>
      <c r="V34" s="3">
        <v>8</v>
      </c>
      <c r="W34" s="20">
        <v>60</v>
      </c>
      <c r="X34" s="17">
        <v>8</v>
      </c>
      <c r="Y34" s="17">
        <v>7</v>
      </c>
      <c r="Z34" s="17">
        <v>6</v>
      </c>
      <c r="AA34" s="20">
        <f>45*3</f>
        <v>135</v>
      </c>
      <c r="AB34" s="3"/>
      <c r="AC34" s="3"/>
      <c r="AD34" s="20"/>
      <c r="AE34" s="3">
        <v>1</v>
      </c>
      <c r="AF34" s="3">
        <v>9</v>
      </c>
      <c r="AG34" s="20" t="s">
        <v>168</v>
      </c>
      <c r="AH34" s="107" t="s">
        <v>169</v>
      </c>
      <c r="AI34" s="107"/>
      <c r="AJ34" s="107"/>
      <c r="AK34" s="107"/>
      <c r="AL34" s="108"/>
      <c r="AN34" s="67">
        <f t="shared" si="2"/>
        <v>-4.5686545195781605</v>
      </c>
      <c r="AO34" s="67">
        <f t="shared" si="2"/>
        <v>-0.63216984477570293</v>
      </c>
      <c r="AP34" s="67">
        <f t="shared" si="2"/>
        <v>-2.7953802912155368</v>
      </c>
      <c r="AY34" s="67">
        <f t="shared" si="0"/>
        <v>265.56865451957816</v>
      </c>
      <c r="AZ34" s="67">
        <f t="shared" si="1"/>
        <v>68.632169844775703</v>
      </c>
      <c r="BA34" s="67">
        <f t="shared" si="3"/>
        <v>220.79538029121554</v>
      </c>
      <c r="BC34">
        <f t="shared" si="4"/>
        <v>38.694486145521928</v>
      </c>
      <c r="BD34">
        <v>1013.2</v>
      </c>
      <c r="BE34">
        <f t="shared" si="5"/>
        <v>29.648777423897815</v>
      </c>
    </row>
    <row r="35" spans="1:57" x14ac:dyDescent="0.2">
      <c r="A35" s="13">
        <v>26</v>
      </c>
      <c r="B35" s="3">
        <v>16</v>
      </c>
      <c r="C35" s="17">
        <v>7</v>
      </c>
      <c r="D35" s="3">
        <v>4</v>
      </c>
      <c r="E35" s="18">
        <v>8</v>
      </c>
      <c r="F35" s="18">
        <v>11</v>
      </c>
      <c r="G35" s="18">
        <v>62</v>
      </c>
      <c r="H35" s="19">
        <v>1</v>
      </c>
      <c r="I35" s="18">
        <v>5</v>
      </c>
      <c r="J35" s="18">
        <v>22</v>
      </c>
      <c r="K35" s="20">
        <v>123</v>
      </c>
      <c r="L35" s="18">
        <v>272</v>
      </c>
      <c r="M35" s="18">
        <v>250</v>
      </c>
      <c r="N35" s="18">
        <v>299</v>
      </c>
      <c r="O35" s="18">
        <v>83</v>
      </c>
      <c r="P35" s="18">
        <v>240</v>
      </c>
      <c r="Q35" s="17">
        <v>7</v>
      </c>
      <c r="R35" s="17">
        <v>9</v>
      </c>
      <c r="S35" s="17">
        <v>4</v>
      </c>
      <c r="T35" s="17">
        <v>3</v>
      </c>
      <c r="U35" s="17">
        <v>1</v>
      </c>
      <c r="V35" s="3">
        <v>9</v>
      </c>
      <c r="W35" s="20">
        <v>30</v>
      </c>
      <c r="X35" s="17">
        <v>8</v>
      </c>
      <c r="Y35" s="17">
        <v>3</v>
      </c>
      <c r="Z35" s="17">
        <v>8</v>
      </c>
      <c r="AA35" s="20">
        <f>14*3</f>
        <v>42</v>
      </c>
      <c r="AB35" s="17">
        <v>5</v>
      </c>
      <c r="AC35" s="17">
        <v>6</v>
      </c>
      <c r="AD35" s="20">
        <f>36*3</f>
        <v>108</v>
      </c>
      <c r="AE35" s="3"/>
      <c r="AF35" s="3"/>
      <c r="AG35" s="20"/>
      <c r="AH35" s="107" t="s">
        <v>120</v>
      </c>
      <c r="AI35" s="107"/>
      <c r="AJ35" s="107"/>
      <c r="AK35" s="107"/>
      <c r="AL35" s="108"/>
      <c r="AN35" s="67">
        <f t="shared" si="2"/>
        <v>-2.5542917561599552</v>
      </c>
      <c r="AO35" s="67">
        <f t="shared" si="2"/>
        <v>-0.59464187068863339</v>
      </c>
      <c r="AP35" s="67">
        <f t="shared" si="2"/>
        <v>-1.791522280882532</v>
      </c>
      <c r="AY35" s="67">
        <f t="shared" si="0"/>
        <v>301.55429175615996</v>
      </c>
      <c r="AZ35" s="67">
        <f t="shared" si="1"/>
        <v>83.594641870688633</v>
      </c>
      <c r="BA35" s="67">
        <f t="shared" si="3"/>
        <v>241.79152228088253</v>
      </c>
      <c r="BC35">
        <f t="shared" si="4"/>
        <v>36.073399563411016</v>
      </c>
      <c r="BD35">
        <v>1013.2</v>
      </c>
      <c r="BE35">
        <f t="shared" si="5"/>
        <v>31.668891609615997</v>
      </c>
    </row>
    <row r="36" spans="1:57" x14ac:dyDescent="0.2">
      <c r="A36" s="13">
        <v>27</v>
      </c>
      <c r="B36" s="3">
        <v>16</v>
      </c>
      <c r="C36" s="17">
        <v>7</v>
      </c>
      <c r="D36" s="3">
        <v>4</v>
      </c>
      <c r="E36" s="18">
        <v>8</v>
      </c>
      <c r="F36" s="18">
        <v>16</v>
      </c>
      <c r="G36" s="18">
        <v>68</v>
      </c>
      <c r="H36" s="19">
        <v>1</v>
      </c>
      <c r="I36" s="18">
        <v>80</v>
      </c>
      <c r="J36" s="18">
        <v>82</v>
      </c>
      <c r="K36" s="20">
        <v>114</v>
      </c>
      <c r="L36" s="18">
        <v>282</v>
      </c>
      <c r="M36" s="18">
        <v>255</v>
      </c>
      <c r="N36" s="18">
        <v>306</v>
      </c>
      <c r="O36" s="18">
        <v>80</v>
      </c>
      <c r="P36" s="18">
        <v>244</v>
      </c>
      <c r="Q36" s="17">
        <v>2</v>
      </c>
      <c r="R36" s="17">
        <v>8</v>
      </c>
      <c r="S36" s="17">
        <v>4</v>
      </c>
      <c r="T36" s="17">
        <v>1</v>
      </c>
      <c r="U36" s="17">
        <v>2</v>
      </c>
      <c r="V36" s="3">
        <v>8</v>
      </c>
      <c r="W36" s="20">
        <v>54</v>
      </c>
      <c r="X36" s="17">
        <v>8</v>
      </c>
      <c r="Y36" s="17">
        <v>7</v>
      </c>
      <c r="Z36" s="17">
        <v>0</v>
      </c>
      <c r="AA36" s="20">
        <v>840</v>
      </c>
      <c r="AB36" s="3"/>
      <c r="AC36" s="3"/>
      <c r="AD36" s="20"/>
      <c r="AE36" s="3"/>
      <c r="AF36" s="3"/>
      <c r="AG36" s="20"/>
      <c r="AH36" s="107" t="s">
        <v>187</v>
      </c>
      <c r="AI36" s="107"/>
      <c r="AJ36" s="107"/>
      <c r="AK36" s="107"/>
      <c r="AL36" s="108"/>
      <c r="AN36" s="67">
        <f t="shared" si="2"/>
        <v>-1.6779280863403869</v>
      </c>
      <c r="AO36" s="67">
        <f t="shared" si="2"/>
        <v>-0.44620743805865004</v>
      </c>
      <c r="AP36" s="67">
        <f t="shared" si="2"/>
        <v>-1.1435549234014104</v>
      </c>
      <c r="AY36" s="67">
        <f t="shared" si="0"/>
        <v>307.67792808634039</v>
      </c>
      <c r="AZ36" s="67">
        <f t="shared" si="1"/>
        <v>80.44620743805865</v>
      </c>
      <c r="BA36" s="67">
        <f t="shared" si="3"/>
        <v>245.14355492340141</v>
      </c>
      <c r="BC36">
        <f t="shared" si="4"/>
        <v>38.246418058084821</v>
      </c>
      <c r="BD36">
        <v>1013.2</v>
      </c>
      <c r="BE36">
        <f t="shared" si="5"/>
        <v>32.626262153014039</v>
      </c>
    </row>
    <row r="37" spans="1:57" x14ac:dyDescent="0.2">
      <c r="A37" s="13">
        <v>28</v>
      </c>
      <c r="B37" s="3">
        <v>16</v>
      </c>
      <c r="C37" s="17">
        <v>6</v>
      </c>
      <c r="D37" s="3">
        <v>4</v>
      </c>
      <c r="E37" s="18">
        <v>8</v>
      </c>
      <c r="F37" s="18">
        <v>15</v>
      </c>
      <c r="G37" s="18">
        <v>68</v>
      </c>
      <c r="H37" s="19">
        <v>1</v>
      </c>
      <c r="I37" s="18">
        <v>5</v>
      </c>
      <c r="J37" s="18">
        <v>22</v>
      </c>
      <c r="K37" s="20">
        <v>129</v>
      </c>
      <c r="L37" s="18">
        <v>286</v>
      </c>
      <c r="M37" s="18">
        <v>261</v>
      </c>
      <c r="N37" s="18">
        <v>319</v>
      </c>
      <c r="O37" s="18">
        <v>81</v>
      </c>
      <c r="P37" s="18">
        <v>251</v>
      </c>
      <c r="Q37" s="17">
        <v>3</v>
      </c>
      <c r="R37" s="17">
        <v>8</v>
      </c>
      <c r="S37" s="17">
        <v>3</v>
      </c>
      <c r="T37" s="17">
        <v>2</v>
      </c>
      <c r="U37" s="17">
        <v>2</v>
      </c>
      <c r="V37" s="3">
        <v>8</v>
      </c>
      <c r="W37" s="20">
        <v>63</v>
      </c>
      <c r="X37" s="17">
        <v>8</v>
      </c>
      <c r="Y37" s="17">
        <v>3</v>
      </c>
      <c r="Z37" s="17">
        <v>0</v>
      </c>
      <c r="AA37" s="20">
        <v>780</v>
      </c>
      <c r="AB37" s="3"/>
      <c r="AC37" s="3"/>
      <c r="AD37" s="20"/>
      <c r="AE37" s="3"/>
      <c r="AF37" s="3"/>
      <c r="AG37" s="20"/>
      <c r="AH37" s="107" t="s">
        <v>85</v>
      </c>
      <c r="AI37" s="107"/>
      <c r="AJ37" s="107"/>
      <c r="AK37" s="107"/>
      <c r="AL37" s="108"/>
      <c r="AN37" s="67">
        <f t="shared" si="2"/>
        <v>-1.8649787081835711</v>
      </c>
      <c r="AO37" s="67">
        <f t="shared" si="2"/>
        <v>-0.96385085232284951</v>
      </c>
      <c r="AP37" s="67">
        <f t="shared" si="2"/>
        <v>-1.1681915674515722</v>
      </c>
      <c r="AY37" s="67">
        <f t="shared" si="0"/>
        <v>320.86497870818357</v>
      </c>
      <c r="AZ37" s="67">
        <f t="shared" si="1"/>
        <v>81.96385085232285</v>
      </c>
      <c r="BA37" s="67">
        <f t="shared" si="3"/>
        <v>252.16819156745157</v>
      </c>
      <c r="BC37">
        <f t="shared" si="4"/>
        <v>39.147133202208529</v>
      </c>
      <c r="BD37">
        <v>1013.2</v>
      </c>
      <c r="BE37">
        <f t="shared" si="5"/>
        <v>33.808456347518359</v>
      </c>
    </row>
    <row r="38" spans="1:57" x14ac:dyDescent="0.2">
      <c r="A38" s="13">
        <v>29</v>
      </c>
      <c r="B38" s="3">
        <v>16</v>
      </c>
      <c r="C38" s="17">
        <v>7</v>
      </c>
      <c r="D38" s="3">
        <v>4</v>
      </c>
      <c r="E38" s="18">
        <v>7</v>
      </c>
      <c r="F38" s="18">
        <v>16</v>
      </c>
      <c r="G38" s="18">
        <v>56</v>
      </c>
      <c r="H38" s="19">
        <v>1</v>
      </c>
      <c r="I38" s="18">
        <v>80</v>
      </c>
      <c r="J38" s="18">
        <v>22</v>
      </c>
      <c r="K38" s="20">
        <v>126</v>
      </c>
      <c r="L38" s="18">
        <v>260</v>
      </c>
      <c r="M38" s="18">
        <v>249</v>
      </c>
      <c r="N38" s="18">
        <v>305</v>
      </c>
      <c r="O38" s="18">
        <v>91</v>
      </c>
      <c r="P38" s="18">
        <v>244</v>
      </c>
      <c r="Q38" s="17">
        <v>7</v>
      </c>
      <c r="R38" s="17">
        <v>8</v>
      </c>
      <c r="S38" s="17" t="s">
        <v>89</v>
      </c>
      <c r="T38" s="17" t="s">
        <v>89</v>
      </c>
      <c r="U38" s="17">
        <v>5</v>
      </c>
      <c r="V38" s="3">
        <v>8</v>
      </c>
      <c r="W38" s="20">
        <v>51</v>
      </c>
      <c r="X38" s="17">
        <v>8</v>
      </c>
      <c r="Y38" s="17">
        <v>6</v>
      </c>
      <c r="Z38" s="17">
        <v>6</v>
      </c>
      <c r="AA38" s="20">
        <v>105</v>
      </c>
      <c r="AB38" s="3"/>
      <c r="AC38" s="3"/>
      <c r="AD38" s="20"/>
      <c r="AE38" s="3"/>
      <c r="AF38" s="3"/>
      <c r="AG38" s="20"/>
      <c r="AH38" s="107" t="s">
        <v>209</v>
      </c>
      <c r="AI38" s="107"/>
      <c r="AJ38" s="107"/>
      <c r="AK38" s="107"/>
      <c r="AL38" s="108"/>
      <c r="AN38" s="67">
        <f t="shared" si="2"/>
        <v>-2.2374954270195531</v>
      </c>
      <c r="AO38" s="67">
        <f t="shared" si="2"/>
        <v>-0.41562464450328207</v>
      </c>
      <c r="AP38" s="67">
        <f t="shared" si="2"/>
        <v>-0.90442383180098318</v>
      </c>
      <c r="AY38" s="67">
        <f t="shared" si="0"/>
        <v>307.23749542701955</v>
      </c>
      <c r="AZ38" s="67">
        <f t="shared" si="1"/>
        <v>91.415624644503282</v>
      </c>
      <c r="BA38" s="67">
        <f t="shared" si="3"/>
        <v>244.90442383180098</v>
      </c>
      <c r="BC38">
        <f t="shared" si="4"/>
        <v>33.608860260136439</v>
      </c>
      <c r="BD38">
        <v>1013.2</v>
      </c>
      <c r="BE38">
        <f t="shared" si="5"/>
        <v>31.480396167633955</v>
      </c>
    </row>
    <row r="39" spans="1:57" x14ac:dyDescent="0.2">
      <c r="A39" s="13">
        <v>30</v>
      </c>
      <c r="B39" s="3">
        <v>16</v>
      </c>
      <c r="C39" s="17">
        <v>7</v>
      </c>
      <c r="D39" s="3">
        <v>4</v>
      </c>
      <c r="E39" s="18">
        <v>10</v>
      </c>
      <c r="F39" s="18">
        <v>13</v>
      </c>
      <c r="G39" s="18">
        <v>68</v>
      </c>
      <c r="H39" s="19">
        <v>1</v>
      </c>
      <c r="I39" s="18">
        <v>15</v>
      </c>
      <c r="J39" s="18">
        <v>22</v>
      </c>
      <c r="K39" s="20">
        <v>108</v>
      </c>
      <c r="L39" s="18">
        <v>275</v>
      </c>
      <c r="M39" s="18">
        <v>245</v>
      </c>
      <c r="N39" s="18">
        <v>284</v>
      </c>
      <c r="O39" s="18">
        <v>77</v>
      </c>
      <c r="P39" s="18">
        <v>231</v>
      </c>
      <c r="Q39" s="17">
        <v>7</v>
      </c>
      <c r="R39" s="17">
        <v>8</v>
      </c>
      <c r="S39" s="17" t="s">
        <v>89</v>
      </c>
      <c r="T39" s="17" t="s">
        <v>89</v>
      </c>
      <c r="U39" s="17">
        <v>4</v>
      </c>
      <c r="V39" s="3">
        <v>8</v>
      </c>
      <c r="W39" s="20">
        <v>51</v>
      </c>
      <c r="X39" s="17">
        <v>8</v>
      </c>
      <c r="Y39" s="17">
        <v>7</v>
      </c>
      <c r="Z39" s="17">
        <v>6</v>
      </c>
      <c r="AA39" s="20">
        <v>105</v>
      </c>
      <c r="AB39" s="3"/>
      <c r="AC39" s="3"/>
      <c r="AD39" s="20"/>
      <c r="AE39" s="3"/>
      <c r="AF39" s="3"/>
      <c r="AG39" s="20"/>
      <c r="AH39" s="107" t="s">
        <v>109</v>
      </c>
      <c r="AI39" s="107"/>
      <c r="AJ39" s="107"/>
      <c r="AK39" s="107"/>
      <c r="AL39" s="108"/>
      <c r="AN39" s="67">
        <f t="shared" si="2"/>
        <v>-2.7353895412707061</v>
      </c>
      <c r="AO39" s="67">
        <f t="shared" si="2"/>
        <v>-1.1004311595838914</v>
      </c>
      <c r="AP39" s="67">
        <f t="shared" si="2"/>
        <v>-2.4262339581243566</v>
      </c>
      <c r="AY39" s="67">
        <f t="shared" si="0"/>
        <v>286.73538954127071</v>
      </c>
      <c r="AZ39" s="67">
        <f t="shared" si="1"/>
        <v>78.100431159583891</v>
      </c>
      <c r="BA39" s="67">
        <f t="shared" si="3"/>
        <v>233.42623395812436</v>
      </c>
      <c r="BC39">
        <f t="shared" si="4"/>
        <v>36.713675620481474</v>
      </c>
      <c r="BD39">
        <v>1013.2</v>
      </c>
      <c r="BE39">
        <f t="shared" si="5"/>
        <v>30.736197835927069</v>
      </c>
    </row>
    <row r="40" spans="1:57" x14ac:dyDescent="0.2">
      <c r="A40" s="13"/>
      <c r="B40" s="3"/>
      <c r="C40" s="17"/>
      <c r="D40" s="3"/>
      <c r="E40" s="18"/>
      <c r="F40" s="18"/>
      <c r="G40" s="18"/>
      <c r="H40" s="19"/>
      <c r="I40" s="18"/>
      <c r="J40" s="18"/>
      <c r="K40" s="20"/>
      <c r="L40" s="18"/>
      <c r="M40" s="18"/>
      <c r="N40" s="18"/>
      <c r="O40" s="18"/>
      <c r="P40" s="18"/>
      <c r="Q40" s="17"/>
      <c r="R40" s="17"/>
      <c r="S40" s="17"/>
      <c r="T40" s="17"/>
      <c r="U40" s="17"/>
      <c r="V40" s="3"/>
      <c r="W40" s="20"/>
      <c r="X40" s="17"/>
      <c r="Y40" s="3"/>
      <c r="Z40" s="3"/>
      <c r="AA40" s="20"/>
      <c r="AB40" s="3"/>
      <c r="AC40" s="3"/>
      <c r="AD40" s="20"/>
      <c r="AE40" s="3"/>
      <c r="AF40" s="3"/>
      <c r="AG40" s="20"/>
      <c r="AH40" s="107"/>
      <c r="AI40" s="107"/>
      <c r="AJ40" s="107"/>
      <c r="AK40" s="107"/>
      <c r="AL40" s="108"/>
      <c r="AN40" s="67"/>
      <c r="AO40" s="67"/>
      <c r="AP40" s="67"/>
      <c r="AY40" s="67">
        <f t="shared" si="0"/>
        <v>61.120000000000005</v>
      </c>
      <c r="AZ40" s="67">
        <f t="shared" si="1"/>
        <v>100</v>
      </c>
      <c r="BA40" s="67">
        <f t="shared" si="3"/>
        <v>0</v>
      </c>
      <c r="BC40">
        <f t="shared" si="4"/>
        <v>6.1120000000000001</v>
      </c>
      <c r="BD40">
        <v>1013.2</v>
      </c>
      <c r="BE40">
        <f t="shared" si="5"/>
        <v>6.1120000000000001</v>
      </c>
    </row>
    <row r="41" spans="1:57" x14ac:dyDescent="0.2">
      <c r="A41" s="18"/>
      <c r="B41" s="3"/>
      <c r="C41" s="17"/>
      <c r="D41" s="3"/>
      <c r="E41" s="18"/>
      <c r="F41" s="18"/>
      <c r="G41" s="18"/>
      <c r="H41" s="19"/>
      <c r="I41" s="18"/>
      <c r="J41" s="18"/>
      <c r="K41" s="20"/>
      <c r="L41" s="18"/>
      <c r="M41" s="18"/>
      <c r="N41" s="18"/>
      <c r="O41" s="18"/>
      <c r="P41" s="18"/>
      <c r="Q41" s="17"/>
      <c r="R41" s="17"/>
      <c r="S41" s="17"/>
      <c r="T41" s="17"/>
      <c r="U41" s="17"/>
      <c r="V41" s="3"/>
      <c r="W41" s="20"/>
      <c r="X41" s="3"/>
      <c r="Y41" s="3"/>
      <c r="Z41" s="3"/>
      <c r="AA41" s="20"/>
      <c r="AB41" s="3"/>
      <c r="AC41" s="3"/>
      <c r="AD41" s="20"/>
      <c r="AE41" s="3"/>
      <c r="AF41" s="3"/>
      <c r="AG41" s="20"/>
      <c r="AH41" s="109" t="s">
        <v>228</v>
      </c>
      <c r="AI41" s="107"/>
      <c r="AJ41" s="107"/>
      <c r="AK41" s="107"/>
      <c r="AL41" s="108"/>
      <c r="AN41" s="67"/>
      <c r="AO41" s="67"/>
      <c r="AP41" s="67"/>
    </row>
    <row r="42" spans="1:57" x14ac:dyDescent="0.2">
      <c r="A42" s="13" t="s">
        <v>9</v>
      </c>
      <c r="B42" s="1"/>
      <c r="C42" s="21">
        <f>SUM(C10:C40)</f>
        <v>161</v>
      </c>
      <c r="D42" s="1"/>
      <c r="E42" s="13"/>
      <c r="F42" s="13">
        <f>SUM(F10:F40)</f>
        <v>375</v>
      </c>
      <c r="G42" s="13"/>
      <c r="H42" s="2"/>
      <c r="I42" s="13"/>
      <c r="J42" s="13"/>
      <c r="K42" s="22">
        <f>SUM(K10:K40)</f>
        <v>3407</v>
      </c>
      <c r="L42" s="13">
        <f>SUM(L10:L40)</f>
        <v>8550</v>
      </c>
      <c r="M42" s="13">
        <f>SUM(M10:M40)</f>
        <v>7498</v>
      </c>
      <c r="N42" s="13">
        <f>SUM(N10:N40)</f>
        <v>8672</v>
      </c>
      <c r="O42" s="13">
        <f>SUM(O10:O40)</f>
        <v>2235</v>
      </c>
      <c r="P42" s="13">
        <f t="shared" ref="P42" si="6">SUM(P10:P40)</f>
        <v>7031</v>
      </c>
      <c r="Q42" s="21">
        <f>SUM(Q10:Q40)</f>
        <v>103</v>
      </c>
      <c r="R42" s="21"/>
      <c r="S42" s="21"/>
      <c r="T42" s="21"/>
      <c r="U42" s="21"/>
      <c r="V42" s="1"/>
      <c r="W42" s="22"/>
      <c r="X42" s="1"/>
      <c r="Y42" s="1"/>
      <c r="Z42" s="1"/>
      <c r="AA42" s="22"/>
      <c r="AB42" s="1"/>
      <c r="AC42" s="1"/>
      <c r="AD42" s="22"/>
      <c r="AE42" s="1"/>
      <c r="AF42" s="1"/>
      <c r="AG42" s="22"/>
      <c r="AH42" s="116"/>
      <c r="AI42" s="116"/>
      <c r="AJ42" s="116"/>
      <c r="AK42" s="116"/>
      <c r="AL42" s="117"/>
      <c r="AN42" s="67"/>
      <c r="AO42" s="67"/>
      <c r="AP42" s="67"/>
    </row>
    <row r="43" spans="1:57" ht="13.5" thickBot="1" x14ac:dyDescent="0.25">
      <c r="A43" s="23" t="s">
        <v>10</v>
      </c>
      <c r="B43" s="24"/>
      <c r="C43" s="25">
        <f>AVERAGE(C10:C40)</f>
        <v>5.3666666666666663</v>
      </c>
      <c r="D43" s="24"/>
      <c r="E43" s="23">
        <f>MODE(E10:E40)</f>
        <v>11</v>
      </c>
      <c r="F43" s="23">
        <f>AVERAGE(F10:F40)</f>
        <v>12.5</v>
      </c>
      <c r="G43" s="23"/>
      <c r="H43" s="26"/>
      <c r="I43" s="23"/>
      <c r="J43" s="23"/>
      <c r="K43" s="27">
        <f>AVERAGE(K10:K40)</f>
        <v>113.56666666666666</v>
      </c>
      <c r="L43" s="23">
        <f t="shared" ref="L43:Q43" si="7">AVERAGE(L10:L40)</f>
        <v>285</v>
      </c>
      <c r="M43" s="23">
        <f t="shared" si="7"/>
        <v>249.93333333333334</v>
      </c>
      <c r="N43" s="23">
        <f t="shared" si="7"/>
        <v>289.06666666666666</v>
      </c>
      <c r="O43" s="23">
        <f t="shared" si="7"/>
        <v>74.5</v>
      </c>
      <c r="P43" s="23">
        <f>AVERAGE(P10:P40)</f>
        <v>234.36666666666667</v>
      </c>
      <c r="Q43" s="25">
        <f t="shared" si="7"/>
        <v>3.4333333333333331</v>
      </c>
      <c r="R43" s="25"/>
      <c r="S43" s="25"/>
      <c r="T43" s="25"/>
      <c r="U43" s="25"/>
      <c r="V43" s="24"/>
      <c r="W43" s="27"/>
      <c r="X43" s="24"/>
      <c r="Y43" s="24"/>
      <c r="Z43" s="24"/>
      <c r="AA43" s="27"/>
      <c r="AB43" s="24"/>
      <c r="AC43" s="24"/>
      <c r="AD43" s="27"/>
      <c r="AE43" s="24"/>
      <c r="AF43" s="24"/>
      <c r="AG43" s="27"/>
      <c r="AH43" s="111"/>
      <c r="AI43" s="111"/>
      <c r="AJ43" s="111"/>
      <c r="AK43" s="111"/>
      <c r="AL43" s="112"/>
      <c r="AN43" s="67">
        <f>AVERAGE(AN10:AN40)</f>
        <v>-3.5389551040175737</v>
      </c>
      <c r="AO43" s="67">
        <f t="shared" ref="AO43:AP43" si="8">AVERAGE(AO10:AO40)</f>
        <v>-0.93630623192609741</v>
      </c>
      <c r="AP43" s="67">
        <f t="shared" si="8"/>
        <v>-2.2621917073272346</v>
      </c>
    </row>
    <row r="44" spans="1:57" x14ac:dyDescent="0.2">
      <c r="E44" s="11"/>
      <c r="G44" s="11"/>
      <c r="K44" s="4"/>
      <c r="M44" s="11"/>
      <c r="P44" s="11"/>
      <c r="Q44" s="11"/>
      <c r="W44" s="4"/>
      <c r="AA44" s="4"/>
      <c r="AD44" s="4"/>
    </row>
    <row r="45" spans="1:57" x14ac:dyDescent="0.2">
      <c r="E45" s="11"/>
      <c r="G45" s="11"/>
      <c r="K45" s="4"/>
      <c r="M45" s="11"/>
      <c r="P45" s="11"/>
      <c r="Q45" s="11"/>
      <c r="W45" s="4"/>
      <c r="AA45" s="4"/>
    </row>
    <row r="46" spans="1:57" x14ac:dyDescent="0.2">
      <c r="E46" s="11"/>
      <c r="G46" s="11"/>
      <c r="M46" s="11"/>
      <c r="P46" s="11"/>
      <c r="Q46" s="11"/>
      <c r="W46" s="4"/>
      <c r="AA46" s="4"/>
    </row>
    <row r="47" spans="1:57" x14ac:dyDescent="0.2">
      <c r="E47" s="11"/>
      <c r="G47" s="11"/>
      <c r="M47" s="11"/>
      <c r="P47" s="11"/>
      <c r="Q47" s="11"/>
    </row>
    <row r="48" spans="1:57" x14ac:dyDescent="0.2">
      <c r="E48" s="11"/>
      <c r="G48" s="11"/>
      <c r="M48" s="11"/>
      <c r="P48" s="11"/>
      <c r="Q48" s="11"/>
    </row>
    <row r="49" spans="5:17" x14ac:dyDescent="0.2">
      <c r="E49" s="11"/>
      <c r="G49" s="11"/>
      <c r="M49" s="11"/>
      <c r="P49" s="11"/>
      <c r="Q49" s="11"/>
    </row>
  </sheetData>
  <mergeCells count="72">
    <mergeCell ref="AH41:AL41"/>
    <mergeCell ref="AH42:AL42"/>
    <mergeCell ref="AH43:AL43"/>
    <mergeCell ref="AH31:AL31"/>
    <mergeCell ref="AH32:AL32"/>
    <mergeCell ref="AH33:AL33"/>
    <mergeCell ref="AH34:AL34"/>
    <mergeCell ref="AH35:AL35"/>
    <mergeCell ref="AH36:AL36"/>
    <mergeCell ref="AH37:AL37"/>
    <mergeCell ref="AH38:AL38"/>
    <mergeCell ref="AH39:AL39"/>
    <mergeCell ref="AH40:AL40"/>
    <mergeCell ref="AH26:AL26"/>
    <mergeCell ref="AH27:AL27"/>
    <mergeCell ref="AH28:AL28"/>
    <mergeCell ref="AH29:AL29"/>
    <mergeCell ref="AH30:AL30"/>
    <mergeCell ref="AH21:AL21"/>
    <mergeCell ref="AH22:AL22"/>
    <mergeCell ref="AH23:AL23"/>
    <mergeCell ref="AH24:AL24"/>
    <mergeCell ref="AH25:AL25"/>
    <mergeCell ref="AH16:AL16"/>
    <mergeCell ref="AH17:AL17"/>
    <mergeCell ref="AH18:AL18"/>
    <mergeCell ref="AH19:AL19"/>
    <mergeCell ref="AH20:AL20"/>
    <mergeCell ref="AH11:AL11"/>
    <mergeCell ref="AH12:AL12"/>
    <mergeCell ref="AH13:AL13"/>
    <mergeCell ref="AH14:AL14"/>
    <mergeCell ref="AH15:AL15"/>
    <mergeCell ref="U8:W8"/>
    <mergeCell ref="X8:AA8"/>
    <mergeCell ref="AB8:AD8"/>
    <mergeCell ref="AE8:AG8"/>
    <mergeCell ref="AH10:AL10"/>
    <mergeCell ref="AH7:AL9"/>
    <mergeCell ref="P8:P9"/>
    <mergeCell ref="Q8:Q9"/>
    <mergeCell ref="R8:R9"/>
    <mergeCell ref="S8:S9"/>
    <mergeCell ref="T8:T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3:T3"/>
    <mergeCell ref="E7:F7"/>
    <mergeCell ref="L7:P7"/>
    <mergeCell ref="Q7:T7"/>
    <mergeCell ref="U7:AG7"/>
    <mergeCell ref="AN7:AP7"/>
    <mergeCell ref="AY7:BA7"/>
    <mergeCell ref="AN8:AN9"/>
    <mergeCell ref="AO8:AO9"/>
    <mergeCell ref="AP8:AP9"/>
    <mergeCell ref="AY8:AY9"/>
    <mergeCell ref="AZ8:AZ9"/>
    <mergeCell ref="BA8:BA9"/>
  </mergeCells>
  <phoneticPr fontId="2" type="noConversion"/>
  <dataValidations count="5">
    <dataValidation type="whole" allowBlank="1" showInputMessage="1" showErrorMessage="1" sqref="C10:C40" xr:uid="{00000000-0002-0000-0300-000000000000}">
      <formula1>0</formula1>
      <formula2>9</formula2>
    </dataValidation>
    <dataValidation type="whole" allowBlank="1" showInputMessage="1" showErrorMessage="1" sqref="AE10:AE40" xr:uid="{00000000-0002-0000-0300-000001000000}">
      <formula1>1</formula1>
      <formula2>9</formula2>
    </dataValidation>
    <dataValidation type="whole" allowBlank="1" showInputMessage="1" showErrorMessage="1" sqref="D10:D40" xr:uid="{00000000-0002-0000-0300-000002000000}">
      <formula1>0</formula1>
      <formula2>4</formula2>
    </dataValidation>
    <dataValidation type="whole" allowBlank="1" showInputMessage="1" showErrorMessage="1" sqref="AB10:AB40" xr:uid="{00000000-0002-0000-0300-000003000000}">
      <formula1>5</formula1>
      <formula2>9</formula2>
    </dataValidation>
    <dataValidation type="whole" allowBlank="1" showInputMessage="1" showErrorMessage="1" sqref="Y10:Y40" xr:uid="{00000000-0002-0000-0300-000004000000}">
      <formula1>3</formula1>
      <formula2>9</formula2>
    </dataValidation>
  </dataValidations>
  <pageMargins left="0.75" right="0.75" top="1" bottom="1" header="0.5" footer="0.5"/>
  <pageSetup orientation="portrait" horizont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49"/>
  <sheetViews>
    <sheetView workbookViewId="0">
      <pane xSplit="2" ySplit="9" topLeftCell="C10" activePane="bottomRight" state="frozen"/>
      <selection activeCell="AM2" sqref="AM2"/>
      <selection pane="topRight" activeCell="AM2" sqref="AM2"/>
      <selection pane="bottomLeft" activeCell="AM2" sqref="AM2"/>
      <selection pane="bottomRight" activeCell="AT38" sqref="AT38"/>
    </sheetView>
  </sheetViews>
  <sheetFormatPr defaultRowHeight="12.75" x14ac:dyDescent="0.2"/>
  <cols>
    <col min="1" max="1" width="4.28515625" bestFit="1" customWidth="1"/>
    <col min="2" max="2" width="5.140625" bestFit="1" customWidth="1"/>
    <col min="3" max="3" width="4" bestFit="1" customWidth="1"/>
    <col min="4" max="5" width="3" bestFit="1" customWidth="1"/>
    <col min="6" max="6" width="4" bestFit="1" customWidth="1"/>
    <col min="7" max="10" width="3" bestFit="1" customWidth="1"/>
    <col min="11" max="11" width="8.5703125" bestFit="1" customWidth="1"/>
    <col min="12" max="16" width="5" bestFit="1" customWidth="1"/>
    <col min="17" max="17" width="4" customWidth="1"/>
    <col min="18" max="22" width="3" bestFit="1" customWidth="1"/>
    <col min="23" max="23" width="5.28515625" bestFit="1" customWidth="1"/>
    <col min="24" max="26" width="3" bestFit="1" customWidth="1"/>
    <col min="27" max="27" width="5.28515625" bestFit="1" customWidth="1"/>
    <col min="28" max="29" width="3" bestFit="1" customWidth="1"/>
    <col min="30" max="30" width="5.28515625" bestFit="1" customWidth="1"/>
    <col min="31" max="32" width="3" bestFit="1" customWidth="1"/>
    <col min="33" max="33" width="5.28515625" bestFit="1" customWidth="1"/>
    <col min="34" max="34" width="5.42578125" customWidth="1"/>
    <col min="40" max="42" width="4.7109375" customWidth="1"/>
    <col min="50" max="58" width="0" hidden="1" customWidth="1"/>
  </cols>
  <sheetData>
    <row r="1" spans="1:5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  <c r="P1" s="1"/>
      <c r="Q1" s="1"/>
      <c r="R1" s="1"/>
    </row>
    <row r="2" spans="1:57" ht="36.75" customHeight="1" x14ac:dyDescent="0.2">
      <c r="A2" s="1"/>
      <c r="B2" s="1"/>
      <c r="C2" s="1"/>
      <c r="D2" s="1"/>
      <c r="E2" s="1"/>
      <c r="F2" s="1"/>
      <c r="G2" s="1"/>
      <c r="H2" s="1"/>
      <c r="I2" s="2"/>
      <c r="J2" s="2"/>
      <c r="K2" s="1"/>
      <c r="L2" s="1"/>
      <c r="M2" s="1"/>
      <c r="O2" s="2"/>
      <c r="P2" s="1"/>
      <c r="Q2" s="1"/>
      <c r="R2" s="1"/>
    </row>
    <row r="3" spans="1:5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80"/>
      <c r="Q3" s="80"/>
      <c r="R3" s="80"/>
      <c r="S3" s="80"/>
      <c r="T3" s="80"/>
    </row>
    <row r="4" spans="1:5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7" spans="1:57" ht="14.25" x14ac:dyDescent="0.25">
      <c r="A7" s="7"/>
      <c r="B7" s="7"/>
      <c r="C7" s="7"/>
      <c r="D7" s="7"/>
      <c r="E7" s="81" t="s">
        <v>20</v>
      </c>
      <c r="F7" s="81"/>
      <c r="G7" s="7"/>
      <c r="H7" s="7"/>
      <c r="I7" s="7"/>
      <c r="J7" s="7"/>
      <c r="K7" s="7"/>
      <c r="L7" s="82" t="s">
        <v>11</v>
      </c>
      <c r="M7" s="82"/>
      <c r="N7" s="82"/>
      <c r="O7" s="82"/>
      <c r="P7" s="82"/>
      <c r="Q7" s="83" t="s">
        <v>29</v>
      </c>
      <c r="R7" s="83"/>
      <c r="S7" s="83"/>
      <c r="T7" s="83"/>
      <c r="U7" s="84" t="s">
        <v>33</v>
      </c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98" t="s">
        <v>8</v>
      </c>
      <c r="AI7" s="99"/>
      <c r="AJ7" s="99"/>
      <c r="AK7" s="99"/>
      <c r="AL7" s="100"/>
      <c r="AN7" s="73" t="s">
        <v>80</v>
      </c>
      <c r="AO7" s="74"/>
      <c r="AP7" s="75"/>
      <c r="AY7" s="76" t="s">
        <v>81</v>
      </c>
      <c r="AZ7" s="77"/>
      <c r="BA7" s="78"/>
    </row>
    <row r="8" spans="1:57" ht="16.5" customHeight="1" x14ac:dyDescent="0.2">
      <c r="A8" s="85" t="s">
        <v>18</v>
      </c>
      <c r="B8" s="89" t="s">
        <v>19</v>
      </c>
      <c r="C8" s="90" t="s">
        <v>23</v>
      </c>
      <c r="D8" s="88" t="s">
        <v>24</v>
      </c>
      <c r="E8" s="91" t="s">
        <v>25</v>
      </c>
      <c r="F8" s="86" t="s">
        <v>26</v>
      </c>
      <c r="G8" s="88" t="s">
        <v>27</v>
      </c>
      <c r="H8" s="88" t="s">
        <v>0</v>
      </c>
      <c r="I8" s="88" t="s">
        <v>21</v>
      </c>
      <c r="J8" s="88" t="s">
        <v>22</v>
      </c>
      <c r="K8" s="85" t="s">
        <v>28</v>
      </c>
      <c r="L8" s="79" t="s">
        <v>1</v>
      </c>
      <c r="M8" s="79" t="s">
        <v>2</v>
      </c>
      <c r="N8" s="79" t="s">
        <v>3</v>
      </c>
      <c r="O8" s="79" t="s">
        <v>4</v>
      </c>
      <c r="P8" s="79" t="s">
        <v>5</v>
      </c>
      <c r="Q8" s="92" t="s">
        <v>34</v>
      </c>
      <c r="R8" s="92" t="s">
        <v>30</v>
      </c>
      <c r="S8" s="92" t="s">
        <v>31</v>
      </c>
      <c r="T8" s="92" t="s">
        <v>32</v>
      </c>
      <c r="U8" s="93" t="s">
        <v>38</v>
      </c>
      <c r="V8" s="93"/>
      <c r="W8" s="93"/>
      <c r="X8" s="93" t="s">
        <v>39</v>
      </c>
      <c r="Y8" s="93"/>
      <c r="Z8" s="93"/>
      <c r="AA8" s="93"/>
      <c r="AB8" s="93" t="s">
        <v>40</v>
      </c>
      <c r="AC8" s="93"/>
      <c r="AD8" s="93"/>
      <c r="AE8" s="93" t="s">
        <v>41</v>
      </c>
      <c r="AF8" s="94"/>
      <c r="AG8" s="95"/>
      <c r="AH8" s="101"/>
      <c r="AI8" s="102"/>
      <c r="AJ8" s="102"/>
      <c r="AK8" s="102"/>
      <c r="AL8" s="103"/>
      <c r="AN8" s="79" t="s">
        <v>3</v>
      </c>
      <c r="AO8" s="79" t="s">
        <v>4</v>
      </c>
      <c r="AP8" s="79" t="s">
        <v>5</v>
      </c>
      <c r="AY8" s="79" t="s">
        <v>3</v>
      </c>
      <c r="AZ8" s="79" t="s">
        <v>4</v>
      </c>
      <c r="BA8" s="79" t="s">
        <v>5</v>
      </c>
    </row>
    <row r="9" spans="1:57" s="3" customFormat="1" ht="72" customHeight="1" x14ac:dyDescent="0.2">
      <c r="A9" s="85"/>
      <c r="B9" s="89"/>
      <c r="C9" s="90"/>
      <c r="D9" s="88"/>
      <c r="E9" s="91"/>
      <c r="F9" s="87"/>
      <c r="G9" s="88"/>
      <c r="H9" s="88"/>
      <c r="I9" s="88"/>
      <c r="J9" s="88"/>
      <c r="K9" s="85"/>
      <c r="L9" s="79"/>
      <c r="M9" s="79"/>
      <c r="N9" s="79"/>
      <c r="O9" s="79"/>
      <c r="P9" s="79"/>
      <c r="Q9" s="92"/>
      <c r="R9" s="92"/>
      <c r="S9" s="92"/>
      <c r="T9" s="92"/>
      <c r="U9" s="8" t="s">
        <v>16</v>
      </c>
      <c r="V9" s="8" t="s">
        <v>6</v>
      </c>
      <c r="W9" s="9" t="s">
        <v>7</v>
      </c>
      <c r="X9" s="8" t="s">
        <v>17</v>
      </c>
      <c r="Y9" s="8" t="s">
        <v>16</v>
      </c>
      <c r="Z9" s="8" t="s">
        <v>6</v>
      </c>
      <c r="AA9" s="9" t="s">
        <v>7</v>
      </c>
      <c r="AB9" s="8" t="s">
        <v>16</v>
      </c>
      <c r="AC9" s="8" t="s">
        <v>6</v>
      </c>
      <c r="AD9" s="9" t="s">
        <v>7</v>
      </c>
      <c r="AE9" s="8" t="s">
        <v>16</v>
      </c>
      <c r="AF9" s="8" t="s">
        <v>6</v>
      </c>
      <c r="AG9" s="9" t="s">
        <v>7</v>
      </c>
      <c r="AH9" s="104"/>
      <c r="AI9" s="105"/>
      <c r="AJ9" s="105"/>
      <c r="AK9" s="105"/>
      <c r="AL9" s="106"/>
      <c r="AN9" s="79"/>
      <c r="AO9" s="79"/>
      <c r="AP9" s="79"/>
      <c r="AY9" s="79"/>
      <c r="AZ9" s="79"/>
      <c r="BA9" s="79"/>
      <c r="BC9" s="3" t="s">
        <v>82</v>
      </c>
      <c r="BD9" s="3" t="s">
        <v>83</v>
      </c>
      <c r="BE9" s="3" t="s">
        <v>84</v>
      </c>
    </row>
    <row r="10" spans="1:57" x14ac:dyDescent="0.2">
      <c r="A10" s="13">
        <v>1</v>
      </c>
      <c r="B10" s="3">
        <v>15</v>
      </c>
      <c r="C10" s="17">
        <v>2</v>
      </c>
      <c r="D10" s="3">
        <v>4</v>
      </c>
      <c r="E10" s="18">
        <v>12</v>
      </c>
      <c r="F10" s="18">
        <v>13</v>
      </c>
      <c r="G10" s="18">
        <v>76</v>
      </c>
      <c r="H10" s="19">
        <v>2</v>
      </c>
      <c r="I10" s="18"/>
      <c r="J10" s="18"/>
      <c r="K10" s="70">
        <v>121</v>
      </c>
      <c r="L10" s="69">
        <v>298</v>
      </c>
      <c r="M10" s="69">
        <v>250</v>
      </c>
      <c r="N10" s="69">
        <v>278</v>
      </c>
      <c r="O10" s="69">
        <v>66</v>
      </c>
      <c r="P10" s="69">
        <v>228</v>
      </c>
      <c r="Q10" s="68">
        <v>1</v>
      </c>
      <c r="R10" s="68">
        <v>1</v>
      </c>
      <c r="S10" s="68">
        <v>3</v>
      </c>
      <c r="T10" s="68">
        <v>1</v>
      </c>
      <c r="U10" s="68">
        <v>1</v>
      </c>
      <c r="V10" s="71">
        <v>8</v>
      </c>
      <c r="W10" s="70">
        <v>69</v>
      </c>
      <c r="X10" s="71">
        <v>8</v>
      </c>
      <c r="Y10" s="3"/>
      <c r="Z10" s="3"/>
      <c r="AA10" s="20"/>
      <c r="AB10" s="3"/>
      <c r="AC10" s="3"/>
      <c r="AD10" s="20"/>
      <c r="AE10" s="3"/>
      <c r="AF10" s="3"/>
      <c r="AG10" s="20"/>
      <c r="AH10" s="96"/>
      <c r="AI10" s="96"/>
      <c r="AJ10" s="96"/>
      <c r="AK10" s="96"/>
      <c r="AL10" s="97"/>
      <c r="AN10" s="67">
        <f>N10-AY10</f>
        <v>-5.6679175361599619</v>
      </c>
      <c r="AO10" s="67">
        <f>O10-AZ10</f>
        <v>-1.6021049045810969</v>
      </c>
      <c r="AP10" s="67">
        <f>P10-BA10</f>
        <v>-3.6474711181327848</v>
      </c>
      <c r="AY10" s="67">
        <f t="shared" ref="AY10:AY40" si="0">10*(BE10-BD10*((L10/10)-(M10/10))*0.00066*(1+(0.00115*(M10/10))))</f>
        <v>283.66791753615996</v>
      </c>
      <c r="AZ10" s="67">
        <f t="shared" ref="AZ10:AZ40" si="1">((AY10/10)*100)/BC10</f>
        <v>67.602104904581097</v>
      </c>
      <c r="BA10" s="67">
        <f>(243.5*LN((AY10/10)/6.112))/(17.67-LN((AY10/10)/6.112))*10</f>
        <v>231.64747111813278</v>
      </c>
      <c r="BC10">
        <f>6.112*2.718^((17.67*(L10/10))/((L10/10)+243.5))</f>
        <v>41.961403115561424</v>
      </c>
      <c r="BD10">
        <v>1013.2</v>
      </c>
      <c r="BE10">
        <f>6.112*2.718^((17.67*(M10/10))/((M10/10)+243.5))</f>
        <v>31.668891609615997</v>
      </c>
    </row>
    <row r="11" spans="1:57" x14ac:dyDescent="0.2">
      <c r="A11" s="13">
        <v>2</v>
      </c>
      <c r="B11" s="3">
        <v>15</v>
      </c>
      <c r="C11" s="17">
        <v>2</v>
      </c>
      <c r="D11" s="3">
        <v>4</v>
      </c>
      <c r="E11" s="18">
        <v>12</v>
      </c>
      <c r="F11" s="18">
        <v>14</v>
      </c>
      <c r="G11" s="18">
        <v>75</v>
      </c>
      <c r="H11" s="19">
        <v>2</v>
      </c>
      <c r="I11" s="18"/>
      <c r="J11" s="18"/>
      <c r="K11" s="20">
        <v>118</v>
      </c>
      <c r="L11" s="18">
        <v>287</v>
      </c>
      <c r="M11" s="18">
        <v>251</v>
      </c>
      <c r="N11" s="18">
        <v>290</v>
      </c>
      <c r="O11" s="18">
        <v>74</v>
      </c>
      <c r="P11" s="18">
        <v>235</v>
      </c>
      <c r="Q11" s="17">
        <v>2</v>
      </c>
      <c r="R11" s="17">
        <v>8</v>
      </c>
      <c r="S11" s="17">
        <v>3</v>
      </c>
      <c r="T11" s="17">
        <v>0</v>
      </c>
      <c r="U11" s="17">
        <v>1</v>
      </c>
      <c r="V11" s="3">
        <v>8</v>
      </c>
      <c r="W11" s="20">
        <v>63</v>
      </c>
      <c r="X11" s="3">
        <v>8</v>
      </c>
      <c r="Y11" s="3"/>
      <c r="Z11" s="3"/>
      <c r="AA11" s="20"/>
      <c r="AB11" s="3"/>
      <c r="AC11" s="3"/>
      <c r="AD11" s="20"/>
      <c r="AE11" s="3"/>
      <c r="AF11" s="3"/>
      <c r="AG11" s="20"/>
      <c r="AH11" s="107"/>
      <c r="AI11" s="107"/>
      <c r="AJ11" s="107"/>
      <c r="AK11" s="107"/>
      <c r="AL11" s="108"/>
      <c r="AN11" s="67">
        <f t="shared" ref="AN11:AP39" si="2">N11-AY11</f>
        <v>-3.8152235265429795</v>
      </c>
      <c r="AO11" s="67">
        <f t="shared" si="2"/>
        <v>-0.61938650372826487</v>
      </c>
      <c r="AP11" s="67">
        <f t="shared" si="2"/>
        <v>-2.4688906069197003</v>
      </c>
      <c r="AY11" s="67">
        <f t="shared" si="0"/>
        <v>293.81522352654298</v>
      </c>
      <c r="AZ11" s="67">
        <f t="shared" si="1"/>
        <v>74.619386503728265</v>
      </c>
      <c r="BA11" s="67">
        <f t="shared" ref="BA11:BA40" si="3">(243.5*LN((AY11/10)/6.112))/(17.67-LN((AY11/10)/6.112))*10</f>
        <v>237.4688906069197</v>
      </c>
      <c r="BC11">
        <f t="shared" ref="BC11:BC40" si="4">6.112*2.718^((17.67*(L11/10))/((L11/10)+243.5))</f>
        <v>39.375186167184964</v>
      </c>
      <c r="BD11">
        <v>1013.2</v>
      </c>
      <c r="BE11">
        <f t="shared" ref="BE11:BE40" si="5">6.112*2.718^((17.67*(M11/10))/((M11/10)+243.5))</f>
        <v>31.858374091422295</v>
      </c>
    </row>
    <row r="12" spans="1:57" x14ac:dyDescent="0.2">
      <c r="A12" s="13">
        <v>3</v>
      </c>
      <c r="B12" s="3">
        <v>15</v>
      </c>
      <c r="C12" s="17">
        <v>2</v>
      </c>
      <c r="D12" s="3">
        <v>4</v>
      </c>
      <c r="E12" s="18">
        <v>11</v>
      </c>
      <c r="F12" s="18">
        <v>14</v>
      </c>
      <c r="G12" s="18">
        <v>75</v>
      </c>
      <c r="H12" s="19">
        <v>2</v>
      </c>
      <c r="I12" s="18"/>
      <c r="J12" s="18"/>
      <c r="K12" s="20">
        <v>121</v>
      </c>
      <c r="L12" s="18">
        <v>291</v>
      </c>
      <c r="M12" s="18">
        <v>251</v>
      </c>
      <c r="N12" s="18">
        <v>286</v>
      </c>
      <c r="O12" s="18">
        <v>71</v>
      </c>
      <c r="P12" s="18">
        <v>233</v>
      </c>
      <c r="Q12" s="17">
        <v>1</v>
      </c>
      <c r="R12" s="17">
        <v>2</v>
      </c>
      <c r="S12" s="17">
        <v>0</v>
      </c>
      <c r="T12" s="17">
        <v>1</v>
      </c>
      <c r="U12" s="17">
        <v>1</v>
      </c>
      <c r="V12" s="3">
        <v>8</v>
      </c>
      <c r="W12" s="20">
        <v>66</v>
      </c>
      <c r="X12" s="3">
        <v>8</v>
      </c>
      <c r="Y12" s="3"/>
      <c r="Z12" s="3"/>
      <c r="AA12" s="20"/>
      <c r="AB12" s="3"/>
      <c r="AC12" s="3"/>
      <c r="AD12" s="20"/>
      <c r="AE12" s="3"/>
      <c r="AF12" s="3"/>
      <c r="AG12" s="20"/>
      <c r="AH12" s="107"/>
      <c r="AI12" s="107"/>
      <c r="AJ12" s="107"/>
      <c r="AK12" s="107"/>
      <c r="AL12" s="108"/>
      <c r="AN12" s="67">
        <f t="shared" si="2"/>
        <v>-5.063166039022974</v>
      </c>
      <c r="AO12" s="67">
        <f t="shared" si="2"/>
        <v>-1.2258249070570599</v>
      </c>
      <c r="AP12" s="67">
        <f t="shared" si="2"/>
        <v>-2.907681241788282</v>
      </c>
      <c r="AY12" s="67">
        <f t="shared" si="0"/>
        <v>291.06316603902297</v>
      </c>
      <c r="AZ12" s="67">
        <f t="shared" si="1"/>
        <v>72.22582490705706</v>
      </c>
      <c r="BA12" s="67">
        <f t="shared" si="3"/>
        <v>235.90768124178828</v>
      </c>
      <c r="BC12">
        <f t="shared" si="4"/>
        <v>40.299043508824454</v>
      </c>
      <c r="BD12">
        <v>1013.2</v>
      </c>
      <c r="BE12">
        <f t="shared" si="5"/>
        <v>31.858374091422295</v>
      </c>
    </row>
    <row r="13" spans="1:57" x14ac:dyDescent="0.2">
      <c r="A13" s="13">
        <v>4</v>
      </c>
      <c r="B13" s="3">
        <v>15</v>
      </c>
      <c r="C13" s="17">
        <v>1</v>
      </c>
      <c r="D13" s="3">
        <v>4</v>
      </c>
      <c r="E13" s="18">
        <v>11</v>
      </c>
      <c r="F13" s="18">
        <v>15</v>
      </c>
      <c r="G13" s="18">
        <v>80</v>
      </c>
      <c r="H13" s="19">
        <v>2</v>
      </c>
      <c r="I13" s="18"/>
      <c r="J13" s="18"/>
      <c r="K13" s="20">
        <v>124</v>
      </c>
      <c r="L13" s="18">
        <v>295</v>
      </c>
      <c r="M13" s="18">
        <v>255</v>
      </c>
      <c r="N13" s="18">
        <v>295</v>
      </c>
      <c r="O13" s="18">
        <v>72</v>
      </c>
      <c r="P13" s="18">
        <v>238</v>
      </c>
      <c r="Q13" s="17">
        <v>1</v>
      </c>
      <c r="R13" s="17">
        <v>2</v>
      </c>
      <c r="S13" s="17">
        <v>0</v>
      </c>
      <c r="T13" s="17">
        <v>2</v>
      </c>
      <c r="U13" s="17">
        <v>1</v>
      </c>
      <c r="V13" s="3">
        <v>8</v>
      </c>
      <c r="W13" s="20">
        <v>69</v>
      </c>
      <c r="X13" s="3">
        <v>8</v>
      </c>
      <c r="Y13" s="3"/>
      <c r="Z13" s="3"/>
      <c r="AA13" s="20"/>
      <c r="AB13" s="3"/>
      <c r="AC13" s="3"/>
      <c r="AD13" s="20"/>
      <c r="AE13" s="3"/>
      <c r="AF13" s="3"/>
      <c r="AG13" s="20"/>
      <c r="AH13" s="107"/>
      <c r="AI13" s="107"/>
      <c r="AJ13" s="107"/>
      <c r="AK13" s="107"/>
      <c r="AL13" s="108"/>
      <c r="AN13" s="67">
        <f t="shared" si="2"/>
        <v>-3.7297423541403987</v>
      </c>
      <c r="AO13" s="67">
        <f t="shared" si="2"/>
        <v>-0.43377556614127855</v>
      </c>
      <c r="AP13" s="67">
        <f t="shared" si="2"/>
        <v>-2.2252582565346302</v>
      </c>
      <c r="AY13" s="67">
        <f t="shared" si="0"/>
        <v>298.7297423541404</v>
      </c>
      <c r="AZ13" s="67">
        <f t="shared" si="1"/>
        <v>72.433775566141279</v>
      </c>
      <c r="BA13" s="67">
        <f t="shared" si="3"/>
        <v>240.22525825653463</v>
      </c>
      <c r="BC13">
        <f t="shared" si="4"/>
        <v>41.241774299251048</v>
      </c>
      <c r="BD13">
        <v>1013.2</v>
      </c>
      <c r="BE13">
        <f t="shared" si="5"/>
        <v>32.626262153014039</v>
      </c>
    </row>
    <row r="14" spans="1:57" x14ac:dyDescent="0.2">
      <c r="A14" s="13">
        <v>5</v>
      </c>
      <c r="B14" s="3">
        <v>15</v>
      </c>
      <c r="C14" s="17">
        <v>2</v>
      </c>
      <c r="D14" s="3">
        <v>4</v>
      </c>
      <c r="E14" s="18">
        <v>11</v>
      </c>
      <c r="F14" s="18">
        <v>14</v>
      </c>
      <c r="G14" s="18">
        <v>80</v>
      </c>
      <c r="H14" s="19">
        <v>2</v>
      </c>
      <c r="I14" s="18"/>
      <c r="J14" s="18"/>
      <c r="K14" s="20">
        <v>125</v>
      </c>
      <c r="L14" s="18">
        <v>289</v>
      </c>
      <c r="M14" s="18">
        <v>261</v>
      </c>
      <c r="N14" s="18">
        <v>315</v>
      </c>
      <c r="O14" s="18">
        <v>79</v>
      </c>
      <c r="P14" s="18">
        <v>249</v>
      </c>
      <c r="Q14" s="17">
        <v>1</v>
      </c>
      <c r="R14" s="17">
        <v>2</v>
      </c>
      <c r="S14" s="17">
        <v>0</v>
      </c>
      <c r="T14" s="17">
        <v>1</v>
      </c>
      <c r="U14" s="17">
        <v>1</v>
      </c>
      <c r="V14" s="3">
        <v>8</v>
      </c>
      <c r="W14" s="20">
        <v>75</v>
      </c>
      <c r="X14" s="3">
        <v>8</v>
      </c>
      <c r="Y14" s="3"/>
      <c r="Z14" s="3"/>
      <c r="AA14" s="20"/>
      <c r="AB14" s="3"/>
      <c r="AC14" s="3"/>
      <c r="AD14" s="20"/>
      <c r="AE14" s="3"/>
      <c r="AF14" s="3"/>
      <c r="AG14" s="20"/>
      <c r="AH14" s="107"/>
      <c r="AI14" s="107"/>
      <c r="AJ14" s="107"/>
      <c r="AK14" s="107"/>
      <c r="AL14" s="108"/>
      <c r="AN14" s="67">
        <f t="shared" si="2"/>
        <v>-3.7986285361436103</v>
      </c>
      <c r="AO14" s="67">
        <f t="shared" si="2"/>
        <v>-1.0302304750390618</v>
      </c>
      <c r="AP14" s="67">
        <f t="shared" si="2"/>
        <v>-2.0843575769910103</v>
      </c>
      <c r="AY14" s="67">
        <f t="shared" si="0"/>
        <v>318.79862853614361</v>
      </c>
      <c r="AZ14" s="67">
        <f t="shared" si="1"/>
        <v>80.030230475039062</v>
      </c>
      <c r="BA14" s="67">
        <f t="shared" si="3"/>
        <v>251.08435757699101</v>
      </c>
      <c r="BC14">
        <f t="shared" si="4"/>
        <v>39.834775764587476</v>
      </c>
      <c r="BD14">
        <v>1013.2</v>
      </c>
      <c r="BE14">
        <f t="shared" si="5"/>
        <v>33.808456347518359</v>
      </c>
    </row>
    <row r="15" spans="1:57" x14ac:dyDescent="0.2">
      <c r="A15" s="13">
        <v>6</v>
      </c>
      <c r="B15" s="3">
        <v>15</v>
      </c>
      <c r="C15" s="17">
        <v>1</v>
      </c>
      <c r="D15" s="3">
        <v>4</v>
      </c>
      <c r="E15" s="18">
        <v>11</v>
      </c>
      <c r="F15" s="18">
        <v>16</v>
      </c>
      <c r="G15" s="18">
        <v>80</v>
      </c>
      <c r="H15" s="19">
        <v>2</v>
      </c>
      <c r="I15" s="18"/>
      <c r="J15" s="18"/>
      <c r="K15" s="20">
        <v>121</v>
      </c>
      <c r="L15" s="18">
        <v>290</v>
      </c>
      <c r="M15" s="18">
        <v>265</v>
      </c>
      <c r="N15" s="18">
        <v>326</v>
      </c>
      <c r="O15" s="18">
        <v>82</v>
      </c>
      <c r="P15" s="18">
        <v>255</v>
      </c>
      <c r="Q15" s="17">
        <v>1</v>
      </c>
      <c r="R15" s="17">
        <v>1</v>
      </c>
      <c r="S15" s="17">
        <v>0</v>
      </c>
      <c r="T15" s="17">
        <v>1</v>
      </c>
      <c r="U15" s="17">
        <v>1</v>
      </c>
      <c r="V15" s="3">
        <v>8</v>
      </c>
      <c r="W15" s="20">
        <v>66</v>
      </c>
      <c r="X15" s="3">
        <v>8</v>
      </c>
      <c r="Y15" s="3"/>
      <c r="Z15" s="3"/>
      <c r="AA15" s="20"/>
      <c r="AB15" s="3"/>
      <c r="AC15" s="3"/>
      <c r="AD15" s="20"/>
      <c r="AE15" s="3"/>
      <c r="AF15" s="3"/>
      <c r="AG15" s="20"/>
      <c r="AH15" s="107"/>
      <c r="AI15" s="107"/>
      <c r="AJ15" s="107"/>
      <c r="AK15" s="107"/>
      <c r="AL15" s="108"/>
      <c r="AN15" s="67">
        <f t="shared" si="2"/>
        <v>-2.945190280645761</v>
      </c>
      <c r="AO15" s="67">
        <f t="shared" si="2"/>
        <v>-0.10017063190227304</v>
      </c>
      <c r="AP15" s="67">
        <f t="shared" si="2"/>
        <v>-1.3485921324458445</v>
      </c>
      <c r="AY15" s="67">
        <f t="shared" si="0"/>
        <v>328.94519028064576</v>
      </c>
      <c r="AZ15" s="67">
        <f t="shared" si="1"/>
        <v>82.100170631902273</v>
      </c>
      <c r="BA15" s="67">
        <f t="shared" si="3"/>
        <v>256.34859213244584</v>
      </c>
      <c r="BC15">
        <f t="shared" si="4"/>
        <v>40.066322365574365</v>
      </c>
      <c r="BD15">
        <v>1013.2</v>
      </c>
      <c r="BE15">
        <f t="shared" si="5"/>
        <v>34.617246523564582</v>
      </c>
    </row>
    <row r="16" spans="1:57" x14ac:dyDescent="0.2">
      <c r="A16" s="13">
        <v>7</v>
      </c>
      <c r="B16" s="3">
        <v>15</v>
      </c>
      <c r="C16" s="17">
        <v>7</v>
      </c>
      <c r="D16" s="3">
        <v>4</v>
      </c>
      <c r="E16" s="18">
        <v>12</v>
      </c>
      <c r="F16" s="18">
        <v>18</v>
      </c>
      <c r="G16" s="18">
        <v>75</v>
      </c>
      <c r="H16" s="19">
        <v>2</v>
      </c>
      <c r="I16" s="18"/>
      <c r="J16" s="18"/>
      <c r="K16" s="20">
        <v>113</v>
      </c>
      <c r="L16" s="18">
        <v>290</v>
      </c>
      <c r="M16" s="18">
        <v>253</v>
      </c>
      <c r="N16" s="18">
        <v>294</v>
      </c>
      <c r="O16" s="18">
        <v>73</v>
      </c>
      <c r="P16" s="18">
        <v>237</v>
      </c>
      <c r="Q16" s="17">
        <v>1</v>
      </c>
      <c r="R16" s="17">
        <v>2</v>
      </c>
      <c r="S16" s="17">
        <v>0</v>
      </c>
      <c r="T16" s="17">
        <v>8</v>
      </c>
      <c r="U16" s="17">
        <v>1</v>
      </c>
      <c r="V16" s="3">
        <v>8</v>
      </c>
      <c r="W16" s="20">
        <v>69</v>
      </c>
      <c r="X16" s="3">
        <v>8</v>
      </c>
      <c r="Y16" s="3">
        <v>7</v>
      </c>
      <c r="Z16" s="3">
        <v>2</v>
      </c>
      <c r="AA16" s="20">
        <v>840</v>
      </c>
      <c r="AB16" s="3"/>
      <c r="AC16" s="3"/>
      <c r="AD16" s="20"/>
      <c r="AE16" s="3"/>
      <c r="AF16" s="3"/>
      <c r="AG16" s="20"/>
      <c r="AH16" s="107" t="s">
        <v>85</v>
      </c>
      <c r="AI16" s="107"/>
      <c r="AJ16" s="107"/>
      <c r="AK16" s="107"/>
      <c r="AL16" s="108"/>
      <c r="AN16" s="67">
        <f t="shared" si="2"/>
        <v>-2.9409544077554983</v>
      </c>
      <c r="AO16" s="67">
        <f t="shared" si="2"/>
        <v>-1.1123559328449915</v>
      </c>
      <c r="AP16" s="67">
        <f t="shared" si="2"/>
        <v>-2.226622817524003</v>
      </c>
      <c r="AY16" s="67">
        <f t="shared" si="0"/>
        <v>296.9409544077555</v>
      </c>
      <c r="AZ16" s="67">
        <f t="shared" si="1"/>
        <v>74.112355932844991</v>
      </c>
      <c r="BA16" s="67">
        <f t="shared" si="3"/>
        <v>239.226622817524</v>
      </c>
      <c r="BC16">
        <f t="shared" si="4"/>
        <v>40.066322365574365</v>
      </c>
      <c r="BD16">
        <v>1013.2</v>
      </c>
      <c r="BE16">
        <f t="shared" si="5"/>
        <v>32.24031769064355</v>
      </c>
    </row>
    <row r="17" spans="1:57" x14ac:dyDescent="0.2">
      <c r="A17" s="13">
        <v>8</v>
      </c>
      <c r="B17" s="3">
        <v>15</v>
      </c>
      <c r="C17" s="17">
        <v>1</v>
      </c>
      <c r="D17" s="3">
        <v>4</v>
      </c>
      <c r="E17" s="18">
        <v>9</v>
      </c>
      <c r="F17" s="18">
        <v>14</v>
      </c>
      <c r="G17" s="18">
        <v>75</v>
      </c>
      <c r="H17" s="19">
        <v>2</v>
      </c>
      <c r="I17" s="18"/>
      <c r="J17" s="18"/>
      <c r="K17" s="20">
        <v>110</v>
      </c>
      <c r="L17" s="18">
        <v>290</v>
      </c>
      <c r="M17" s="18">
        <v>253</v>
      </c>
      <c r="N17" s="18">
        <v>294</v>
      </c>
      <c r="O17" s="18">
        <v>73</v>
      </c>
      <c r="P17" s="18">
        <v>237</v>
      </c>
      <c r="Q17" s="17">
        <v>1</v>
      </c>
      <c r="R17" s="17">
        <v>2</v>
      </c>
      <c r="S17" s="17">
        <v>0</v>
      </c>
      <c r="T17" s="17">
        <v>0</v>
      </c>
      <c r="U17" s="17">
        <v>1</v>
      </c>
      <c r="V17" s="3">
        <v>8</v>
      </c>
      <c r="W17" s="20">
        <v>72</v>
      </c>
      <c r="X17" s="3">
        <v>8</v>
      </c>
      <c r="Y17" s="3"/>
      <c r="Z17" s="3"/>
      <c r="AA17" s="20"/>
      <c r="AB17" s="3"/>
      <c r="AC17" s="3"/>
      <c r="AD17" s="20"/>
      <c r="AE17" s="3"/>
      <c r="AF17" s="3"/>
      <c r="AG17" s="20"/>
      <c r="AH17" s="107"/>
      <c r="AI17" s="107"/>
      <c r="AJ17" s="107"/>
      <c r="AK17" s="107"/>
      <c r="AL17" s="108"/>
      <c r="AN17" s="67">
        <f t="shared" si="2"/>
        <v>-2.9409544077554983</v>
      </c>
      <c r="AO17" s="67">
        <f t="shared" si="2"/>
        <v>-1.1123559328449915</v>
      </c>
      <c r="AP17" s="67">
        <f t="shared" si="2"/>
        <v>-2.226622817524003</v>
      </c>
      <c r="AY17" s="67">
        <f t="shared" si="0"/>
        <v>296.9409544077555</v>
      </c>
      <c r="AZ17" s="67">
        <f t="shared" si="1"/>
        <v>74.112355932844991</v>
      </c>
      <c r="BA17" s="67">
        <f t="shared" si="3"/>
        <v>239.226622817524</v>
      </c>
      <c r="BC17">
        <f t="shared" si="4"/>
        <v>40.066322365574365</v>
      </c>
      <c r="BD17">
        <v>1013.2</v>
      </c>
      <c r="BE17">
        <f t="shared" si="5"/>
        <v>32.24031769064355</v>
      </c>
    </row>
    <row r="18" spans="1:57" x14ac:dyDescent="0.2">
      <c r="A18" s="13">
        <v>9</v>
      </c>
      <c r="B18" s="3">
        <v>15</v>
      </c>
      <c r="C18" s="17">
        <v>7</v>
      </c>
      <c r="D18" s="3">
        <v>4</v>
      </c>
      <c r="E18" s="18">
        <v>10</v>
      </c>
      <c r="F18" s="18">
        <v>19</v>
      </c>
      <c r="G18" s="18">
        <v>76</v>
      </c>
      <c r="H18" s="19">
        <v>2</v>
      </c>
      <c r="I18" s="18"/>
      <c r="J18" s="18"/>
      <c r="K18" s="20">
        <v>111</v>
      </c>
      <c r="L18" s="18">
        <v>292</v>
      </c>
      <c r="M18" s="18">
        <v>258</v>
      </c>
      <c r="N18" s="18">
        <v>306</v>
      </c>
      <c r="O18" s="18">
        <v>75</v>
      </c>
      <c r="P18" s="18">
        <v>244</v>
      </c>
      <c r="Q18" s="17">
        <v>1</v>
      </c>
      <c r="R18" s="17">
        <v>2</v>
      </c>
      <c r="S18" s="17">
        <v>0</v>
      </c>
      <c r="T18" s="17">
        <v>1</v>
      </c>
      <c r="U18" s="17">
        <v>1</v>
      </c>
      <c r="V18" s="3">
        <v>8</v>
      </c>
      <c r="W18" s="20">
        <v>72</v>
      </c>
      <c r="X18" s="3">
        <v>8</v>
      </c>
      <c r="Y18" s="3">
        <v>7</v>
      </c>
      <c r="Z18" s="3">
        <v>0</v>
      </c>
      <c r="AA18" s="20">
        <v>900</v>
      </c>
      <c r="AB18" s="3"/>
      <c r="AC18" s="3"/>
      <c r="AD18" s="20"/>
      <c r="AE18" s="3"/>
      <c r="AF18" s="3"/>
      <c r="AG18" s="20"/>
      <c r="AH18" s="107"/>
      <c r="AI18" s="107"/>
      <c r="AJ18" s="107"/>
      <c r="AK18" s="107"/>
      <c r="AL18" s="108"/>
      <c r="AN18" s="67">
        <f t="shared" si="2"/>
        <v>-2.7167892349539216</v>
      </c>
      <c r="AO18" s="67">
        <f t="shared" si="2"/>
        <v>-1.1644127182046873</v>
      </c>
      <c r="AP18" s="67">
        <f t="shared" si="2"/>
        <v>-1.7064154579376236</v>
      </c>
      <c r="AY18" s="67">
        <f t="shared" si="0"/>
        <v>308.71678923495392</v>
      </c>
      <c r="AZ18" s="67">
        <f t="shared" si="1"/>
        <v>76.164412718204687</v>
      </c>
      <c r="BA18" s="67">
        <f t="shared" si="3"/>
        <v>245.70641545793762</v>
      </c>
      <c r="BC18">
        <f t="shared" si="4"/>
        <v>40.532944221227474</v>
      </c>
      <c r="BD18">
        <v>1013.2</v>
      </c>
      <c r="BE18">
        <f t="shared" si="5"/>
        <v>33.212758052631393</v>
      </c>
    </row>
    <row r="19" spans="1:57" x14ac:dyDescent="0.2">
      <c r="A19" s="13">
        <v>10</v>
      </c>
      <c r="B19" s="3">
        <v>15</v>
      </c>
      <c r="C19" s="17">
        <v>7</v>
      </c>
      <c r="D19" s="3">
        <v>4</v>
      </c>
      <c r="E19" s="18">
        <v>9</v>
      </c>
      <c r="F19" s="18">
        <v>14</v>
      </c>
      <c r="G19" s="18">
        <v>70</v>
      </c>
      <c r="H19" s="19">
        <v>1</v>
      </c>
      <c r="I19" s="18">
        <v>5</v>
      </c>
      <c r="J19" s="18">
        <v>22</v>
      </c>
      <c r="K19" s="20">
        <v>95</v>
      </c>
      <c r="L19" s="18">
        <v>300</v>
      </c>
      <c r="M19" s="18">
        <v>259</v>
      </c>
      <c r="N19" s="18">
        <v>311</v>
      </c>
      <c r="O19" s="18">
        <v>73</v>
      </c>
      <c r="P19" s="18">
        <v>247</v>
      </c>
      <c r="Q19" s="17">
        <v>3</v>
      </c>
      <c r="R19" s="17">
        <v>2</v>
      </c>
      <c r="S19" s="17">
        <v>0</v>
      </c>
      <c r="T19" s="17">
        <v>2</v>
      </c>
      <c r="U19" s="17">
        <v>3</v>
      </c>
      <c r="V19" s="3">
        <v>8</v>
      </c>
      <c r="W19" s="20">
        <v>54</v>
      </c>
      <c r="X19" s="3">
        <v>8</v>
      </c>
      <c r="Y19" s="3">
        <v>6</v>
      </c>
      <c r="Z19" s="3">
        <v>0</v>
      </c>
      <c r="AA19" s="20">
        <v>870</v>
      </c>
      <c r="AB19" s="3"/>
      <c r="AC19" s="3"/>
      <c r="AD19" s="20"/>
      <c r="AE19" s="3"/>
      <c r="AF19" s="3"/>
      <c r="AG19" s="20"/>
      <c r="AH19" s="107" t="s">
        <v>85</v>
      </c>
      <c r="AI19" s="107"/>
      <c r="AJ19" s="107"/>
      <c r="AK19" s="107"/>
      <c r="AL19" s="108"/>
      <c r="AN19" s="67">
        <f t="shared" si="2"/>
        <v>5.1308563911363194</v>
      </c>
      <c r="AO19" s="67">
        <f t="shared" si="2"/>
        <v>0.94130692201082411</v>
      </c>
      <c r="AP19" s="67">
        <f t="shared" si="2"/>
        <v>2.8404364924685979</v>
      </c>
      <c r="AY19" s="67">
        <f t="shared" si="0"/>
        <v>305.86914360886368</v>
      </c>
      <c r="AZ19" s="67">
        <f t="shared" si="1"/>
        <v>72.058693077989176</v>
      </c>
      <c r="BA19" s="67">
        <f t="shared" si="3"/>
        <v>244.1595635075314</v>
      </c>
      <c r="BC19">
        <f t="shared" si="4"/>
        <v>42.447223304178067</v>
      </c>
      <c r="BD19">
        <v>1013.2</v>
      </c>
      <c r="BE19">
        <f t="shared" si="5"/>
        <v>33.410295667258367</v>
      </c>
    </row>
    <row r="20" spans="1:57" x14ac:dyDescent="0.2">
      <c r="A20" s="13">
        <v>11</v>
      </c>
      <c r="B20" s="3">
        <v>15</v>
      </c>
      <c r="C20" s="17">
        <v>7</v>
      </c>
      <c r="D20" s="3">
        <v>4</v>
      </c>
      <c r="E20" s="18">
        <v>12</v>
      </c>
      <c r="F20" s="18">
        <v>7</v>
      </c>
      <c r="G20" s="18">
        <v>70</v>
      </c>
      <c r="H20" s="19">
        <v>1</v>
      </c>
      <c r="I20" s="18">
        <v>5</v>
      </c>
      <c r="J20" s="18">
        <v>22</v>
      </c>
      <c r="K20" s="20">
        <v>90</v>
      </c>
      <c r="L20" s="18">
        <v>279</v>
      </c>
      <c r="M20" s="18">
        <v>252</v>
      </c>
      <c r="N20" s="18">
        <v>299</v>
      </c>
      <c r="O20" s="18">
        <v>79</v>
      </c>
      <c r="P20" s="18">
        <v>240</v>
      </c>
      <c r="Q20" s="17">
        <v>6</v>
      </c>
      <c r="R20" s="17">
        <v>4</v>
      </c>
      <c r="S20" s="17">
        <v>0</v>
      </c>
      <c r="T20" s="17">
        <v>2</v>
      </c>
      <c r="U20" s="17">
        <v>5</v>
      </c>
      <c r="V20" s="3">
        <v>8</v>
      </c>
      <c r="W20" s="20">
        <v>57</v>
      </c>
      <c r="X20" s="3">
        <v>8</v>
      </c>
      <c r="Y20" s="3">
        <v>6</v>
      </c>
      <c r="Z20" s="3">
        <v>0</v>
      </c>
      <c r="AA20" s="20">
        <v>840</v>
      </c>
      <c r="AB20" s="3"/>
      <c r="AC20" s="3"/>
      <c r="AD20" s="20"/>
      <c r="AE20" s="3"/>
      <c r="AF20" s="3"/>
      <c r="AG20" s="20"/>
      <c r="AH20" s="107" t="s">
        <v>85</v>
      </c>
      <c r="AI20" s="107"/>
      <c r="AJ20" s="107"/>
      <c r="AK20" s="107"/>
      <c r="AL20" s="108"/>
      <c r="AN20" s="67">
        <f t="shared" si="2"/>
        <v>-2.9100154905459021</v>
      </c>
      <c r="AO20" s="67">
        <f t="shared" si="2"/>
        <v>-1.3319306703536284</v>
      </c>
      <c r="AP20" s="67">
        <f t="shared" si="2"/>
        <v>-1.987865874895931</v>
      </c>
      <c r="AY20" s="67">
        <f t="shared" si="0"/>
        <v>301.9100154905459</v>
      </c>
      <c r="AZ20" s="67">
        <f t="shared" si="1"/>
        <v>80.331930670353628</v>
      </c>
      <c r="BA20" s="67">
        <f t="shared" si="3"/>
        <v>241.98786587489593</v>
      </c>
      <c r="BC20">
        <f t="shared" si="4"/>
        <v>37.582815820703949</v>
      </c>
      <c r="BD20">
        <v>1013.2</v>
      </c>
      <c r="BE20">
        <f t="shared" si="5"/>
        <v>32.048847988206589</v>
      </c>
    </row>
    <row r="21" spans="1:57" x14ac:dyDescent="0.2">
      <c r="A21" s="13">
        <v>12</v>
      </c>
      <c r="B21" s="3">
        <v>15</v>
      </c>
      <c r="C21" s="17">
        <v>7</v>
      </c>
      <c r="D21" s="3">
        <v>4</v>
      </c>
      <c r="E21" s="18">
        <v>10</v>
      </c>
      <c r="F21" s="18">
        <v>13</v>
      </c>
      <c r="G21" s="18">
        <v>78</v>
      </c>
      <c r="H21" s="19">
        <v>2</v>
      </c>
      <c r="I21" s="18"/>
      <c r="J21" s="18"/>
      <c r="K21" s="20">
        <v>105</v>
      </c>
      <c r="L21" s="18">
        <v>290</v>
      </c>
      <c r="M21" s="18">
        <v>246</v>
      </c>
      <c r="N21" s="18">
        <v>275</v>
      </c>
      <c r="O21" s="18">
        <v>68</v>
      </c>
      <c r="P21" s="18">
        <v>226</v>
      </c>
      <c r="Q21" s="17">
        <v>6</v>
      </c>
      <c r="R21" s="17">
        <v>8</v>
      </c>
      <c r="S21" s="17">
        <v>4</v>
      </c>
      <c r="T21" s="17">
        <v>2</v>
      </c>
      <c r="U21" s="17">
        <v>2</v>
      </c>
      <c r="V21" s="3">
        <v>8</v>
      </c>
      <c r="W21" s="20">
        <v>60</v>
      </c>
      <c r="X21" s="3">
        <v>8</v>
      </c>
      <c r="Y21" s="3">
        <v>4</v>
      </c>
      <c r="Z21" s="3">
        <v>6</v>
      </c>
      <c r="AA21" s="20">
        <f>45*3</f>
        <v>135</v>
      </c>
      <c r="AB21" s="3"/>
      <c r="AC21" s="3"/>
      <c r="AD21" s="20"/>
      <c r="AE21" s="3"/>
      <c r="AF21" s="3"/>
      <c r="AG21" s="20"/>
      <c r="AH21" s="107"/>
      <c r="AI21" s="107"/>
      <c r="AJ21" s="107"/>
      <c r="AK21" s="107"/>
      <c r="AL21" s="108"/>
      <c r="AN21" s="67">
        <f t="shared" si="2"/>
        <v>-3.9521716618097571</v>
      </c>
      <c r="AO21" s="67">
        <f t="shared" si="2"/>
        <v>-1.6226045197225289</v>
      </c>
      <c r="AP21" s="67">
        <f t="shared" si="2"/>
        <v>-2.8797646138669677</v>
      </c>
      <c r="AY21" s="67">
        <f t="shared" si="0"/>
        <v>278.95217166180976</v>
      </c>
      <c r="AZ21" s="67">
        <f t="shared" si="1"/>
        <v>69.622604519722529</v>
      </c>
      <c r="BA21" s="67">
        <f t="shared" si="3"/>
        <v>228.87976461386697</v>
      </c>
      <c r="BC21">
        <f t="shared" si="4"/>
        <v>40.066322365574365</v>
      </c>
      <c r="BD21">
        <v>1013.2</v>
      </c>
      <c r="BE21">
        <f t="shared" si="5"/>
        <v>30.920788561092973</v>
      </c>
    </row>
    <row r="22" spans="1:57" x14ac:dyDescent="0.2">
      <c r="A22" s="13">
        <v>13</v>
      </c>
      <c r="B22" s="3">
        <v>15</v>
      </c>
      <c r="C22" s="17">
        <v>3</v>
      </c>
      <c r="D22" s="3">
        <v>4</v>
      </c>
      <c r="E22" s="18">
        <v>10</v>
      </c>
      <c r="F22" s="18">
        <v>14</v>
      </c>
      <c r="G22" s="18">
        <v>80</v>
      </c>
      <c r="H22" s="19">
        <v>2</v>
      </c>
      <c r="I22" s="18"/>
      <c r="J22" s="18"/>
      <c r="K22" s="20">
        <v>119</v>
      </c>
      <c r="L22" s="18">
        <v>301</v>
      </c>
      <c r="M22" s="18">
        <v>250</v>
      </c>
      <c r="N22" s="18">
        <v>277</v>
      </c>
      <c r="O22" s="18">
        <v>65</v>
      </c>
      <c r="P22" s="18">
        <v>227</v>
      </c>
      <c r="Q22" s="17">
        <v>1</v>
      </c>
      <c r="R22" s="17">
        <v>8</v>
      </c>
      <c r="S22" s="17">
        <v>0</v>
      </c>
      <c r="T22" s="17">
        <v>2</v>
      </c>
      <c r="U22" s="17">
        <v>1</v>
      </c>
      <c r="V22" s="3">
        <v>8</v>
      </c>
      <c r="W22" s="20">
        <v>63</v>
      </c>
      <c r="X22" s="3">
        <v>8</v>
      </c>
      <c r="Y22" s="3"/>
      <c r="Z22" s="3"/>
      <c r="AA22" s="20"/>
      <c r="AB22" s="3"/>
      <c r="AC22" s="3"/>
      <c r="AD22" s="20"/>
      <c r="AE22" s="3"/>
      <c r="AF22" s="3"/>
      <c r="AG22" s="20"/>
      <c r="AH22" s="107"/>
      <c r="AI22" s="107"/>
      <c r="AJ22" s="107"/>
      <c r="AK22" s="107"/>
      <c r="AL22" s="108"/>
      <c r="AN22" s="67">
        <f t="shared" si="2"/>
        <v>-4.6041051261599932</v>
      </c>
      <c r="AO22" s="67">
        <f t="shared" si="2"/>
        <v>-0.96184493018381545</v>
      </c>
      <c r="AP22" s="67">
        <f t="shared" si="2"/>
        <v>-3.4412029940682771</v>
      </c>
      <c r="AY22" s="67">
        <f t="shared" si="0"/>
        <v>281.60410512615999</v>
      </c>
      <c r="AZ22" s="67">
        <f t="shared" si="1"/>
        <v>65.961844930183815</v>
      </c>
      <c r="BA22" s="67">
        <f t="shared" si="3"/>
        <v>230.44120299406828</v>
      </c>
      <c r="BC22">
        <f t="shared" si="4"/>
        <v>42.691969186765327</v>
      </c>
      <c r="BD22">
        <v>1013.2</v>
      </c>
      <c r="BE22">
        <f t="shared" si="5"/>
        <v>31.668891609615997</v>
      </c>
    </row>
    <row r="23" spans="1:57" x14ac:dyDescent="0.2">
      <c r="A23" s="13">
        <v>14</v>
      </c>
      <c r="B23" s="3">
        <v>15</v>
      </c>
      <c r="C23" s="17">
        <v>5</v>
      </c>
      <c r="D23" s="3">
        <v>4</v>
      </c>
      <c r="E23" s="18">
        <v>10</v>
      </c>
      <c r="F23" s="18">
        <v>14</v>
      </c>
      <c r="G23" s="18">
        <v>80</v>
      </c>
      <c r="H23" s="19">
        <v>2</v>
      </c>
      <c r="I23" s="18"/>
      <c r="J23" s="18"/>
      <c r="K23" s="20">
        <v>111</v>
      </c>
      <c r="L23" s="18">
        <v>288</v>
      </c>
      <c r="M23" s="18">
        <v>243</v>
      </c>
      <c r="N23" s="18">
        <v>268</v>
      </c>
      <c r="O23" s="18">
        <v>67</v>
      </c>
      <c r="P23" s="18">
        <v>222</v>
      </c>
      <c r="Q23" s="17">
        <v>2</v>
      </c>
      <c r="R23" s="17">
        <v>2</v>
      </c>
      <c r="S23" s="17">
        <v>0</v>
      </c>
      <c r="T23" s="17">
        <v>2</v>
      </c>
      <c r="U23" s="17">
        <v>2</v>
      </c>
      <c r="V23" s="3">
        <v>8</v>
      </c>
      <c r="W23" s="20">
        <v>63</v>
      </c>
      <c r="X23" s="3">
        <v>8</v>
      </c>
      <c r="Y23" s="3">
        <v>5</v>
      </c>
      <c r="Z23" s="3">
        <v>0</v>
      </c>
      <c r="AA23" s="20">
        <v>840</v>
      </c>
      <c r="AB23" s="3"/>
      <c r="AC23" s="3"/>
      <c r="AD23" s="20"/>
      <c r="AE23" s="3"/>
      <c r="AF23" s="3"/>
      <c r="AG23" s="20"/>
      <c r="AH23" s="107"/>
      <c r="AI23" s="107"/>
      <c r="AJ23" s="107"/>
      <c r="AK23" s="107"/>
      <c r="AL23" s="108"/>
      <c r="AN23" s="67">
        <f t="shared" si="2"/>
        <v>-4.7661208349181834</v>
      </c>
      <c r="AO23" s="67">
        <f t="shared" si="2"/>
        <v>-1.8726832916467799</v>
      </c>
      <c r="AP23" s="67">
        <f t="shared" si="2"/>
        <v>-3.1862871730581901</v>
      </c>
      <c r="AY23" s="67">
        <f t="shared" si="0"/>
        <v>272.76612083491818</v>
      </c>
      <c r="AZ23" s="67">
        <f t="shared" si="1"/>
        <v>68.87268329164678</v>
      </c>
      <c r="BA23" s="67">
        <f t="shared" si="3"/>
        <v>225.18628717305819</v>
      </c>
      <c r="BC23">
        <f t="shared" si="4"/>
        <v>39.60439869605031</v>
      </c>
      <c r="BD23">
        <v>1013.2</v>
      </c>
      <c r="BE23">
        <f t="shared" si="5"/>
        <v>30.369908289271816</v>
      </c>
    </row>
    <row r="24" spans="1:57" x14ac:dyDescent="0.2">
      <c r="A24" s="13">
        <v>15</v>
      </c>
      <c r="B24" s="3">
        <v>15</v>
      </c>
      <c r="C24" s="17">
        <v>3</v>
      </c>
      <c r="D24" s="3">
        <v>4</v>
      </c>
      <c r="E24" s="18">
        <v>99</v>
      </c>
      <c r="F24" s="18">
        <v>10</v>
      </c>
      <c r="G24" s="18">
        <v>75</v>
      </c>
      <c r="H24" s="19">
        <v>2</v>
      </c>
      <c r="I24" s="18"/>
      <c r="J24" s="18"/>
      <c r="K24" s="20">
        <v>107</v>
      </c>
      <c r="L24" s="18">
        <v>294</v>
      </c>
      <c r="M24" s="18">
        <v>247</v>
      </c>
      <c r="N24" s="18">
        <v>275</v>
      </c>
      <c r="O24" s="18">
        <v>67</v>
      </c>
      <c r="P24" s="18">
        <v>226</v>
      </c>
      <c r="Q24" s="17">
        <v>1</v>
      </c>
      <c r="R24" s="17">
        <v>2</v>
      </c>
      <c r="S24" s="17">
        <v>0</v>
      </c>
      <c r="T24" s="17">
        <v>1</v>
      </c>
      <c r="U24" s="17">
        <v>1</v>
      </c>
      <c r="V24" s="3">
        <v>8</v>
      </c>
      <c r="W24" s="20">
        <v>63</v>
      </c>
      <c r="X24" s="3">
        <v>8</v>
      </c>
      <c r="Y24" s="3"/>
      <c r="Z24" s="3"/>
      <c r="AA24" s="20"/>
      <c r="AB24" s="3"/>
      <c r="AC24" s="3"/>
      <c r="AD24" s="20"/>
      <c r="AE24" s="3"/>
      <c r="AF24" s="3"/>
      <c r="AG24" s="20"/>
      <c r="AH24" s="107"/>
      <c r="AI24" s="107"/>
      <c r="AJ24" s="107"/>
      <c r="AK24" s="107"/>
      <c r="AL24" s="108"/>
      <c r="AN24" s="67">
        <f t="shared" si="2"/>
        <v>-3.7412718740702076</v>
      </c>
      <c r="AO24" s="67">
        <f t="shared" si="2"/>
        <v>-0.97853907185925948</v>
      </c>
      <c r="AP24" s="67">
        <f t="shared" si="2"/>
        <v>-2.7550308558834615</v>
      </c>
      <c r="AY24" s="67">
        <f t="shared" si="0"/>
        <v>278.74127187407021</v>
      </c>
      <c r="AZ24" s="67">
        <f t="shared" si="1"/>
        <v>67.978539071859259</v>
      </c>
      <c r="BA24" s="67">
        <f t="shared" si="3"/>
        <v>228.75503085588346</v>
      </c>
      <c r="BC24">
        <f t="shared" si="4"/>
        <v>41.004304546677048</v>
      </c>
      <c r="BD24">
        <v>1013.2</v>
      </c>
      <c r="BE24">
        <f t="shared" si="5"/>
        <v>31.106348979899021</v>
      </c>
    </row>
    <row r="25" spans="1:57" x14ac:dyDescent="0.2">
      <c r="A25" s="13">
        <v>16</v>
      </c>
      <c r="B25" s="3">
        <v>15</v>
      </c>
      <c r="C25" s="17">
        <v>7</v>
      </c>
      <c r="D25" s="3">
        <v>4</v>
      </c>
      <c r="E25" s="18">
        <v>99</v>
      </c>
      <c r="F25" s="18">
        <v>12</v>
      </c>
      <c r="G25" s="18">
        <v>75</v>
      </c>
      <c r="H25" s="19">
        <v>2</v>
      </c>
      <c r="I25" s="18"/>
      <c r="J25" s="18"/>
      <c r="K25" s="20">
        <v>118</v>
      </c>
      <c r="L25" s="18">
        <v>298</v>
      </c>
      <c r="M25" s="18">
        <v>256</v>
      </c>
      <c r="N25" s="18">
        <v>295</v>
      </c>
      <c r="O25" s="18">
        <v>70</v>
      </c>
      <c r="P25" s="18">
        <v>238</v>
      </c>
      <c r="Q25" s="17">
        <v>3</v>
      </c>
      <c r="R25" s="17">
        <v>8</v>
      </c>
      <c r="S25" s="17">
        <v>0</v>
      </c>
      <c r="T25" s="17">
        <v>2</v>
      </c>
      <c r="U25" s="17">
        <v>2</v>
      </c>
      <c r="V25" s="3">
        <v>8</v>
      </c>
      <c r="W25" s="20">
        <v>57</v>
      </c>
      <c r="X25" s="3">
        <v>8</v>
      </c>
      <c r="Y25" s="3">
        <v>5</v>
      </c>
      <c r="Z25" s="3">
        <v>0</v>
      </c>
      <c r="AA25" s="20">
        <v>840</v>
      </c>
      <c r="AB25" s="3"/>
      <c r="AC25" s="3"/>
      <c r="AD25" s="20"/>
      <c r="AE25" s="3"/>
      <c r="AF25" s="3"/>
      <c r="AG25" s="20"/>
      <c r="AH25" s="107"/>
      <c r="AI25" s="107"/>
      <c r="AJ25" s="107"/>
      <c r="AK25" s="107"/>
      <c r="AL25" s="108"/>
      <c r="AN25" s="67">
        <f t="shared" si="2"/>
        <v>-4.2947047087789656</v>
      </c>
      <c r="AO25" s="67">
        <f t="shared" si="2"/>
        <v>-1.3261908531808047</v>
      </c>
      <c r="AP25" s="67">
        <f t="shared" si="2"/>
        <v>-2.5395745664458502</v>
      </c>
      <c r="AY25" s="67">
        <f t="shared" si="0"/>
        <v>299.29470470877897</v>
      </c>
      <c r="AZ25" s="67">
        <f t="shared" si="1"/>
        <v>71.326190853180805</v>
      </c>
      <c r="BA25" s="67">
        <f t="shared" si="3"/>
        <v>240.53957456644585</v>
      </c>
      <c r="BC25">
        <f t="shared" si="4"/>
        <v>41.961403115561424</v>
      </c>
      <c r="BD25">
        <v>1013.2</v>
      </c>
      <c r="BE25">
        <f t="shared" si="5"/>
        <v>32.820745772253893</v>
      </c>
    </row>
    <row r="26" spans="1:57" x14ac:dyDescent="0.2">
      <c r="A26" s="13">
        <v>17</v>
      </c>
      <c r="B26" s="3">
        <v>15</v>
      </c>
      <c r="C26" s="17">
        <v>8</v>
      </c>
      <c r="D26" s="3">
        <v>4</v>
      </c>
      <c r="E26" s="18">
        <v>13</v>
      </c>
      <c r="F26" s="18">
        <v>17</v>
      </c>
      <c r="G26" s="18">
        <v>56</v>
      </c>
      <c r="H26" s="19">
        <v>1</v>
      </c>
      <c r="I26" s="18">
        <v>81</v>
      </c>
      <c r="J26" s="18">
        <v>82</v>
      </c>
      <c r="K26" s="20">
        <v>147</v>
      </c>
      <c r="L26" s="18">
        <v>238</v>
      </c>
      <c r="M26" s="18">
        <v>235</v>
      </c>
      <c r="N26" s="18">
        <v>286</v>
      </c>
      <c r="O26" s="18">
        <v>97</v>
      </c>
      <c r="P26" s="18">
        <v>233</v>
      </c>
      <c r="Q26" s="17">
        <v>8</v>
      </c>
      <c r="R26" s="17">
        <v>8</v>
      </c>
      <c r="S26" s="17" t="s">
        <v>89</v>
      </c>
      <c r="T26" s="17" t="s">
        <v>89</v>
      </c>
      <c r="U26" s="17">
        <v>7</v>
      </c>
      <c r="V26" s="3">
        <v>8</v>
      </c>
      <c r="W26" s="20">
        <f>8*3</f>
        <v>24</v>
      </c>
      <c r="X26" s="3">
        <v>8</v>
      </c>
      <c r="Y26" s="3">
        <v>6</v>
      </c>
      <c r="Z26" s="3">
        <v>6</v>
      </c>
      <c r="AA26" s="20">
        <v>105</v>
      </c>
      <c r="AB26" s="3"/>
      <c r="AC26" s="3"/>
      <c r="AD26" s="20"/>
      <c r="AE26" s="3"/>
      <c r="AF26" s="3"/>
      <c r="AG26" s="20"/>
      <c r="AH26" s="107" t="s">
        <v>107</v>
      </c>
      <c r="AI26" s="107"/>
      <c r="AJ26" s="107"/>
      <c r="AK26" s="107"/>
      <c r="AL26" s="108"/>
      <c r="AN26" s="67">
        <f t="shared" si="2"/>
        <v>-1.3665049942501355</v>
      </c>
      <c r="AO26" s="67">
        <f t="shared" si="2"/>
        <v>-0.50870967614676488</v>
      </c>
      <c r="AP26" s="67">
        <f t="shared" si="2"/>
        <v>-0.79013568372249665</v>
      </c>
      <c r="AY26" s="67">
        <f t="shared" si="0"/>
        <v>287.36650499425014</v>
      </c>
      <c r="AZ26" s="67">
        <f t="shared" si="1"/>
        <v>97.508709676146765</v>
      </c>
      <c r="BA26" s="67">
        <f t="shared" si="3"/>
        <v>233.7901356837225</v>
      </c>
      <c r="BC26">
        <f t="shared" si="4"/>
        <v>29.470855059888834</v>
      </c>
      <c r="BD26">
        <v>1013.2</v>
      </c>
      <c r="BE26">
        <f t="shared" si="5"/>
        <v>28.94268568196501</v>
      </c>
    </row>
    <row r="27" spans="1:57" x14ac:dyDescent="0.2">
      <c r="A27" s="13">
        <v>18</v>
      </c>
      <c r="B27" s="3">
        <v>15</v>
      </c>
      <c r="C27" s="17">
        <v>7</v>
      </c>
      <c r="D27" s="3">
        <v>4</v>
      </c>
      <c r="E27" s="18">
        <v>10</v>
      </c>
      <c r="F27" s="18">
        <v>15</v>
      </c>
      <c r="G27" s="18">
        <v>72</v>
      </c>
      <c r="H27" s="19">
        <v>1</v>
      </c>
      <c r="I27" s="18">
        <v>6</v>
      </c>
      <c r="J27" s="18">
        <v>22</v>
      </c>
      <c r="K27" s="20">
        <v>132</v>
      </c>
      <c r="L27" s="18">
        <v>298</v>
      </c>
      <c r="M27" s="18">
        <v>256</v>
      </c>
      <c r="N27" s="18">
        <v>295</v>
      </c>
      <c r="O27" s="18">
        <v>70</v>
      </c>
      <c r="P27" s="18">
        <v>238</v>
      </c>
      <c r="Q27" s="17">
        <v>6</v>
      </c>
      <c r="R27" s="17">
        <v>4</v>
      </c>
      <c r="S27" s="17">
        <v>6</v>
      </c>
      <c r="T27" s="17">
        <v>0</v>
      </c>
      <c r="U27" s="17">
        <v>1</v>
      </c>
      <c r="V27" s="3">
        <v>8</v>
      </c>
      <c r="W27" s="20">
        <v>57</v>
      </c>
      <c r="X27" s="3">
        <v>8</v>
      </c>
      <c r="Y27" s="3">
        <v>6</v>
      </c>
      <c r="Z27" s="3">
        <v>6</v>
      </c>
      <c r="AA27" s="20">
        <v>120</v>
      </c>
      <c r="AB27" s="3"/>
      <c r="AC27" s="3"/>
      <c r="AD27" s="20"/>
      <c r="AE27" s="3"/>
      <c r="AF27" s="3"/>
      <c r="AG27" s="20"/>
      <c r="AH27" s="107" t="s">
        <v>85</v>
      </c>
      <c r="AI27" s="107"/>
      <c r="AJ27" s="107"/>
      <c r="AK27" s="107"/>
      <c r="AL27" s="108"/>
      <c r="AN27" s="67">
        <f t="shared" si="2"/>
        <v>-4.2947047087789656</v>
      </c>
      <c r="AO27" s="67">
        <f t="shared" si="2"/>
        <v>-1.3261908531808047</v>
      </c>
      <c r="AP27" s="67">
        <f t="shared" si="2"/>
        <v>-2.5395745664458502</v>
      </c>
      <c r="AY27" s="67">
        <f t="shared" si="0"/>
        <v>299.29470470877897</v>
      </c>
      <c r="AZ27" s="67">
        <f t="shared" si="1"/>
        <v>71.326190853180805</v>
      </c>
      <c r="BA27" s="67">
        <f t="shared" si="3"/>
        <v>240.53957456644585</v>
      </c>
      <c r="BC27">
        <f t="shared" si="4"/>
        <v>41.961403115561424</v>
      </c>
      <c r="BD27">
        <v>1013.2</v>
      </c>
      <c r="BE27">
        <f t="shared" si="5"/>
        <v>32.820745772253893</v>
      </c>
    </row>
    <row r="28" spans="1:57" x14ac:dyDescent="0.2">
      <c r="A28" s="13">
        <v>19</v>
      </c>
      <c r="B28" s="3">
        <v>15</v>
      </c>
      <c r="C28" s="17">
        <v>6</v>
      </c>
      <c r="D28" s="3">
        <v>4</v>
      </c>
      <c r="E28" s="18">
        <v>9</v>
      </c>
      <c r="F28" s="18">
        <v>16</v>
      </c>
      <c r="G28" s="18">
        <v>68</v>
      </c>
      <c r="H28" s="19">
        <v>1</v>
      </c>
      <c r="I28" s="18">
        <v>5</v>
      </c>
      <c r="J28" s="18">
        <v>11</v>
      </c>
      <c r="K28" s="20">
        <v>111</v>
      </c>
      <c r="L28" s="18">
        <v>297</v>
      </c>
      <c r="M28" s="18">
        <v>253</v>
      </c>
      <c r="N28" s="18">
        <v>288</v>
      </c>
      <c r="O28" s="18">
        <v>69</v>
      </c>
      <c r="P28" s="18">
        <v>234</v>
      </c>
      <c r="Q28" s="17">
        <v>5</v>
      </c>
      <c r="R28" s="17">
        <v>8</v>
      </c>
      <c r="S28" s="17">
        <v>0</v>
      </c>
      <c r="T28" s="17">
        <v>1</v>
      </c>
      <c r="U28" s="17">
        <v>2</v>
      </c>
      <c r="V28" s="3">
        <v>8</v>
      </c>
      <c r="W28" s="20">
        <v>57</v>
      </c>
      <c r="X28" s="3">
        <v>8</v>
      </c>
      <c r="Y28" s="3">
        <v>4</v>
      </c>
      <c r="Z28" s="3">
        <v>6</v>
      </c>
      <c r="AA28" s="20">
        <v>120</v>
      </c>
      <c r="AB28" s="3"/>
      <c r="AC28" s="3"/>
      <c r="AD28" s="20"/>
      <c r="AE28" s="3"/>
      <c r="AF28" s="3"/>
      <c r="AG28" s="20"/>
      <c r="AH28" s="107" t="s">
        <v>85</v>
      </c>
      <c r="AI28" s="107"/>
      <c r="AJ28" s="107"/>
      <c r="AK28" s="107"/>
      <c r="AL28" s="108"/>
      <c r="AN28" s="67">
        <f t="shared" si="2"/>
        <v>-4.1237771782755317</v>
      </c>
      <c r="AO28" s="67">
        <f t="shared" si="2"/>
        <v>-1.0195463376673359</v>
      </c>
      <c r="AP28" s="67">
        <f t="shared" si="2"/>
        <v>-2.5108782451994216</v>
      </c>
      <c r="AY28" s="67">
        <f t="shared" si="0"/>
        <v>292.12377717827553</v>
      </c>
      <c r="AZ28" s="67">
        <f t="shared" si="1"/>
        <v>70.019546337667336</v>
      </c>
      <c r="BA28" s="67">
        <f t="shared" si="3"/>
        <v>236.51087824519942</v>
      </c>
      <c r="BC28">
        <f t="shared" si="4"/>
        <v>41.720318462150075</v>
      </c>
      <c r="BD28">
        <v>1013.2</v>
      </c>
      <c r="BE28">
        <f t="shared" si="5"/>
        <v>32.24031769064355</v>
      </c>
    </row>
    <row r="29" spans="1:57" x14ac:dyDescent="0.2">
      <c r="A29" s="13">
        <v>20</v>
      </c>
      <c r="B29" s="3">
        <v>15</v>
      </c>
      <c r="C29" s="17">
        <v>8</v>
      </c>
      <c r="D29" s="3">
        <v>4</v>
      </c>
      <c r="E29" s="18">
        <v>9</v>
      </c>
      <c r="F29" s="18">
        <v>14</v>
      </c>
      <c r="G29" s="18">
        <v>68</v>
      </c>
      <c r="H29" s="19">
        <v>1</v>
      </c>
      <c r="I29" s="18">
        <v>5</v>
      </c>
      <c r="J29" s="18">
        <v>22</v>
      </c>
      <c r="K29" s="20">
        <v>109</v>
      </c>
      <c r="L29" s="18">
        <v>285</v>
      </c>
      <c r="M29" s="18">
        <v>245</v>
      </c>
      <c r="N29" s="18">
        <v>276</v>
      </c>
      <c r="O29" s="18">
        <v>71</v>
      </c>
      <c r="P29" s="18">
        <v>227</v>
      </c>
      <c r="Q29" s="17">
        <v>5</v>
      </c>
      <c r="R29" s="17">
        <v>8</v>
      </c>
      <c r="S29" s="17">
        <v>7</v>
      </c>
      <c r="T29" s="17" t="s">
        <v>89</v>
      </c>
      <c r="U29" s="17">
        <v>5</v>
      </c>
      <c r="V29" s="3">
        <v>8</v>
      </c>
      <c r="W29" s="20">
        <v>51</v>
      </c>
      <c r="X29" s="3">
        <v>8</v>
      </c>
      <c r="Y29" s="3">
        <v>7</v>
      </c>
      <c r="Z29" s="3">
        <v>4</v>
      </c>
      <c r="AA29" s="20">
        <v>240</v>
      </c>
      <c r="AB29" s="3"/>
      <c r="AC29" s="3"/>
      <c r="AD29" s="20"/>
      <c r="AE29" s="3"/>
      <c r="AF29" s="3"/>
      <c r="AG29" s="20"/>
      <c r="AH29" s="107" t="s">
        <v>85</v>
      </c>
      <c r="AI29" s="107"/>
      <c r="AJ29" s="107"/>
      <c r="AK29" s="107"/>
      <c r="AL29" s="108"/>
      <c r="AN29" s="67">
        <f t="shared" si="2"/>
        <v>-3.8598599352707197</v>
      </c>
      <c r="AO29" s="67">
        <f t="shared" si="2"/>
        <v>-0.90600495328018837</v>
      </c>
      <c r="AP29" s="67">
        <f t="shared" si="2"/>
        <v>-2.4156629838028039</v>
      </c>
      <c r="AY29" s="67">
        <f t="shared" si="0"/>
        <v>279.85985993527072</v>
      </c>
      <c r="AZ29" s="67">
        <f t="shared" si="1"/>
        <v>71.906004953280188</v>
      </c>
      <c r="BA29" s="67">
        <f t="shared" si="3"/>
        <v>229.4156629838028</v>
      </c>
      <c r="BC29">
        <f t="shared" si="4"/>
        <v>38.920234842292423</v>
      </c>
      <c r="BD29">
        <v>1013.2</v>
      </c>
      <c r="BE29">
        <f t="shared" si="5"/>
        <v>30.736197835927069</v>
      </c>
    </row>
    <row r="30" spans="1:57" x14ac:dyDescent="0.2">
      <c r="A30" s="13">
        <v>21</v>
      </c>
      <c r="B30" s="3">
        <v>15</v>
      </c>
      <c r="C30" s="17">
        <v>3</v>
      </c>
      <c r="D30" s="3">
        <v>4</v>
      </c>
      <c r="E30" s="18">
        <v>9</v>
      </c>
      <c r="F30" s="18">
        <v>13</v>
      </c>
      <c r="G30" s="18">
        <v>78</v>
      </c>
      <c r="H30" s="19">
        <v>2</v>
      </c>
      <c r="I30" s="18"/>
      <c r="J30" s="18"/>
      <c r="K30" s="20">
        <v>115</v>
      </c>
      <c r="L30" s="18">
        <v>290</v>
      </c>
      <c r="M30" s="18">
        <v>255</v>
      </c>
      <c r="N30" s="18">
        <v>299</v>
      </c>
      <c r="O30" s="18">
        <v>74</v>
      </c>
      <c r="P30" s="18">
        <v>240</v>
      </c>
      <c r="Q30" s="17">
        <v>1</v>
      </c>
      <c r="R30" s="17">
        <v>8</v>
      </c>
      <c r="S30" s="17">
        <v>0</v>
      </c>
      <c r="T30" s="17">
        <v>2</v>
      </c>
      <c r="U30" s="17">
        <v>1</v>
      </c>
      <c r="V30" s="3">
        <v>8</v>
      </c>
      <c r="W30" s="20">
        <v>69</v>
      </c>
      <c r="X30" s="3">
        <v>8</v>
      </c>
      <c r="Y30" s="3"/>
      <c r="Z30" s="3"/>
      <c r="AA30" s="20"/>
      <c r="AB30" s="3"/>
      <c r="AC30" s="3"/>
      <c r="AD30" s="20"/>
      <c r="AE30" s="3"/>
      <c r="AF30" s="3"/>
      <c r="AG30" s="20"/>
      <c r="AH30" s="107"/>
      <c r="AI30" s="107"/>
      <c r="AJ30" s="107"/>
      <c r="AK30" s="107"/>
      <c r="AL30" s="108"/>
      <c r="AN30" s="67">
        <f t="shared" si="2"/>
        <v>-3.1713522511403767</v>
      </c>
      <c r="AO30" s="67">
        <f t="shared" si="2"/>
        <v>-1.4177909053042868</v>
      </c>
      <c r="AP30" s="67">
        <f t="shared" si="2"/>
        <v>-2.1319830549777521</v>
      </c>
      <c r="AY30" s="67">
        <f t="shared" si="0"/>
        <v>302.17135225114038</v>
      </c>
      <c r="AZ30" s="67">
        <f t="shared" si="1"/>
        <v>75.417790905304287</v>
      </c>
      <c r="BA30" s="67">
        <f t="shared" si="3"/>
        <v>242.13198305497775</v>
      </c>
      <c r="BC30">
        <f t="shared" si="4"/>
        <v>40.066322365574365</v>
      </c>
      <c r="BD30">
        <v>1013.2</v>
      </c>
      <c r="BE30">
        <f t="shared" si="5"/>
        <v>32.626262153014039</v>
      </c>
    </row>
    <row r="31" spans="1:57" x14ac:dyDescent="0.2">
      <c r="A31" s="13">
        <v>22</v>
      </c>
      <c r="B31" s="3">
        <v>15</v>
      </c>
      <c r="C31" s="17">
        <v>7</v>
      </c>
      <c r="D31" s="3">
        <v>4</v>
      </c>
      <c r="E31" s="18">
        <v>6</v>
      </c>
      <c r="F31" s="18">
        <v>18</v>
      </c>
      <c r="G31" s="18">
        <v>62</v>
      </c>
      <c r="H31" s="19">
        <v>1</v>
      </c>
      <c r="I31" s="18">
        <v>15</v>
      </c>
      <c r="J31" s="18">
        <v>22</v>
      </c>
      <c r="K31" s="20">
        <v>119</v>
      </c>
      <c r="L31" s="18">
        <v>295</v>
      </c>
      <c r="M31" s="18">
        <v>250</v>
      </c>
      <c r="N31" s="18">
        <v>281</v>
      </c>
      <c r="O31" s="18">
        <v>68</v>
      </c>
      <c r="P31" s="18">
        <v>230</v>
      </c>
      <c r="Q31" s="17">
        <v>7</v>
      </c>
      <c r="R31" s="17">
        <v>8</v>
      </c>
      <c r="S31" s="17">
        <v>3</v>
      </c>
      <c r="T31" s="17">
        <v>0</v>
      </c>
      <c r="U31" s="17">
        <v>4</v>
      </c>
      <c r="V31" s="3">
        <v>8</v>
      </c>
      <c r="W31" s="20">
        <v>45</v>
      </c>
      <c r="X31" s="3">
        <v>8</v>
      </c>
      <c r="Y31" s="3">
        <v>4</v>
      </c>
      <c r="Z31" s="3">
        <v>6</v>
      </c>
      <c r="AA31" s="20">
        <v>105</v>
      </c>
      <c r="AB31" s="3"/>
      <c r="AC31" s="3"/>
      <c r="AD31" s="20"/>
      <c r="AE31" s="3"/>
      <c r="AF31" s="3"/>
      <c r="AG31" s="20"/>
      <c r="AH31" s="107" t="s">
        <v>140</v>
      </c>
      <c r="AI31" s="107"/>
      <c r="AJ31" s="107"/>
      <c r="AK31" s="107"/>
      <c r="AL31" s="108"/>
      <c r="AN31" s="67">
        <f t="shared" si="2"/>
        <v>-4.7317299461599873</v>
      </c>
      <c r="AO31" s="67">
        <f t="shared" si="2"/>
        <v>-1.2821137793164468</v>
      </c>
      <c r="AP31" s="67">
        <f t="shared" si="2"/>
        <v>-2.8460752844754325</v>
      </c>
      <c r="AY31" s="67">
        <f t="shared" si="0"/>
        <v>285.73172994615999</v>
      </c>
      <c r="AZ31" s="67">
        <f t="shared" si="1"/>
        <v>69.282113779316447</v>
      </c>
      <c r="BA31" s="67">
        <f t="shared" si="3"/>
        <v>232.84607528447543</v>
      </c>
      <c r="BC31">
        <f t="shared" si="4"/>
        <v>41.241774299251048</v>
      </c>
      <c r="BD31">
        <v>1013.2</v>
      </c>
      <c r="BE31">
        <f t="shared" si="5"/>
        <v>31.668891609615997</v>
      </c>
    </row>
    <row r="32" spans="1:57" x14ac:dyDescent="0.2">
      <c r="A32" s="13">
        <v>23</v>
      </c>
      <c r="B32" s="3">
        <v>15</v>
      </c>
      <c r="C32" s="17">
        <v>7</v>
      </c>
      <c r="D32" s="3">
        <v>4</v>
      </c>
      <c r="E32" s="18">
        <v>5</v>
      </c>
      <c r="F32" s="18">
        <v>10</v>
      </c>
      <c r="G32" s="18">
        <v>72</v>
      </c>
      <c r="H32" s="19">
        <v>1</v>
      </c>
      <c r="I32" s="18">
        <v>6</v>
      </c>
      <c r="J32" s="18">
        <v>22</v>
      </c>
      <c r="K32" s="20">
        <v>108</v>
      </c>
      <c r="L32" s="18">
        <v>288</v>
      </c>
      <c r="M32" s="18">
        <v>244</v>
      </c>
      <c r="N32" s="18">
        <v>271</v>
      </c>
      <c r="O32" s="18">
        <v>68</v>
      </c>
      <c r="P32" s="18">
        <v>224</v>
      </c>
      <c r="Q32" s="17">
        <v>3</v>
      </c>
      <c r="R32" s="17">
        <v>8</v>
      </c>
      <c r="S32" s="17">
        <v>0</v>
      </c>
      <c r="T32" s="17">
        <v>2</v>
      </c>
      <c r="U32" s="17">
        <v>3</v>
      </c>
      <c r="V32" s="3">
        <v>8</v>
      </c>
      <c r="W32" s="20">
        <v>60</v>
      </c>
      <c r="X32" s="3">
        <v>8</v>
      </c>
      <c r="Y32" s="3">
        <v>7</v>
      </c>
      <c r="Z32" s="3">
        <v>0</v>
      </c>
      <c r="AA32" s="20">
        <v>840</v>
      </c>
      <c r="AB32" s="3"/>
      <c r="AC32" s="3"/>
      <c r="AD32" s="20"/>
      <c r="AE32" s="3"/>
      <c r="AF32" s="3"/>
      <c r="AG32" s="20"/>
      <c r="AH32" s="107" t="s">
        <v>85</v>
      </c>
      <c r="AI32" s="107"/>
      <c r="AJ32" s="107"/>
      <c r="AK32" s="107"/>
      <c r="AL32" s="108"/>
      <c r="AN32" s="67">
        <f t="shared" si="2"/>
        <v>-4.2767784790045198</v>
      </c>
      <c r="AO32" s="67">
        <f t="shared" si="2"/>
        <v>-1.5066173309828628</v>
      </c>
      <c r="AP32" s="67">
        <f t="shared" si="2"/>
        <v>-2.6940764416159482</v>
      </c>
      <c r="AY32" s="67">
        <f t="shared" si="0"/>
        <v>275.27677847900452</v>
      </c>
      <c r="AZ32" s="67">
        <f t="shared" si="1"/>
        <v>69.506617330982863</v>
      </c>
      <c r="BA32" s="67">
        <f t="shared" si="3"/>
        <v>226.69407644161595</v>
      </c>
      <c r="BC32">
        <f t="shared" si="4"/>
        <v>39.60439869605031</v>
      </c>
      <c r="BD32">
        <v>1013.2</v>
      </c>
      <c r="BE32">
        <f t="shared" si="5"/>
        <v>30.552572506268454</v>
      </c>
    </row>
    <row r="33" spans="1:57" x14ac:dyDescent="0.2">
      <c r="A33" s="13">
        <v>24</v>
      </c>
      <c r="B33" s="3">
        <v>15</v>
      </c>
      <c r="C33" s="17">
        <v>7</v>
      </c>
      <c r="D33" s="3">
        <v>4</v>
      </c>
      <c r="E33" s="18">
        <v>2</v>
      </c>
      <c r="F33" s="18">
        <v>0</v>
      </c>
      <c r="G33" s="18">
        <v>56</v>
      </c>
      <c r="H33" s="19">
        <v>1</v>
      </c>
      <c r="I33" s="18">
        <v>60</v>
      </c>
      <c r="J33" s="18">
        <v>82</v>
      </c>
      <c r="K33" s="20">
        <v>107</v>
      </c>
      <c r="L33" s="18">
        <v>255</v>
      </c>
      <c r="M33" s="18">
        <v>244</v>
      </c>
      <c r="N33" s="18">
        <v>296</v>
      </c>
      <c r="O33" s="18">
        <v>91</v>
      </c>
      <c r="P33" s="18">
        <v>239</v>
      </c>
      <c r="Q33" s="17">
        <v>7</v>
      </c>
      <c r="R33" s="17">
        <v>8</v>
      </c>
      <c r="S33" s="17" t="s">
        <v>89</v>
      </c>
      <c r="T33" s="17" t="s">
        <v>89</v>
      </c>
      <c r="U33" s="17">
        <v>2</v>
      </c>
      <c r="V33" s="3">
        <v>8</v>
      </c>
      <c r="W33" s="20">
        <v>54</v>
      </c>
      <c r="X33" s="3">
        <v>8</v>
      </c>
      <c r="Y33" s="3">
        <v>7</v>
      </c>
      <c r="Z33" s="3">
        <v>6</v>
      </c>
      <c r="AA33" s="20">
        <v>114</v>
      </c>
      <c r="AB33" s="3"/>
      <c r="AC33" s="3"/>
      <c r="AD33" s="20"/>
      <c r="AE33" s="3"/>
      <c r="AF33" s="3"/>
      <c r="AG33" s="20"/>
      <c r="AH33" s="107" t="s">
        <v>154</v>
      </c>
      <c r="AI33" s="107"/>
      <c r="AJ33" s="107"/>
      <c r="AK33" s="107"/>
      <c r="AL33" s="108"/>
      <c r="AN33" s="67">
        <f t="shared" si="2"/>
        <v>-1.9634884167645623</v>
      </c>
      <c r="AO33" s="67">
        <f t="shared" si="2"/>
        <v>-0.32627176822903436</v>
      </c>
      <c r="AP33" s="67">
        <f t="shared" si="2"/>
        <v>-0.79812076474968308</v>
      </c>
      <c r="AY33" s="67">
        <f t="shared" si="0"/>
        <v>297.96348841676456</v>
      </c>
      <c r="AZ33" s="67">
        <f t="shared" si="1"/>
        <v>91.326271768229034</v>
      </c>
      <c r="BA33" s="67">
        <f t="shared" si="3"/>
        <v>239.79812076474968</v>
      </c>
      <c r="BC33">
        <f t="shared" si="4"/>
        <v>32.626262153014039</v>
      </c>
      <c r="BD33">
        <v>1013.2</v>
      </c>
      <c r="BE33">
        <f t="shared" si="5"/>
        <v>30.552572506268454</v>
      </c>
    </row>
    <row r="34" spans="1:57" x14ac:dyDescent="0.2">
      <c r="A34" s="13">
        <v>25</v>
      </c>
      <c r="B34" s="3">
        <v>15</v>
      </c>
      <c r="C34" s="17">
        <v>7</v>
      </c>
      <c r="D34" s="3">
        <v>4</v>
      </c>
      <c r="E34" s="18">
        <v>0</v>
      </c>
      <c r="F34" s="18">
        <v>0</v>
      </c>
      <c r="G34" s="18">
        <v>76</v>
      </c>
      <c r="H34" s="19">
        <v>2</v>
      </c>
      <c r="I34" s="18"/>
      <c r="J34" s="18"/>
      <c r="K34" s="20">
        <v>121</v>
      </c>
      <c r="L34" s="18">
        <v>276</v>
      </c>
      <c r="M34" s="18">
        <v>242</v>
      </c>
      <c r="N34" s="18">
        <v>275</v>
      </c>
      <c r="O34" s="18">
        <v>74</v>
      </c>
      <c r="P34" s="18">
        <v>226</v>
      </c>
      <c r="Q34" s="17">
        <v>7</v>
      </c>
      <c r="R34" s="17">
        <v>9</v>
      </c>
      <c r="S34" s="17">
        <v>4</v>
      </c>
      <c r="T34" s="17">
        <v>2</v>
      </c>
      <c r="U34" s="17">
        <v>1</v>
      </c>
      <c r="V34" s="3">
        <v>8</v>
      </c>
      <c r="W34" s="20">
        <v>60</v>
      </c>
      <c r="X34" s="3">
        <v>8</v>
      </c>
      <c r="Y34" s="3">
        <v>7</v>
      </c>
      <c r="Z34" s="3">
        <v>6</v>
      </c>
      <c r="AA34" s="20">
        <f>45*3</f>
        <v>135</v>
      </c>
      <c r="AB34" s="3"/>
      <c r="AC34" s="3"/>
      <c r="AD34" s="20"/>
      <c r="AE34" s="3">
        <v>1</v>
      </c>
      <c r="AF34" s="3">
        <v>9</v>
      </c>
      <c r="AG34" s="20" t="s">
        <v>168</v>
      </c>
      <c r="AH34" s="107" t="s">
        <v>169</v>
      </c>
      <c r="AI34" s="107"/>
      <c r="AJ34" s="107"/>
      <c r="AK34" s="107"/>
      <c r="AL34" s="108"/>
      <c r="AN34" s="67">
        <f t="shared" si="2"/>
        <v>-3.5130525047678702</v>
      </c>
      <c r="AO34" s="67">
        <f t="shared" si="2"/>
        <v>-1.417913526399488</v>
      </c>
      <c r="AP34" s="67">
        <f t="shared" si="2"/>
        <v>-2.6199604819950366</v>
      </c>
      <c r="AY34" s="67">
        <f t="shared" si="0"/>
        <v>278.51305250476787</v>
      </c>
      <c r="AZ34" s="67">
        <f t="shared" si="1"/>
        <v>75.417913526399488</v>
      </c>
      <c r="BA34" s="67">
        <f t="shared" si="3"/>
        <v>228.61996048199504</v>
      </c>
      <c r="BC34">
        <f t="shared" si="4"/>
        <v>36.929296964344744</v>
      </c>
      <c r="BD34">
        <v>1013.2</v>
      </c>
      <c r="BE34">
        <f t="shared" si="5"/>
        <v>30.188200917340787</v>
      </c>
    </row>
    <row r="35" spans="1:57" x14ac:dyDescent="0.2">
      <c r="A35" s="13">
        <v>26</v>
      </c>
      <c r="B35" s="3">
        <v>15</v>
      </c>
      <c r="C35" s="17">
        <v>8</v>
      </c>
      <c r="D35" s="3">
        <v>4</v>
      </c>
      <c r="E35" s="18">
        <v>13</v>
      </c>
      <c r="F35" s="18">
        <v>10</v>
      </c>
      <c r="G35" s="18">
        <v>58</v>
      </c>
      <c r="H35" s="19">
        <v>1</v>
      </c>
      <c r="I35" s="18">
        <v>15</v>
      </c>
      <c r="J35" s="18">
        <v>82</v>
      </c>
      <c r="K35" s="20">
        <v>129</v>
      </c>
      <c r="L35" s="18">
        <v>272</v>
      </c>
      <c r="M35" s="18">
        <v>258</v>
      </c>
      <c r="N35" s="18">
        <v>321</v>
      </c>
      <c r="O35" s="18">
        <v>89</v>
      </c>
      <c r="P35" s="18">
        <v>252</v>
      </c>
      <c r="Q35" s="17">
        <v>8</v>
      </c>
      <c r="R35" s="17">
        <v>9</v>
      </c>
      <c r="S35" s="17" t="s">
        <v>89</v>
      </c>
      <c r="T35" s="17" t="s">
        <v>89</v>
      </c>
      <c r="U35" s="17">
        <v>2</v>
      </c>
      <c r="V35" s="3">
        <v>9</v>
      </c>
      <c r="W35" s="20">
        <v>30</v>
      </c>
      <c r="X35" s="3">
        <v>8</v>
      </c>
      <c r="Y35" s="3">
        <v>4</v>
      </c>
      <c r="Z35" s="3">
        <v>8</v>
      </c>
      <c r="AA35" s="20">
        <v>36</v>
      </c>
      <c r="AB35" s="3">
        <v>6</v>
      </c>
      <c r="AC35" s="3">
        <v>6</v>
      </c>
      <c r="AD35" s="20">
        <f>36*3</f>
        <v>108</v>
      </c>
      <c r="AE35" s="3"/>
      <c r="AF35" s="3"/>
      <c r="AG35" s="20"/>
      <c r="AH35" s="107" t="s">
        <v>175</v>
      </c>
      <c r="AI35" s="107"/>
      <c r="AJ35" s="107"/>
      <c r="AK35" s="107"/>
      <c r="AL35" s="108"/>
      <c r="AN35" s="67">
        <f t="shared" si="2"/>
        <v>-1.4878429357539744</v>
      </c>
      <c r="AO35" s="67">
        <f t="shared" si="2"/>
        <v>-0.39768550753699117</v>
      </c>
      <c r="AP35" s="67">
        <f t="shared" si="2"/>
        <v>-1.0151360418141735</v>
      </c>
      <c r="AY35" s="67">
        <f t="shared" si="0"/>
        <v>322.48784293575397</v>
      </c>
      <c r="AZ35" s="67">
        <f t="shared" si="1"/>
        <v>89.397685507536991</v>
      </c>
      <c r="BA35" s="67">
        <f t="shared" si="3"/>
        <v>253.01513604181417</v>
      </c>
      <c r="BC35">
        <f t="shared" si="4"/>
        <v>36.073399563411016</v>
      </c>
      <c r="BD35">
        <v>1013.2</v>
      </c>
      <c r="BE35">
        <f t="shared" si="5"/>
        <v>33.212758052631393</v>
      </c>
    </row>
    <row r="36" spans="1:57" x14ac:dyDescent="0.2">
      <c r="A36" s="13">
        <v>27</v>
      </c>
      <c r="B36" s="3">
        <v>15</v>
      </c>
      <c r="C36" s="17">
        <v>7</v>
      </c>
      <c r="D36" s="3">
        <v>4</v>
      </c>
      <c r="E36" s="18">
        <v>9</v>
      </c>
      <c r="F36" s="18">
        <v>20</v>
      </c>
      <c r="G36" s="18">
        <v>50</v>
      </c>
      <c r="H36" s="19">
        <v>1</v>
      </c>
      <c r="I36" s="18">
        <v>15</v>
      </c>
      <c r="J36" s="18">
        <v>22</v>
      </c>
      <c r="K36" s="20">
        <v>121</v>
      </c>
      <c r="L36" s="18">
        <v>290</v>
      </c>
      <c r="M36" s="18">
        <v>255</v>
      </c>
      <c r="N36" s="18">
        <v>298</v>
      </c>
      <c r="O36" s="18">
        <v>74</v>
      </c>
      <c r="P36" s="18">
        <v>240</v>
      </c>
      <c r="Q36" s="17">
        <v>3</v>
      </c>
      <c r="R36" s="17">
        <v>8</v>
      </c>
      <c r="S36" s="17">
        <v>4</v>
      </c>
      <c r="T36" s="17">
        <v>1</v>
      </c>
      <c r="U36" s="17">
        <v>3</v>
      </c>
      <c r="V36" s="3">
        <v>8</v>
      </c>
      <c r="W36" s="20">
        <v>54</v>
      </c>
      <c r="X36" s="3">
        <v>8</v>
      </c>
      <c r="Y36" s="3">
        <v>5</v>
      </c>
      <c r="Z36" s="3">
        <v>0</v>
      </c>
      <c r="AA36" s="20">
        <v>840</v>
      </c>
      <c r="AB36" s="3"/>
      <c r="AC36" s="3"/>
      <c r="AD36" s="20"/>
      <c r="AE36" s="3"/>
      <c r="AF36" s="3"/>
      <c r="AG36" s="20"/>
      <c r="AH36" s="107" t="s">
        <v>96</v>
      </c>
      <c r="AI36" s="107"/>
      <c r="AJ36" s="107"/>
      <c r="AK36" s="107"/>
      <c r="AL36" s="108"/>
      <c r="AN36" s="67">
        <f t="shared" si="2"/>
        <v>-4.1713522511403767</v>
      </c>
      <c r="AO36" s="67">
        <f t="shared" si="2"/>
        <v>-1.4177909053042868</v>
      </c>
      <c r="AP36" s="67">
        <f t="shared" si="2"/>
        <v>-2.1319830549777521</v>
      </c>
      <c r="AY36" s="67">
        <f t="shared" si="0"/>
        <v>302.17135225114038</v>
      </c>
      <c r="AZ36" s="67">
        <f t="shared" si="1"/>
        <v>75.417790905304287</v>
      </c>
      <c r="BA36" s="67">
        <f t="shared" si="3"/>
        <v>242.13198305497775</v>
      </c>
      <c r="BC36">
        <f t="shared" si="4"/>
        <v>40.066322365574365</v>
      </c>
      <c r="BD36">
        <v>1013.2</v>
      </c>
      <c r="BE36">
        <f t="shared" si="5"/>
        <v>32.626262153014039</v>
      </c>
    </row>
    <row r="37" spans="1:57" x14ac:dyDescent="0.2">
      <c r="A37" s="13">
        <v>28</v>
      </c>
      <c r="B37" s="3">
        <v>15</v>
      </c>
      <c r="C37" s="17">
        <v>7</v>
      </c>
      <c r="D37" s="3">
        <v>4</v>
      </c>
      <c r="E37" s="18">
        <v>8</v>
      </c>
      <c r="F37" s="18">
        <v>13</v>
      </c>
      <c r="G37" s="18">
        <v>66</v>
      </c>
      <c r="H37" s="19">
        <v>1</v>
      </c>
      <c r="I37" s="18">
        <v>5</v>
      </c>
      <c r="J37" s="18">
        <v>22</v>
      </c>
      <c r="K37" s="20">
        <v>134</v>
      </c>
      <c r="L37" s="18">
        <v>275</v>
      </c>
      <c r="M37" s="18">
        <v>255</v>
      </c>
      <c r="N37" s="18">
        <v>311</v>
      </c>
      <c r="O37" s="18">
        <v>84</v>
      </c>
      <c r="P37" s="18">
        <v>247</v>
      </c>
      <c r="Q37" s="17">
        <v>4</v>
      </c>
      <c r="R37" s="17">
        <v>8</v>
      </c>
      <c r="S37" s="17">
        <v>0</v>
      </c>
      <c r="T37" s="17">
        <v>2</v>
      </c>
      <c r="U37" s="17">
        <v>1</v>
      </c>
      <c r="V37" s="3">
        <v>8</v>
      </c>
      <c r="W37" s="20">
        <v>57</v>
      </c>
      <c r="X37" s="3">
        <v>8</v>
      </c>
      <c r="Y37" s="3">
        <v>3</v>
      </c>
      <c r="Z37" s="3">
        <v>6</v>
      </c>
      <c r="AA37" s="20">
        <v>114</v>
      </c>
      <c r="AB37" s="3">
        <v>5</v>
      </c>
      <c r="AC37" s="3">
        <v>0</v>
      </c>
      <c r="AD37" s="20">
        <v>780</v>
      </c>
      <c r="AE37" s="3"/>
      <c r="AF37" s="3"/>
      <c r="AG37" s="20"/>
      <c r="AH37" s="107" t="s">
        <v>85</v>
      </c>
      <c r="AI37" s="107"/>
      <c r="AJ37" s="107"/>
      <c r="AK37" s="107"/>
      <c r="AL37" s="108"/>
      <c r="AN37" s="67">
        <f t="shared" si="2"/>
        <v>-1.4961819421404243</v>
      </c>
      <c r="AO37" s="67">
        <f t="shared" si="2"/>
        <v>-1.1171059995442363</v>
      </c>
      <c r="AP37" s="67">
        <f t="shared" si="2"/>
        <v>-0.74022002530816167</v>
      </c>
      <c r="AY37" s="67">
        <f t="shared" si="0"/>
        <v>312.49618194214042</v>
      </c>
      <c r="AZ37" s="67">
        <f t="shared" si="1"/>
        <v>85.117105999544236</v>
      </c>
      <c r="BA37" s="67">
        <f t="shared" si="3"/>
        <v>247.74022002530816</v>
      </c>
      <c r="BC37">
        <f t="shared" si="4"/>
        <v>36.713675620481474</v>
      </c>
      <c r="BD37">
        <v>1013.2</v>
      </c>
      <c r="BE37">
        <f t="shared" si="5"/>
        <v>32.626262153014039</v>
      </c>
    </row>
    <row r="38" spans="1:57" x14ac:dyDescent="0.2">
      <c r="A38" s="13">
        <v>29</v>
      </c>
      <c r="B38" s="3">
        <v>15</v>
      </c>
      <c r="C38" s="17">
        <v>6</v>
      </c>
      <c r="D38" s="3">
        <v>4</v>
      </c>
      <c r="E38" s="18">
        <v>7</v>
      </c>
      <c r="F38" s="18">
        <v>14</v>
      </c>
      <c r="G38" s="18">
        <v>70</v>
      </c>
      <c r="H38" s="19">
        <v>1</v>
      </c>
      <c r="I38" s="18">
        <v>5</v>
      </c>
      <c r="J38" s="18">
        <v>22</v>
      </c>
      <c r="K38" s="20">
        <v>129</v>
      </c>
      <c r="L38" s="18">
        <v>277</v>
      </c>
      <c r="M38" s="18">
        <v>256</v>
      </c>
      <c r="N38" s="18">
        <v>311</v>
      </c>
      <c r="O38" s="18">
        <v>84</v>
      </c>
      <c r="P38" s="18">
        <v>247</v>
      </c>
      <c r="Q38" s="17">
        <v>6</v>
      </c>
      <c r="R38" s="17">
        <v>8</v>
      </c>
      <c r="S38" s="17" t="s">
        <v>89</v>
      </c>
      <c r="T38" s="17" t="s">
        <v>89</v>
      </c>
      <c r="U38" s="17">
        <v>3</v>
      </c>
      <c r="V38" s="3">
        <v>8</v>
      </c>
      <c r="W38" s="20">
        <v>57</v>
      </c>
      <c r="X38" s="3">
        <v>8</v>
      </c>
      <c r="Y38" s="3">
        <v>6</v>
      </c>
      <c r="Z38" s="3">
        <v>6</v>
      </c>
      <c r="AA38" s="20">
        <v>105</v>
      </c>
      <c r="AB38" s="3"/>
      <c r="AC38" s="3"/>
      <c r="AD38" s="20"/>
      <c r="AE38" s="3"/>
      <c r="AF38" s="3"/>
      <c r="AG38" s="20"/>
      <c r="AH38" s="107" t="s">
        <v>208</v>
      </c>
      <c r="AI38" s="107"/>
      <c r="AJ38" s="107"/>
      <c r="AK38" s="107"/>
      <c r="AL38" s="108"/>
      <c r="AN38" s="67">
        <f t="shared" si="2"/>
        <v>-2.7510812156589282</v>
      </c>
      <c r="AO38" s="67">
        <f t="shared" si="2"/>
        <v>-0.46424282612657919</v>
      </c>
      <c r="AP38" s="67">
        <f t="shared" si="2"/>
        <v>-1.410758752687542</v>
      </c>
      <c r="AY38" s="67">
        <f t="shared" si="0"/>
        <v>313.75108121565893</v>
      </c>
      <c r="AZ38" s="67">
        <f t="shared" si="1"/>
        <v>84.464242826126579</v>
      </c>
      <c r="BA38" s="67">
        <f t="shared" si="3"/>
        <v>248.41075875268754</v>
      </c>
      <c r="BC38">
        <f t="shared" si="4"/>
        <v>37.146024248572211</v>
      </c>
      <c r="BD38">
        <v>1013.2</v>
      </c>
      <c r="BE38">
        <f t="shared" si="5"/>
        <v>32.820745772253893</v>
      </c>
    </row>
    <row r="39" spans="1:57" x14ac:dyDescent="0.2">
      <c r="A39" s="13">
        <v>30</v>
      </c>
      <c r="B39" s="3">
        <v>15</v>
      </c>
      <c r="C39" s="17">
        <v>7</v>
      </c>
      <c r="D39" s="3">
        <v>4</v>
      </c>
      <c r="E39" s="18">
        <v>10</v>
      </c>
      <c r="F39" s="18">
        <v>18</v>
      </c>
      <c r="G39" s="18">
        <v>63</v>
      </c>
      <c r="H39" s="19">
        <v>1</v>
      </c>
      <c r="I39" s="18">
        <v>15</v>
      </c>
      <c r="J39" s="18">
        <v>22</v>
      </c>
      <c r="K39" s="20">
        <v>111</v>
      </c>
      <c r="L39" s="18">
        <v>280</v>
      </c>
      <c r="M39" s="18">
        <v>248</v>
      </c>
      <c r="N39" s="18">
        <v>288</v>
      </c>
      <c r="O39" s="18">
        <v>73</v>
      </c>
      <c r="P39" s="18">
        <v>234</v>
      </c>
      <c r="Q39" s="17">
        <v>7</v>
      </c>
      <c r="R39" s="17">
        <v>8</v>
      </c>
      <c r="S39" s="17" t="s">
        <v>89</v>
      </c>
      <c r="T39" s="17" t="s">
        <v>89</v>
      </c>
      <c r="U39" s="17">
        <v>5</v>
      </c>
      <c r="V39" s="3">
        <v>8</v>
      </c>
      <c r="W39" s="20">
        <v>45</v>
      </c>
      <c r="X39" s="3">
        <v>8</v>
      </c>
      <c r="Y39" s="3">
        <v>5</v>
      </c>
      <c r="Z39" s="3">
        <v>6</v>
      </c>
      <c r="AA39" s="20">
        <v>105</v>
      </c>
      <c r="AB39" s="3"/>
      <c r="AC39" s="3"/>
      <c r="AD39" s="20"/>
      <c r="AE39" s="3"/>
      <c r="AF39" s="3"/>
      <c r="AG39" s="20"/>
      <c r="AH39" s="107" t="s">
        <v>216</v>
      </c>
      <c r="AI39" s="107"/>
      <c r="AJ39" s="107"/>
      <c r="AK39" s="107"/>
      <c r="AL39" s="108"/>
      <c r="AN39" s="67">
        <f t="shared" si="2"/>
        <v>-2.9197567383650949</v>
      </c>
      <c r="AO39" s="67">
        <f t="shared" si="2"/>
        <v>-3.9570153840380584</v>
      </c>
      <c r="AP39" s="67">
        <f t="shared" si="2"/>
        <v>-1.8259729682502552</v>
      </c>
      <c r="AY39" s="67">
        <f t="shared" si="0"/>
        <v>290.91975673836509</v>
      </c>
      <c r="AZ39" s="67">
        <f t="shared" si="1"/>
        <v>76.957015384038058</v>
      </c>
      <c r="BA39" s="67">
        <f t="shared" si="3"/>
        <v>235.82597296825026</v>
      </c>
      <c r="BC39">
        <f t="shared" si="4"/>
        <v>37.802889741317315</v>
      </c>
      <c r="BD39">
        <v>1013.2</v>
      </c>
      <c r="BE39">
        <f t="shared" si="5"/>
        <v>31.29288340580451</v>
      </c>
    </row>
    <row r="40" spans="1:57" x14ac:dyDescent="0.2">
      <c r="A40" s="13"/>
      <c r="B40" s="3"/>
      <c r="C40" s="17"/>
      <c r="D40" s="3"/>
      <c r="E40" s="18"/>
      <c r="F40" s="18"/>
      <c r="G40" s="18"/>
      <c r="H40" s="19"/>
      <c r="I40" s="18"/>
      <c r="J40" s="18"/>
      <c r="K40" s="20"/>
      <c r="L40" s="18"/>
      <c r="M40" s="18"/>
      <c r="N40" s="18"/>
      <c r="O40" s="18"/>
      <c r="P40" s="18"/>
      <c r="Q40" s="17"/>
      <c r="R40" s="17"/>
      <c r="S40" s="17"/>
      <c r="T40" s="17"/>
      <c r="U40" s="17"/>
      <c r="V40" s="3"/>
      <c r="W40" s="20"/>
      <c r="X40" s="3"/>
      <c r="Y40" s="3"/>
      <c r="Z40" s="3"/>
      <c r="AA40" s="20"/>
      <c r="AB40" s="3"/>
      <c r="AC40" s="3"/>
      <c r="AD40" s="20"/>
      <c r="AE40" s="3"/>
      <c r="AF40" s="3"/>
      <c r="AG40" s="20"/>
      <c r="AH40" s="107"/>
      <c r="AI40" s="107"/>
      <c r="AJ40" s="107"/>
      <c r="AK40" s="107"/>
      <c r="AL40" s="108"/>
      <c r="AN40" s="67"/>
      <c r="AO40" s="67"/>
      <c r="AP40" s="67"/>
      <c r="AY40" s="67">
        <f t="shared" si="0"/>
        <v>61.120000000000005</v>
      </c>
      <c r="AZ40" s="67">
        <f t="shared" si="1"/>
        <v>100</v>
      </c>
      <c r="BA40" s="67">
        <f t="shared" si="3"/>
        <v>0</v>
      </c>
      <c r="BC40">
        <f t="shared" si="4"/>
        <v>6.1120000000000001</v>
      </c>
      <c r="BD40">
        <v>1013.2</v>
      </c>
      <c r="BE40">
        <f t="shared" si="5"/>
        <v>6.1120000000000001</v>
      </c>
    </row>
    <row r="41" spans="1:57" x14ac:dyDescent="0.2">
      <c r="A41" s="18"/>
      <c r="B41" s="3"/>
      <c r="C41" s="17"/>
      <c r="D41" s="3"/>
      <c r="E41" s="18"/>
      <c r="F41" s="18"/>
      <c r="G41" s="18"/>
      <c r="H41" s="19"/>
      <c r="I41" s="18"/>
      <c r="J41" s="18"/>
      <c r="K41" s="20"/>
      <c r="L41" s="18"/>
      <c r="M41" s="18"/>
      <c r="N41" s="18"/>
      <c r="O41" s="18"/>
      <c r="P41" s="18"/>
      <c r="Q41" s="17"/>
      <c r="R41" s="17"/>
      <c r="S41" s="17"/>
      <c r="T41" s="17"/>
      <c r="U41" s="17"/>
      <c r="V41" s="3"/>
      <c r="W41" s="20"/>
      <c r="X41" s="3"/>
      <c r="Y41" s="3"/>
      <c r="Z41" s="3"/>
      <c r="AA41" s="20"/>
      <c r="AB41" s="3"/>
      <c r="AC41" s="3"/>
      <c r="AD41" s="20"/>
      <c r="AE41" s="3"/>
      <c r="AF41" s="3"/>
      <c r="AG41" s="20"/>
      <c r="AH41" s="109" t="s">
        <v>229</v>
      </c>
      <c r="AI41" s="107"/>
      <c r="AJ41" s="107"/>
      <c r="AK41" s="107"/>
      <c r="AL41" s="108"/>
      <c r="AN41" s="67"/>
      <c r="AO41" s="67"/>
      <c r="AP41" s="67"/>
    </row>
    <row r="42" spans="1:57" x14ac:dyDescent="0.2">
      <c r="A42" s="13" t="s">
        <v>9</v>
      </c>
      <c r="B42" s="1"/>
      <c r="C42" s="21">
        <f>SUM(C10:C40)</f>
        <v>159</v>
      </c>
      <c r="D42" s="1"/>
      <c r="E42" s="13"/>
      <c r="F42" s="13">
        <f>SUM(F10:F40)</f>
        <v>399</v>
      </c>
      <c r="G42" s="13"/>
      <c r="H42" s="2"/>
      <c r="I42" s="13"/>
      <c r="J42" s="13"/>
      <c r="K42" s="22">
        <f>SUM(K10:K40)</f>
        <v>3502</v>
      </c>
      <c r="L42" s="13">
        <f>SUM(L10:L40)</f>
        <v>8588</v>
      </c>
      <c r="M42" s="13">
        <f>SUM(M10:M40)</f>
        <v>7546</v>
      </c>
      <c r="N42" s="13">
        <f>SUM(N10:N40)</f>
        <v>8780</v>
      </c>
      <c r="O42" s="13">
        <f>SUM(O10:O40)</f>
        <v>2240</v>
      </c>
      <c r="P42" s="13">
        <f t="shared" ref="P42" si="6">SUM(P10:P40)</f>
        <v>7093</v>
      </c>
      <c r="Q42" s="21">
        <f>SUM(Q10:Q40)</f>
        <v>109</v>
      </c>
      <c r="R42" s="21"/>
      <c r="S42" s="21"/>
      <c r="T42" s="21"/>
      <c r="U42" s="21"/>
      <c r="V42" s="1"/>
      <c r="W42" s="22"/>
      <c r="X42" s="1"/>
      <c r="Y42" s="1"/>
      <c r="Z42" s="1"/>
      <c r="AA42" s="22"/>
      <c r="AB42" s="1"/>
      <c r="AC42" s="1"/>
      <c r="AD42" s="22"/>
      <c r="AE42" s="1"/>
      <c r="AF42" s="1"/>
      <c r="AG42" s="22"/>
      <c r="AH42" s="116"/>
      <c r="AI42" s="116"/>
      <c r="AJ42" s="116"/>
      <c r="AK42" s="116"/>
      <c r="AL42" s="117"/>
      <c r="AN42" s="67"/>
      <c r="AO42" s="67"/>
      <c r="AP42" s="67"/>
    </row>
    <row r="43" spans="1:57" ht="13.5" thickBot="1" x14ac:dyDescent="0.25">
      <c r="A43" s="23" t="s">
        <v>10</v>
      </c>
      <c r="B43" s="24"/>
      <c r="C43" s="25">
        <f>AVERAGE(C10:C40)</f>
        <v>5.3</v>
      </c>
      <c r="D43" s="24"/>
      <c r="E43" s="23">
        <f>MODE(E10:E40)</f>
        <v>9</v>
      </c>
      <c r="F43" s="23">
        <f>AVERAGE(F10:F40)</f>
        <v>13.3</v>
      </c>
      <c r="G43" s="23"/>
      <c r="H43" s="26"/>
      <c r="I43" s="23"/>
      <c r="J43" s="23"/>
      <c r="K43" s="27">
        <f>AVERAGE(K10:K40)</f>
        <v>116.73333333333333</v>
      </c>
      <c r="L43" s="23">
        <f t="shared" ref="L43:Q43" si="7">AVERAGE(L10:L40)</f>
        <v>286.26666666666665</v>
      </c>
      <c r="M43" s="23">
        <f t="shared" si="7"/>
        <v>251.53333333333333</v>
      </c>
      <c r="N43" s="23">
        <f t="shared" si="7"/>
        <v>292.66666666666669</v>
      </c>
      <c r="O43" s="23">
        <f t="shared" si="7"/>
        <v>74.666666666666671</v>
      </c>
      <c r="P43" s="23">
        <f>AVERAGE(P10:P40)</f>
        <v>236.43333333333334</v>
      </c>
      <c r="Q43" s="25">
        <f t="shared" si="7"/>
        <v>3.6333333333333333</v>
      </c>
      <c r="R43" s="25"/>
      <c r="S43" s="25"/>
      <c r="T43" s="25"/>
      <c r="U43" s="25"/>
      <c r="V43" s="24"/>
      <c r="W43" s="27"/>
      <c r="X43" s="24"/>
      <c r="Y43" s="24"/>
      <c r="Z43" s="24"/>
      <c r="AA43" s="27"/>
      <c r="AB43" s="24"/>
      <c r="AC43" s="24"/>
      <c r="AD43" s="27"/>
      <c r="AE43" s="24"/>
      <c r="AF43" s="24"/>
      <c r="AG43" s="27"/>
      <c r="AH43" s="111"/>
      <c r="AI43" s="111"/>
      <c r="AJ43" s="111"/>
      <c r="AK43" s="111"/>
      <c r="AL43" s="112"/>
      <c r="AN43" s="67">
        <f>AVERAGE(AN10:AN40)</f>
        <v>-3.2294521041912918</v>
      </c>
      <c r="AO43" s="67">
        <f t="shared" ref="AO43:AP43" si="8">AVERAGE(AO10:AO40)</f>
        <v>-1.0872701246779022</v>
      </c>
      <c r="AP43" s="67">
        <f t="shared" si="8"/>
        <v>-2.0420579987190091</v>
      </c>
    </row>
    <row r="44" spans="1:57" x14ac:dyDescent="0.2">
      <c r="E44" s="11"/>
      <c r="G44" s="11"/>
      <c r="K44" s="4"/>
      <c r="M44" s="11"/>
      <c r="P44" s="11"/>
      <c r="Q44" s="11"/>
      <c r="W44" s="4"/>
      <c r="AA44" s="4"/>
      <c r="AD44" s="4"/>
    </row>
    <row r="45" spans="1:57" x14ac:dyDescent="0.2">
      <c r="E45" s="11"/>
      <c r="G45" s="11"/>
      <c r="K45" s="4"/>
      <c r="M45" s="11"/>
      <c r="P45" s="11"/>
      <c r="Q45" s="11"/>
      <c r="W45" s="4"/>
      <c r="AA45" s="4"/>
    </row>
    <row r="46" spans="1:57" x14ac:dyDescent="0.2">
      <c r="E46" s="11"/>
      <c r="G46" s="11"/>
      <c r="M46" s="11"/>
      <c r="P46" s="11"/>
      <c r="Q46" s="11"/>
      <c r="W46" s="4"/>
      <c r="AA46" s="4"/>
    </row>
    <row r="47" spans="1:57" x14ac:dyDescent="0.2">
      <c r="E47" s="11"/>
      <c r="G47" s="11"/>
      <c r="M47" s="11"/>
      <c r="P47" s="11"/>
      <c r="Q47" s="11"/>
    </row>
    <row r="48" spans="1:57" x14ac:dyDescent="0.2">
      <c r="E48" s="11"/>
      <c r="G48" s="11"/>
      <c r="M48" s="11"/>
      <c r="P48" s="11"/>
      <c r="Q48" s="11"/>
    </row>
    <row r="49" spans="5:17" x14ac:dyDescent="0.2">
      <c r="E49" s="11"/>
      <c r="G49" s="11"/>
      <c r="M49" s="11"/>
      <c r="P49" s="11"/>
      <c r="Q49" s="11"/>
    </row>
  </sheetData>
  <mergeCells count="72">
    <mergeCell ref="AH41:AL41"/>
    <mergeCell ref="AH42:AL42"/>
    <mergeCell ref="AH43:AL43"/>
    <mergeCell ref="AH31:AL31"/>
    <mergeCell ref="AH32:AL32"/>
    <mergeCell ref="AH33:AL33"/>
    <mergeCell ref="AH34:AL34"/>
    <mergeCell ref="AH35:AL35"/>
    <mergeCell ref="AH36:AL36"/>
    <mergeCell ref="AH37:AL37"/>
    <mergeCell ref="AH38:AL38"/>
    <mergeCell ref="AH39:AL39"/>
    <mergeCell ref="AH40:AL40"/>
    <mergeCell ref="AH26:AL26"/>
    <mergeCell ref="AH27:AL27"/>
    <mergeCell ref="AH28:AL28"/>
    <mergeCell ref="AH29:AL29"/>
    <mergeCell ref="AH30:AL30"/>
    <mergeCell ref="AH21:AL21"/>
    <mergeCell ref="AH22:AL22"/>
    <mergeCell ref="AH23:AL23"/>
    <mergeCell ref="AH24:AL24"/>
    <mergeCell ref="AH25:AL25"/>
    <mergeCell ref="AH16:AL16"/>
    <mergeCell ref="AH17:AL17"/>
    <mergeCell ref="AH18:AL18"/>
    <mergeCell ref="AH19:AL19"/>
    <mergeCell ref="AH20:AL20"/>
    <mergeCell ref="AH11:AL11"/>
    <mergeCell ref="AH12:AL12"/>
    <mergeCell ref="AH13:AL13"/>
    <mergeCell ref="AH14:AL14"/>
    <mergeCell ref="AH15:AL15"/>
    <mergeCell ref="U8:W8"/>
    <mergeCell ref="X8:AA8"/>
    <mergeCell ref="AB8:AD8"/>
    <mergeCell ref="AE8:AG8"/>
    <mergeCell ref="AH10:AL10"/>
    <mergeCell ref="AH7:AL9"/>
    <mergeCell ref="P8:P9"/>
    <mergeCell ref="Q8:Q9"/>
    <mergeCell ref="R8:R9"/>
    <mergeCell ref="S8:S9"/>
    <mergeCell ref="T8:T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3:T3"/>
    <mergeCell ref="E7:F7"/>
    <mergeCell ref="L7:P7"/>
    <mergeCell ref="Q7:T7"/>
    <mergeCell ref="U7:AG7"/>
    <mergeCell ref="AN7:AP7"/>
    <mergeCell ref="AY7:BA7"/>
    <mergeCell ref="AN8:AN9"/>
    <mergeCell ref="AO8:AO9"/>
    <mergeCell ref="AP8:AP9"/>
    <mergeCell ref="AY8:AY9"/>
    <mergeCell ref="AZ8:AZ9"/>
    <mergeCell ref="BA8:BA9"/>
  </mergeCells>
  <phoneticPr fontId="2" type="noConversion"/>
  <dataValidations count="5">
    <dataValidation type="whole" allowBlank="1" showInputMessage="1" showErrorMessage="1" sqref="C10:C40" xr:uid="{00000000-0002-0000-0400-000000000000}">
      <formula1>0</formula1>
      <formula2>9</formula2>
    </dataValidation>
    <dataValidation type="whole" allowBlank="1" showInputMessage="1" showErrorMessage="1" sqref="AE10:AE40" xr:uid="{00000000-0002-0000-0400-000001000000}">
      <formula1>1</formula1>
      <formula2>9</formula2>
    </dataValidation>
    <dataValidation type="whole" allowBlank="1" showInputMessage="1" showErrorMessage="1" sqref="D10:D40" xr:uid="{00000000-0002-0000-0400-000002000000}">
      <formula1>0</formula1>
      <formula2>4</formula2>
    </dataValidation>
    <dataValidation type="whole" allowBlank="1" showInputMessage="1" showErrorMessage="1" sqref="AB10:AB40" xr:uid="{00000000-0002-0000-0400-000003000000}">
      <formula1>5</formula1>
      <formula2>9</formula2>
    </dataValidation>
    <dataValidation type="whole" allowBlank="1" showInputMessage="1" showErrorMessage="1" sqref="Y10:Y40" xr:uid="{00000000-0002-0000-0400-000004000000}">
      <formula1>3</formula1>
      <formula2>9</formula2>
    </dataValidation>
  </dataValidations>
  <pageMargins left="0.75" right="0.75" top="1" bottom="1" header="0.5" footer="0.5"/>
  <pageSetup orientation="portrait" horizont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49"/>
  <sheetViews>
    <sheetView zoomScaleNormal="100" workbookViewId="0">
      <pane xSplit="2" ySplit="9" topLeftCell="C10" activePane="bottomRight" state="frozen"/>
      <selection activeCell="AM2" sqref="AM2"/>
      <selection pane="topRight" activeCell="AM2" sqref="AM2"/>
      <selection pane="bottomLeft" activeCell="AM2" sqref="AM2"/>
      <selection pane="bottomRight" activeCell="AH42" sqref="AH42:AL42"/>
    </sheetView>
  </sheetViews>
  <sheetFormatPr defaultRowHeight="12.75" x14ac:dyDescent="0.2"/>
  <cols>
    <col min="1" max="1" width="4.28515625" bestFit="1" customWidth="1"/>
    <col min="2" max="2" width="5.140625" bestFit="1" customWidth="1"/>
    <col min="3" max="3" width="4" bestFit="1" customWidth="1"/>
    <col min="4" max="4" width="3" bestFit="1" customWidth="1"/>
    <col min="5" max="6" width="4" bestFit="1" customWidth="1"/>
    <col min="7" max="10" width="3" bestFit="1" customWidth="1"/>
    <col min="11" max="11" width="8.5703125" bestFit="1" customWidth="1"/>
    <col min="12" max="16" width="5" bestFit="1" customWidth="1"/>
    <col min="17" max="17" width="4" bestFit="1" customWidth="1"/>
    <col min="18" max="22" width="3" bestFit="1" customWidth="1"/>
    <col min="23" max="23" width="5.28515625" bestFit="1" customWidth="1"/>
    <col min="24" max="26" width="3" bestFit="1" customWidth="1"/>
    <col min="27" max="27" width="5.28515625" bestFit="1" customWidth="1"/>
    <col min="28" max="29" width="3" bestFit="1" customWidth="1"/>
    <col min="30" max="30" width="5.28515625" bestFit="1" customWidth="1"/>
    <col min="31" max="32" width="3" bestFit="1" customWidth="1"/>
    <col min="33" max="33" width="5.28515625" bestFit="1" customWidth="1"/>
    <col min="34" max="34" width="5.42578125" customWidth="1"/>
    <col min="40" max="42" width="4.7109375" customWidth="1"/>
    <col min="50" max="58" width="0" hidden="1" customWidth="1"/>
  </cols>
  <sheetData>
    <row r="1" spans="1:5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  <c r="P1" s="1"/>
      <c r="Q1" s="1"/>
      <c r="R1" s="1"/>
    </row>
    <row r="2" spans="1:57" ht="36.75" customHeight="1" x14ac:dyDescent="0.2">
      <c r="A2" s="1"/>
      <c r="B2" s="1"/>
      <c r="C2" s="1"/>
      <c r="D2" s="1"/>
      <c r="E2" s="1"/>
      <c r="F2" s="1"/>
      <c r="G2" s="1"/>
      <c r="H2" s="1"/>
      <c r="I2" s="2"/>
      <c r="J2" s="2"/>
      <c r="K2" s="1"/>
      <c r="L2" s="1"/>
      <c r="M2" s="1"/>
      <c r="O2" s="2"/>
      <c r="P2" s="1"/>
      <c r="Q2" s="1"/>
      <c r="R2" s="1"/>
    </row>
    <row r="3" spans="1:5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80"/>
      <c r="Q3" s="80"/>
      <c r="R3" s="80"/>
      <c r="S3" s="80"/>
      <c r="T3" s="80"/>
    </row>
    <row r="4" spans="1:5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7" spans="1:57" ht="14.25" x14ac:dyDescent="0.25">
      <c r="A7" s="7"/>
      <c r="B7" s="7"/>
      <c r="C7" s="7"/>
      <c r="D7" s="7"/>
      <c r="E7" s="81" t="s">
        <v>20</v>
      </c>
      <c r="F7" s="81"/>
      <c r="G7" s="7"/>
      <c r="H7" s="7"/>
      <c r="I7" s="7"/>
      <c r="J7" s="7"/>
      <c r="K7" s="7"/>
      <c r="L7" s="82" t="s">
        <v>11</v>
      </c>
      <c r="M7" s="82"/>
      <c r="N7" s="82"/>
      <c r="O7" s="82"/>
      <c r="P7" s="82"/>
      <c r="Q7" s="83" t="s">
        <v>29</v>
      </c>
      <c r="R7" s="83"/>
      <c r="S7" s="83"/>
      <c r="T7" s="83"/>
      <c r="U7" s="84" t="s">
        <v>33</v>
      </c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98" t="s">
        <v>8</v>
      </c>
      <c r="AI7" s="99"/>
      <c r="AJ7" s="99"/>
      <c r="AK7" s="99"/>
      <c r="AL7" s="100"/>
      <c r="AN7" s="73" t="s">
        <v>80</v>
      </c>
      <c r="AO7" s="74"/>
      <c r="AP7" s="75"/>
      <c r="AY7" s="76" t="s">
        <v>81</v>
      </c>
      <c r="AZ7" s="77"/>
      <c r="BA7" s="78"/>
    </row>
    <row r="8" spans="1:57" ht="16.5" customHeight="1" x14ac:dyDescent="0.2">
      <c r="A8" s="85" t="s">
        <v>18</v>
      </c>
      <c r="B8" s="89" t="s">
        <v>19</v>
      </c>
      <c r="C8" s="90" t="s">
        <v>23</v>
      </c>
      <c r="D8" s="88" t="s">
        <v>24</v>
      </c>
      <c r="E8" s="91" t="s">
        <v>25</v>
      </c>
      <c r="F8" s="86" t="s">
        <v>26</v>
      </c>
      <c r="G8" s="88" t="s">
        <v>27</v>
      </c>
      <c r="H8" s="88" t="s">
        <v>0</v>
      </c>
      <c r="I8" s="88" t="s">
        <v>21</v>
      </c>
      <c r="J8" s="88" t="s">
        <v>22</v>
      </c>
      <c r="K8" s="85" t="s">
        <v>28</v>
      </c>
      <c r="L8" s="79" t="s">
        <v>1</v>
      </c>
      <c r="M8" s="79" t="s">
        <v>2</v>
      </c>
      <c r="N8" s="79" t="s">
        <v>3</v>
      </c>
      <c r="O8" s="79" t="s">
        <v>4</v>
      </c>
      <c r="P8" s="79" t="s">
        <v>5</v>
      </c>
      <c r="Q8" s="92" t="s">
        <v>34</v>
      </c>
      <c r="R8" s="92" t="s">
        <v>30</v>
      </c>
      <c r="S8" s="92" t="s">
        <v>31</v>
      </c>
      <c r="T8" s="92" t="s">
        <v>32</v>
      </c>
      <c r="U8" s="93" t="s">
        <v>38</v>
      </c>
      <c r="V8" s="93"/>
      <c r="W8" s="93"/>
      <c r="X8" s="93" t="s">
        <v>39</v>
      </c>
      <c r="Y8" s="93"/>
      <c r="Z8" s="93"/>
      <c r="AA8" s="93"/>
      <c r="AB8" s="93" t="s">
        <v>40</v>
      </c>
      <c r="AC8" s="93"/>
      <c r="AD8" s="93"/>
      <c r="AE8" s="93" t="s">
        <v>41</v>
      </c>
      <c r="AF8" s="94"/>
      <c r="AG8" s="95"/>
      <c r="AH8" s="101"/>
      <c r="AI8" s="102"/>
      <c r="AJ8" s="102"/>
      <c r="AK8" s="102"/>
      <c r="AL8" s="103"/>
      <c r="AN8" s="79" t="s">
        <v>3</v>
      </c>
      <c r="AO8" s="79" t="s">
        <v>4</v>
      </c>
      <c r="AP8" s="79" t="s">
        <v>5</v>
      </c>
      <c r="AY8" s="79" t="s">
        <v>3</v>
      </c>
      <c r="AZ8" s="79" t="s">
        <v>4</v>
      </c>
      <c r="BA8" s="79" t="s">
        <v>5</v>
      </c>
    </row>
    <row r="9" spans="1:57" s="3" customFormat="1" ht="72" customHeight="1" x14ac:dyDescent="0.2">
      <c r="A9" s="85"/>
      <c r="B9" s="89"/>
      <c r="C9" s="90"/>
      <c r="D9" s="88"/>
      <c r="E9" s="91"/>
      <c r="F9" s="87"/>
      <c r="G9" s="88"/>
      <c r="H9" s="88"/>
      <c r="I9" s="88"/>
      <c r="J9" s="88"/>
      <c r="K9" s="85"/>
      <c r="L9" s="79"/>
      <c r="M9" s="79"/>
      <c r="N9" s="79"/>
      <c r="O9" s="79"/>
      <c r="P9" s="79"/>
      <c r="Q9" s="92"/>
      <c r="R9" s="92"/>
      <c r="S9" s="92"/>
      <c r="T9" s="92"/>
      <c r="U9" s="8" t="s">
        <v>16</v>
      </c>
      <c r="V9" s="8" t="s">
        <v>6</v>
      </c>
      <c r="W9" s="9" t="s">
        <v>7</v>
      </c>
      <c r="X9" s="8" t="s">
        <v>17</v>
      </c>
      <c r="Y9" s="8" t="s">
        <v>16</v>
      </c>
      <c r="Z9" s="8" t="s">
        <v>6</v>
      </c>
      <c r="AA9" s="9" t="s">
        <v>7</v>
      </c>
      <c r="AB9" s="8" t="s">
        <v>16</v>
      </c>
      <c r="AC9" s="8" t="s">
        <v>6</v>
      </c>
      <c r="AD9" s="9" t="s">
        <v>7</v>
      </c>
      <c r="AE9" s="8" t="s">
        <v>16</v>
      </c>
      <c r="AF9" s="8" t="s">
        <v>6</v>
      </c>
      <c r="AG9" s="9" t="s">
        <v>7</v>
      </c>
      <c r="AH9" s="104"/>
      <c r="AI9" s="105"/>
      <c r="AJ9" s="105"/>
      <c r="AK9" s="105"/>
      <c r="AL9" s="106"/>
      <c r="AN9" s="79"/>
      <c r="AO9" s="79"/>
      <c r="AP9" s="79"/>
      <c r="AY9" s="79"/>
      <c r="AZ9" s="79"/>
      <c r="BA9" s="79"/>
      <c r="BC9" s="3" t="s">
        <v>82</v>
      </c>
      <c r="BD9" s="3" t="s">
        <v>83</v>
      </c>
      <c r="BE9" s="3" t="s">
        <v>84</v>
      </c>
    </row>
    <row r="10" spans="1:57" x14ac:dyDescent="0.2">
      <c r="A10" s="13">
        <v>1</v>
      </c>
      <c r="B10" s="3">
        <v>14</v>
      </c>
      <c r="C10" s="17">
        <v>4</v>
      </c>
      <c r="D10" s="3">
        <v>4</v>
      </c>
      <c r="E10" s="18">
        <v>12</v>
      </c>
      <c r="F10" s="18">
        <v>14</v>
      </c>
      <c r="G10" s="18">
        <v>76</v>
      </c>
      <c r="H10" s="19">
        <v>2</v>
      </c>
      <c r="I10" s="18"/>
      <c r="J10" s="18"/>
      <c r="K10" s="20">
        <v>125</v>
      </c>
      <c r="L10" s="18">
        <v>291</v>
      </c>
      <c r="M10" s="18">
        <v>256</v>
      </c>
      <c r="N10" s="18">
        <v>300</v>
      </c>
      <c r="O10" s="18">
        <v>75</v>
      </c>
      <c r="P10" s="18">
        <v>241</v>
      </c>
      <c r="Q10" s="17">
        <v>3</v>
      </c>
      <c r="R10" s="17">
        <v>2</v>
      </c>
      <c r="S10" s="17">
        <v>0</v>
      </c>
      <c r="T10" s="17">
        <v>1</v>
      </c>
      <c r="U10" s="17">
        <v>3</v>
      </c>
      <c r="V10" s="3">
        <v>8</v>
      </c>
      <c r="W10" s="20">
        <v>66</v>
      </c>
      <c r="X10" s="17">
        <v>8</v>
      </c>
      <c r="Y10" s="3"/>
      <c r="Z10" s="3"/>
      <c r="AA10" s="20"/>
      <c r="AB10" s="3"/>
      <c r="AC10" s="3"/>
      <c r="AD10" s="20"/>
      <c r="AE10" s="3"/>
      <c r="AF10" s="3"/>
      <c r="AG10" s="20"/>
      <c r="AH10" s="96"/>
      <c r="AI10" s="96"/>
      <c r="AJ10" s="96"/>
      <c r="AK10" s="96"/>
      <c r="AL10" s="97"/>
      <c r="AN10" s="67">
        <f>N10-AY10</f>
        <v>-4.1134968777389531</v>
      </c>
      <c r="AO10" s="67">
        <f>O10-AZ10</f>
        <v>-0.46419726094637781</v>
      </c>
      <c r="AP10" s="67">
        <f>P10-BA10</f>
        <v>-2.1995952864708102</v>
      </c>
      <c r="AY10" s="67">
        <f t="shared" ref="AY10:AY40" si="0">10*(BE10-BD10*((L10/10)-(M10/10))*0.00066*(1+(0.00115*(M10/10))))</f>
        <v>304.11349687773895</v>
      </c>
      <c r="AZ10" s="67">
        <f t="shared" ref="AZ10:AZ40" si="1">((AY10/10)*100)/BC10</f>
        <v>75.464197260946378</v>
      </c>
      <c r="BA10" s="67">
        <f>(243.5*LN((AY10/10)/6.112))/(17.67-LN((AY10/10)/6.112))*10</f>
        <v>243.19959528647081</v>
      </c>
      <c r="BC10">
        <f>6.112*2.718^((17.67*(L10/10))/((L10/10)+243.5))</f>
        <v>40.299043508824454</v>
      </c>
      <c r="BD10">
        <v>1013.2</v>
      </c>
      <c r="BE10">
        <f>6.112*2.718^((17.67*(M10/10))/((M10/10)+243.5))</f>
        <v>32.820745772253893</v>
      </c>
    </row>
    <row r="11" spans="1:57" x14ac:dyDescent="0.2">
      <c r="A11" s="13">
        <v>2</v>
      </c>
      <c r="B11" s="3">
        <v>14</v>
      </c>
      <c r="C11" s="17">
        <v>3</v>
      </c>
      <c r="D11" s="3">
        <v>4</v>
      </c>
      <c r="E11" s="18">
        <v>11</v>
      </c>
      <c r="F11" s="18">
        <v>14</v>
      </c>
      <c r="G11" s="18">
        <v>75</v>
      </c>
      <c r="H11" s="19">
        <v>2</v>
      </c>
      <c r="I11" s="18"/>
      <c r="J11" s="18"/>
      <c r="K11" s="20">
        <v>125</v>
      </c>
      <c r="L11" s="18">
        <v>295</v>
      </c>
      <c r="M11" s="18">
        <v>255</v>
      </c>
      <c r="N11" s="18">
        <v>295</v>
      </c>
      <c r="O11" s="18">
        <v>71</v>
      </c>
      <c r="P11" s="18">
        <v>238</v>
      </c>
      <c r="Q11" s="17">
        <v>3</v>
      </c>
      <c r="R11" s="17">
        <v>8</v>
      </c>
      <c r="S11" s="17">
        <v>3</v>
      </c>
      <c r="T11" s="17">
        <v>0</v>
      </c>
      <c r="U11" s="17">
        <v>2</v>
      </c>
      <c r="V11" s="3">
        <v>8</v>
      </c>
      <c r="W11" s="20">
        <v>60</v>
      </c>
      <c r="X11" s="17">
        <v>8</v>
      </c>
      <c r="Y11" s="3"/>
      <c r="Z11" s="3"/>
      <c r="AA11" s="20"/>
      <c r="AB11" s="3"/>
      <c r="AC11" s="3"/>
      <c r="AD11" s="20"/>
      <c r="AE11" s="3"/>
      <c r="AF11" s="3"/>
      <c r="AG11" s="20"/>
      <c r="AH11" s="107"/>
      <c r="AI11" s="107"/>
      <c r="AJ11" s="107"/>
      <c r="AK11" s="107"/>
      <c r="AL11" s="108"/>
      <c r="AN11" s="67">
        <f t="shared" ref="AN11:AP39" si="2">N11-AY11</f>
        <v>-3.7297423541403987</v>
      </c>
      <c r="AO11" s="67">
        <f t="shared" si="2"/>
        <v>-1.4337755661412785</v>
      </c>
      <c r="AP11" s="67">
        <f t="shared" si="2"/>
        <v>-2.2252582565346302</v>
      </c>
      <c r="AY11" s="67">
        <f t="shared" si="0"/>
        <v>298.7297423541404</v>
      </c>
      <c r="AZ11" s="67">
        <f t="shared" si="1"/>
        <v>72.433775566141279</v>
      </c>
      <c r="BA11" s="67">
        <f t="shared" ref="BA11:BA40" si="3">(243.5*LN((AY11/10)/6.112))/(17.67-LN((AY11/10)/6.112))*10</f>
        <v>240.22525825653463</v>
      </c>
      <c r="BC11">
        <f t="shared" ref="BC11:BC40" si="4">6.112*2.718^((17.67*(L11/10))/((L11/10)+243.5))</f>
        <v>41.241774299251048</v>
      </c>
      <c r="BD11">
        <v>1013.2</v>
      </c>
      <c r="BE11">
        <f t="shared" ref="BE11:BE40" si="5">6.112*2.718^((17.67*(M11/10))/((M11/10)+243.5))</f>
        <v>32.626262153014039</v>
      </c>
    </row>
    <row r="12" spans="1:57" x14ac:dyDescent="0.2">
      <c r="A12" s="13">
        <v>3</v>
      </c>
      <c r="B12" s="3">
        <v>14</v>
      </c>
      <c r="C12" s="17">
        <v>2</v>
      </c>
      <c r="D12" s="3">
        <v>4</v>
      </c>
      <c r="E12" s="18">
        <v>12</v>
      </c>
      <c r="F12" s="18">
        <v>15</v>
      </c>
      <c r="G12" s="18">
        <v>74</v>
      </c>
      <c r="H12" s="19">
        <v>1</v>
      </c>
      <c r="I12" s="18">
        <v>5</v>
      </c>
      <c r="J12" s="18">
        <v>0</v>
      </c>
      <c r="K12" s="20">
        <v>125</v>
      </c>
      <c r="L12" s="18">
        <v>295</v>
      </c>
      <c r="M12" s="18">
        <v>245</v>
      </c>
      <c r="N12" s="18">
        <v>268</v>
      </c>
      <c r="O12" s="18">
        <v>65</v>
      </c>
      <c r="P12" s="18">
        <v>222</v>
      </c>
      <c r="Q12" s="17">
        <v>2</v>
      </c>
      <c r="R12" s="17">
        <v>1</v>
      </c>
      <c r="S12" s="17">
        <v>0</v>
      </c>
      <c r="T12" s="17">
        <v>1</v>
      </c>
      <c r="U12" s="17">
        <v>2</v>
      </c>
      <c r="V12" s="3">
        <v>8</v>
      </c>
      <c r="W12" s="20">
        <v>63</v>
      </c>
      <c r="X12" s="17">
        <v>8</v>
      </c>
      <c r="Y12" s="3"/>
      <c r="Z12" s="3"/>
      <c r="AA12" s="20"/>
      <c r="AB12" s="3"/>
      <c r="AC12" s="3"/>
      <c r="AD12" s="20"/>
      <c r="AE12" s="3"/>
      <c r="AF12" s="3"/>
      <c r="AG12" s="20"/>
      <c r="AH12" s="107" t="s">
        <v>85</v>
      </c>
      <c r="AI12" s="107"/>
      <c r="AJ12" s="107"/>
      <c r="AK12" s="107"/>
      <c r="AL12" s="108"/>
      <c r="AN12" s="67">
        <f t="shared" si="2"/>
        <v>-4.9843303292706764</v>
      </c>
      <c r="AO12" s="67">
        <f t="shared" si="2"/>
        <v>-1.1912187260643918</v>
      </c>
      <c r="AP12" s="67">
        <f t="shared" si="2"/>
        <v>-3.3178155971138779</v>
      </c>
      <c r="AY12" s="67">
        <f t="shared" si="0"/>
        <v>272.98433032927068</v>
      </c>
      <c r="AZ12" s="67">
        <f t="shared" si="1"/>
        <v>66.191218726064392</v>
      </c>
      <c r="BA12" s="67">
        <f t="shared" si="3"/>
        <v>225.31781559711388</v>
      </c>
      <c r="BC12">
        <f t="shared" si="4"/>
        <v>41.241774299251048</v>
      </c>
      <c r="BD12">
        <v>1013.2</v>
      </c>
      <c r="BE12">
        <f t="shared" si="5"/>
        <v>30.736197835927069</v>
      </c>
    </row>
    <row r="13" spans="1:57" x14ac:dyDescent="0.2">
      <c r="A13" s="13">
        <v>4</v>
      </c>
      <c r="B13" s="3">
        <v>14</v>
      </c>
      <c r="C13" s="17">
        <v>5</v>
      </c>
      <c r="D13" s="3">
        <v>4</v>
      </c>
      <c r="E13" s="18">
        <v>12</v>
      </c>
      <c r="F13" s="18">
        <v>17</v>
      </c>
      <c r="G13" s="18">
        <v>75</v>
      </c>
      <c r="H13" s="19">
        <v>2</v>
      </c>
      <c r="I13" s="18"/>
      <c r="J13" s="18"/>
      <c r="K13" s="20">
        <v>127</v>
      </c>
      <c r="L13" s="18">
        <v>295</v>
      </c>
      <c r="M13" s="18">
        <v>255</v>
      </c>
      <c r="N13" s="18">
        <v>294</v>
      </c>
      <c r="O13" s="18">
        <v>71</v>
      </c>
      <c r="P13" s="18">
        <v>237</v>
      </c>
      <c r="Q13" s="17">
        <v>4</v>
      </c>
      <c r="R13" s="17">
        <v>2</v>
      </c>
      <c r="S13" s="17">
        <v>0</v>
      </c>
      <c r="T13" s="17">
        <v>2</v>
      </c>
      <c r="U13" s="17">
        <v>4</v>
      </c>
      <c r="V13" s="3">
        <v>8</v>
      </c>
      <c r="W13" s="20">
        <v>66</v>
      </c>
      <c r="X13" s="17">
        <v>8</v>
      </c>
      <c r="Y13" s="3"/>
      <c r="Z13" s="3"/>
      <c r="AA13" s="20"/>
      <c r="AB13" s="3"/>
      <c r="AC13" s="3"/>
      <c r="AD13" s="20"/>
      <c r="AE13" s="3"/>
      <c r="AF13" s="3"/>
      <c r="AG13" s="20"/>
      <c r="AH13" s="107"/>
      <c r="AI13" s="107"/>
      <c r="AJ13" s="107"/>
      <c r="AK13" s="107"/>
      <c r="AL13" s="108"/>
      <c r="AN13" s="67">
        <f t="shared" si="2"/>
        <v>-4.7297423541403987</v>
      </c>
      <c r="AO13" s="67">
        <f t="shared" si="2"/>
        <v>-1.4337755661412785</v>
      </c>
      <c r="AP13" s="67">
        <f t="shared" si="2"/>
        <v>-3.2252582565346302</v>
      </c>
      <c r="AY13" s="67">
        <f t="shared" si="0"/>
        <v>298.7297423541404</v>
      </c>
      <c r="AZ13" s="67">
        <f t="shared" si="1"/>
        <v>72.433775566141279</v>
      </c>
      <c r="BA13" s="67">
        <f t="shared" si="3"/>
        <v>240.22525825653463</v>
      </c>
      <c r="BC13">
        <f t="shared" si="4"/>
        <v>41.241774299251048</v>
      </c>
      <c r="BD13">
        <v>1013.2</v>
      </c>
      <c r="BE13">
        <f t="shared" si="5"/>
        <v>32.626262153014039</v>
      </c>
    </row>
    <row r="14" spans="1:57" x14ac:dyDescent="0.2">
      <c r="A14" s="13">
        <v>5</v>
      </c>
      <c r="B14" s="3">
        <v>14</v>
      </c>
      <c r="C14" s="17">
        <v>2</v>
      </c>
      <c r="D14" s="3">
        <v>4</v>
      </c>
      <c r="E14" s="18">
        <v>10</v>
      </c>
      <c r="F14" s="18">
        <v>14</v>
      </c>
      <c r="G14" s="18">
        <v>80</v>
      </c>
      <c r="H14" s="19">
        <v>2</v>
      </c>
      <c r="I14" s="18"/>
      <c r="J14" s="18"/>
      <c r="K14" s="20">
        <v>130</v>
      </c>
      <c r="L14" s="18">
        <v>292</v>
      </c>
      <c r="M14" s="18">
        <v>262</v>
      </c>
      <c r="N14" s="18">
        <v>316</v>
      </c>
      <c r="O14" s="18">
        <v>78</v>
      </c>
      <c r="P14" s="18">
        <v>250</v>
      </c>
      <c r="Q14" s="17">
        <v>2</v>
      </c>
      <c r="R14" s="17">
        <v>2</v>
      </c>
      <c r="S14" s="17">
        <v>0</v>
      </c>
      <c r="T14" s="17">
        <v>1</v>
      </c>
      <c r="U14" s="17">
        <v>2</v>
      </c>
      <c r="V14" s="3">
        <v>8</v>
      </c>
      <c r="W14" s="20">
        <v>75</v>
      </c>
      <c r="X14" s="17">
        <v>8</v>
      </c>
      <c r="Y14" s="3"/>
      <c r="Z14" s="3"/>
      <c r="AA14" s="20"/>
      <c r="AB14" s="3"/>
      <c r="AC14" s="3"/>
      <c r="AD14" s="20"/>
      <c r="AE14" s="3"/>
      <c r="AF14" s="3"/>
      <c r="AG14" s="20"/>
      <c r="AH14" s="107"/>
      <c r="AI14" s="107"/>
      <c r="AJ14" s="107"/>
      <c r="AK14" s="107"/>
      <c r="AL14" s="108"/>
      <c r="AN14" s="67">
        <f t="shared" si="2"/>
        <v>-3.4250758385110771</v>
      </c>
      <c r="AO14" s="67">
        <f t="shared" si="2"/>
        <v>-0.80628510356896754</v>
      </c>
      <c r="AP14" s="67">
        <f t="shared" si="2"/>
        <v>-1.4135870874191028</v>
      </c>
      <c r="AY14" s="67">
        <f t="shared" si="0"/>
        <v>319.42507583851108</v>
      </c>
      <c r="AZ14" s="67">
        <f t="shared" si="1"/>
        <v>78.806285103568968</v>
      </c>
      <c r="BA14" s="67">
        <f t="shared" si="3"/>
        <v>251.4135870874191</v>
      </c>
      <c r="BC14">
        <f t="shared" si="4"/>
        <v>40.532944221227474</v>
      </c>
      <c r="BD14">
        <v>1013.2</v>
      </c>
      <c r="BE14">
        <f t="shared" si="5"/>
        <v>34.009088461531107</v>
      </c>
    </row>
    <row r="15" spans="1:57" x14ac:dyDescent="0.2">
      <c r="A15" s="13">
        <v>6</v>
      </c>
      <c r="B15" s="3">
        <v>14</v>
      </c>
      <c r="C15" s="17">
        <v>1</v>
      </c>
      <c r="D15" s="3">
        <v>4</v>
      </c>
      <c r="E15" s="18">
        <v>9</v>
      </c>
      <c r="F15" s="18">
        <v>16</v>
      </c>
      <c r="G15" s="18">
        <v>80</v>
      </c>
      <c r="H15" s="19">
        <v>2</v>
      </c>
      <c r="I15" s="18"/>
      <c r="J15" s="18"/>
      <c r="K15" s="20">
        <v>126</v>
      </c>
      <c r="L15" s="18">
        <v>293</v>
      </c>
      <c r="M15" s="18">
        <v>261</v>
      </c>
      <c r="N15" s="18">
        <v>311</v>
      </c>
      <c r="O15" s="18">
        <v>76</v>
      </c>
      <c r="P15" s="18">
        <v>247</v>
      </c>
      <c r="Q15" s="17">
        <v>1</v>
      </c>
      <c r="R15" s="17">
        <v>1</v>
      </c>
      <c r="S15" s="17">
        <v>0</v>
      </c>
      <c r="T15" s="17">
        <v>0</v>
      </c>
      <c r="U15" s="17">
        <v>1</v>
      </c>
      <c r="V15" s="3">
        <v>8</v>
      </c>
      <c r="W15" s="20">
        <v>69</v>
      </c>
      <c r="X15" s="17">
        <v>8</v>
      </c>
      <c r="Y15" s="3"/>
      <c r="Z15" s="3"/>
      <c r="AA15" s="20"/>
      <c r="AB15" s="3"/>
      <c r="AC15" s="3"/>
      <c r="AD15" s="20"/>
      <c r="AE15" s="3"/>
      <c r="AF15" s="3"/>
      <c r="AG15" s="20"/>
      <c r="AH15" s="107"/>
      <c r="AI15" s="107"/>
      <c r="AJ15" s="107"/>
      <c r="AK15" s="107"/>
      <c r="AL15" s="108"/>
      <c r="AN15" s="67">
        <f t="shared" si="2"/>
        <v>-5.0434949734236056</v>
      </c>
      <c r="AO15" s="67">
        <f t="shared" si="2"/>
        <v>-1.5223866561161401</v>
      </c>
      <c r="AP15" s="67">
        <f t="shared" si="2"/>
        <v>-2.6296417708963418</v>
      </c>
      <c r="AY15" s="67">
        <f t="shared" si="0"/>
        <v>316.04349497342361</v>
      </c>
      <c r="AZ15" s="67">
        <f t="shared" si="1"/>
        <v>77.52238665611614</v>
      </c>
      <c r="BA15" s="67">
        <f t="shared" si="3"/>
        <v>249.62964177089634</v>
      </c>
      <c r="BC15">
        <f t="shared" si="4"/>
        <v>40.768029546790189</v>
      </c>
      <c r="BD15">
        <v>1013.2</v>
      </c>
      <c r="BE15">
        <f t="shared" si="5"/>
        <v>33.808456347518359</v>
      </c>
    </row>
    <row r="16" spans="1:57" x14ac:dyDescent="0.2">
      <c r="A16" s="13">
        <v>7</v>
      </c>
      <c r="B16" s="3">
        <v>14</v>
      </c>
      <c r="C16" s="17">
        <v>7</v>
      </c>
      <c r="D16" s="3">
        <v>4</v>
      </c>
      <c r="E16" s="18">
        <v>12</v>
      </c>
      <c r="F16" s="18">
        <v>15</v>
      </c>
      <c r="G16" s="18">
        <v>72</v>
      </c>
      <c r="H16" s="19">
        <v>1</v>
      </c>
      <c r="I16" s="18">
        <v>5</v>
      </c>
      <c r="J16" s="18">
        <v>22</v>
      </c>
      <c r="K16" s="20">
        <v>117</v>
      </c>
      <c r="L16" s="18">
        <v>288</v>
      </c>
      <c r="M16" s="18">
        <v>250</v>
      </c>
      <c r="N16" s="18">
        <v>286</v>
      </c>
      <c r="O16" s="18">
        <v>72</v>
      </c>
      <c r="P16" s="18">
        <v>233</v>
      </c>
      <c r="Q16" s="17">
        <v>1</v>
      </c>
      <c r="R16" s="17">
        <v>2</v>
      </c>
      <c r="S16" s="17">
        <v>0</v>
      </c>
      <c r="T16" s="17">
        <v>8</v>
      </c>
      <c r="U16" s="17">
        <v>1</v>
      </c>
      <c r="V16" s="3">
        <v>8</v>
      </c>
      <c r="W16" s="20">
        <v>63</v>
      </c>
      <c r="X16" s="17">
        <v>8</v>
      </c>
      <c r="Y16" s="17">
        <v>7</v>
      </c>
      <c r="Z16" s="17">
        <v>2</v>
      </c>
      <c r="AA16" s="20">
        <v>840</v>
      </c>
      <c r="AB16" s="3"/>
      <c r="AC16" s="3"/>
      <c r="AD16" s="20"/>
      <c r="AE16" s="3"/>
      <c r="AF16" s="3"/>
      <c r="AG16" s="20"/>
      <c r="AH16" s="107" t="s">
        <v>85</v>
      </c>
      <c r="AI16" s="107"/>
      <c r="AJ16" s="107"/>
      <c r="AK16" s="107"/>
      <c r="AL16" s="108"/>
      <c r="AN16" s="67">
        <f t="shared" si="2"/>
        <v>-4.5472922361599899</v>
      </c>
      <c r="AO16" s="67">
        <f t="shared" si="2"/>
        <v>-1.3623793826557602</v>
      </c>
      <c r="AP16" s="67">
        <f t="shared" si="2"/>
        <v>-2.6135942643572889</v>
      </c>
      <c r="AY16" s="67">
        <f t="shared" si="0"/>
        <v>290.54729223615999</v>
      </c>
      <c r="AZ16" s="67">
        <f t="shared" si="1"/>
        <v>73.36237938265576</v>
      </c>
      <c r="BA16" s="67">
        <f t="shared" si="3"/>
        <v>235.61359426435729</v>
      </c>
      <c r="BC16">
        <f t="shared" si="4"/>
        <v>39.60439869605031</v>
      </c>
      <c r="BD16">
        <v>1013.2</v>
      </c>
      <c r="BE16">
        <f t="shared" si="5"/>
        <v>31.668891609615997</v>
      </c>
    </row>
    <row r="17" spans="1:57" x14ac:dyDescent="0.2">
      <c r="A17" s="13">
        <v>8</v>
      </c>
      <c r="B17" s="3">
        <v>14</v>
      </c>
      <c r="C17" s="17">
        <v>1</v>
      </c>
      <c r="D17" s="3">
        <v>4</v>
      </c>
      <c r="E17" s="18">
        <v>11</v>
      </c>
      <c r="F17" s="18">
        <v>17</v>
      </c>
      <c r="G17" s="18">
        <v>75</v>
      </c>
      <c r="H17" s="19">
        <v>2</v>
      </c>
      <c r="I17" s="18"/>
      <c r="J17" s="18"/>
      <c r="K17" s="20">
        <v>115</v>
      </c>
      <c r="L17" s="18">
        <v>287</v>
      </c>
      <c r="M17" s="18">
        <v>250</v>
      </c>
      <c r="N17" s="18">
        <v>286</v>
      </c>
      <c r="O17" s="18">
        <v>73</v>
      </c>
      <c r="P17" s="18">
        <v>233</v>
      </c>
      <c r="Q17" s="17">
        <v>1</v>
      </c>
      <c r="R17" s="17">
        <v>2</v>
      </c>
      <c r="S17" s="17">
        <v>0</v>
      </c>
      <c r="T17" s="17">
        <v>0</v>
      </c>
      <c r="U17" s="17">
        <v>1</v>
      </c>
      <c r="V17" s="3">
        <v>8</v>
      </c>
      <c r="W17" s="20">
        <f>24*3</f>
        <v>72</v>
      </c>
      <c r="X17" s="17">
        <v>8</v>
      </c>
      <c r="Y17" s="3"/>
      <c r="Z17" s="3"/>
      <c r="AA17" s="20"/>
      <c r="AB17" s="3"/>
      <c r="AC17" s="3"/>
      <c r="AD17" s="20"/>
      <c r="AE17" s="3"/>
      <c r="AF17" s="3"/>
      <c r="AG17" s="20"/>
      <c r="AH17" s="107"/>
      <c r="AI17" s="107"/>
      <c r="AJ17" s="107"/>
      <c r="AK17" s="107"/>
      <c r="AL17" s="108"/>
      <c r="AN17" s="67">
        <f t="shared" si="2"/>
        <v>-5.2352297061599984</v>
      </c>
      <c r="AO17" s="67">
        <f t="shared" si="2"/>
        <v>-0.96415307589673205</v>
      </c>
      <c r="AP17" s="67">
        <f t="shared" si="2"/>
        <v>-3.0056689862930739</v>
      </c>
      <c r="AY17" s="67">
        <f t="shared" si="0"/>
        <v>291.23522970616</v>
      </c>
      <c r="AZ17" s="67">
        <f t="shared" si="1"/>
        <v>73.964153075896732</v>
      </c>
      <c r="BA17" s="67">
        <f t="shared" si="3"/>
        <v>236.00566898629307</v>
      </c>
      <c r="BC17">
        <f t="shared" si="4"/>
        <v>39.375186167184964</v>
      </c>
      <c r="BD17">
        <v>1013.2</v>
      </c>
      <c r="BE17">
        <f t="shared" si="5"/>
        <v>31.668891609615997</v>
      </c>
    </row>
    <row r="18" spans="1:57" x14ac:dyDescent="0.2">
      <c r="A18" s="13">
        <v>9</v>
      </c>
      <c r="B18" s="3">
        <v>14</v>
      </c>
      <c r="C18" s="17">
        <v>7</v>
      </c>
      <c r="D18" s="3">
        <v>4</v>
      </c>
      <c r="E18" s="18">
        <v>10</v>
      </c>
      <c r="F18" s="18">
        <v>17</v>
      </c>
      <c r="G18" s="18">
        <v>76</v>
      </c>
      <c r="H18" s="19">
        <v>2</v>
      </c>
      <c r="I18" s="18"/>
      <c r="J18" s="18"/>
      <c r="K18" s="20">
        <v>123</v>
      </c>
      <c r="L18" s="18">
        <v>290</v>
      </c>
      <c r="M18" s="18">
        <v>255</v>
      </c>
      <c r="N18" s="18">
        <v>299</v>
      </c>
      <c r="O18" s="18">
        <v>74</v>
      </c>
      <c r="P18" s="18">
        <v>240</v>
      </c>
      <c r="Q18" s="17">
        <v>1</v>
      </c>
      <c r="R18" s="17">
        <v>2</v>
      </c>
      <c r="S18" s="17">
        <v>0</v>
      </c>
      <c r="T18" s="17">
        <v>1</v>
      </c>
      <c r="U18" s="17">
        <v>1</v>
      </c>
      <c r="V18" s="3">
        <v>8</v>
      </c>
      <c r="W18" s="20">
        <v>72</v>
      </c>
      <c r="X18" s="17">
        <v>8</v>
      </c>
      <c r="Y18" s="17">
        <v>7</v>
      </c>
      <c r="Z18" s="17">
        <v>0</v>
      </c>
      <c r="AA18" s="20">
        <v>900</v>
      </c>
      <c r="AB18" s="3"/>
      <c r="AC18" s="3"/>
      <c r="AD18" s="20"/>
      <c r="AE18" s="3"/>
      <c r="AF18" s="3"/>
      <c r="AG18" s="20"/>
      <c r="AH18" s="107"/>
      <c r="AI18" s="107"/>
      <c r="AJ18" s="107"/>
      <c r="AK18" s="107"/>
      <c r="AL18" s="108"/>
      <c r="AN18" s="67">
        <f t="shared" si="2"/>
        <v>-3.1713522511403767</v>
      </c>
      <c r="AO18" s="67">
        <f t="shared" si="2"/>
        <v>-1.4177909053042868</v>
      </c>
      <c r="AP18" s="67">
        <f t="shared" si="2"/>
        <v>-2.1319830549777521</v>
      </c>
      <c r="AY18" s="67">
        <f t="shared" si="0"/>
        <v>302.17135225114038</v>
      </c>
      <c r="AZ18" s="67">
        <f t="shared" si="1"/>
        <v>75.417790905304287</v>
      </c>
      <c r="BA18" s="67">
        <f t="shared" si="3"/>
        <v>242.13198305497775</v>
      </c>
      <c r="BC18">
        <f t="shared" si="4"/>
        <v>40.066322365574365</v>
      </c>
      <c r="BD18">
        <v>1013.2</v>
      </c>
      <c r="BE18">
        <f t="shared" si="5"/>
        <v>32.626262153014039</v>
      </c>
    </row>
    <row r="19" spans="1:57" x14ac:dyDescent="0.2">
      <c r="A19" s="13">
        <v>10</v>
      </c>
      <c r="B19" s="3">
        <v>14</v>
      </c>
      <c r="C19" s="17">
        <v>7</v>
      </c>
      <c r="D19" s="3">
        <v>4</v>
      </c>
      <c r="E19" s="18">
        <v>10</v>
      </c>
      <c r="F19" s="18">
        <v>14</v>
      </c>
      <c r="G19" s="18">
        <v>70</v>
      </c>
      <c r="H19" s="19">
        <v>1</v>
      </c>
      <c r="I19" s="18">
        <v>5</v>
      </c>
      <c r="J19" s="18">
        <v>22</v>
      </c>
      <c r="K19" s="20">
        <v>100</v>
      </c>
      <c r="L19" s="18">
        <v>295</v>
      </c>
      <c r="M19" s="18">
        <v>260</v>
      </c>
      <c r="N19" s="18">
        <v>310</v>
      </c>
      <c r="O19" s="18">
        <v>75</v>
      </c>
      <c r="P19" s="18">
        <v>245</v>
      </c>
      <c r="Q19" s="17">
        <v>2</v>
      </c>
      <c r="R19" s="17">
        <v>2</v>
      </c>
      <c r="S19" s="17">
        <v>0</v>
      </c>
      <c r="T19" s="17">
        <v>8</v>
      </c>
      <c r="U19" s="17">
        <v>2</v>
      </c>
      <c r="V19" s="3">
        <v>8</v>
      </c>
      <c r="W19" s="20">
        <v>69</v>
      </c>
      <c r="X19" s="17">
        <v>8</v>
      </c>
      <c r="Y19" s="17">
        <v>6</v>
      </c>
      <c r="Z19" s="17">
        <v>2</v>
      </c>
      <c r="AA19" s="20">
        <v>840</v>
      </c>
      <c r="AB19" s="3"/>
      <c r="AC19" s="3"/>
      <c r="AD19" s="20"/>
      <c r="AE19" s="3"/>
      <c r="AF19" s="3"/>
      <c r="AG19" s="20"/>
      <c r="AH19" s="107" t="s">
        <v>85</v>
      </c>
      <c r="AI19" s="107"/>
      <c r="AJ19" s="107"/>
      <c r="AK19" s="107"/>
      <c r="AL19" s="108"/>
      <c r="AN19" s="67">
        <f t="shared" si="2"/>
        <v>-1.9838754933643941</v>
      </c>
      <c r="AO19" s="67">
        <f t="shared" si="2"/>
        <v>-0.64753961107585667</v>
      </c>
      <c r="AP19" s="67">
        <f t="shared" si="2"/>
        <v>-2.4657982051684542</v>
      </c>
      <c r="AY19" s="67">
        <f t="shared" si="0"/>
        <v>311.98387549336439</v>
      </c>
      <c r="AZ19" s="67">
        <f t="shared" si="1"/>
        <v>75.647539611075857</v>
      </c>
      <c r="BA19" s="67">
        <f t="shared" si="3"/>
        <v>247.46579820516845</v>
      </c>
      <c r="BC19">
        <f t="shared" si="4"/>
        <v>41.241774299251048</v>
      </c>
      <c r="BD19">
        <v>1013.2</v>
      </c>
      <c r="BE19">
        <f t="shared" si="5"/>
        <v>33.608860260136439</v>
      </c>
    </row>
    <row r="20" spans="1:57" x14ac:dyDescent="0.2">
      <c r="A20" s="13">
        <v>11</v>
      </c>
      <c r="B20" s="3">
        <v>14</v>
      </c>
      <c r="C20" s="17">
        <v>6</v>
      </c>
      <c r="D20" s="3">
        <v>4</v>
      </c>
      <c r="E20" s="18">
        <v>13</v>
      </c>
      <c r="F20" s="18">
        <v>5</v>
      </c>
      <c r="G20" s="18">
        <v>70</v>
      </c>
      <c r="H20" s="19">
        <v>1</v>
      </c>
      <c r="I20" s="18">
        <v>25</v>
      </c>
      <c r="J20" s="18">
        <v>81</v>
      </c>
      <c r="K20" s="20">
        <v>94</v>
      </c>
      <c r="L20" s="18">
        <v>277</v>
      </c>
      <c r="M20" s="18">
        <v>254</v>
      </c>
      <c r="N20" s="18">
        <v>305</v>
      </c>
      <c r="O20" s="18">
        <v>82</v>
      </c>
      <c r="P20" s="18">
        <v>244</v>
      </c>
      <c r="Q20" s="17">
        <v>4</v>
      </c>
      <c r="R20" s="17">
        <v>2</v>
      </c>
      <c r="S20" s="17">
        <v>0</v>
      </c>
      <c r="T20" s="17">
        <v>2</v>
      </c>
      <c r="U20" s="17">
        <v>4</v>
      </c>
      <c r="V20" s="3">
        <v>8</v>
      </c>
      <c r="W20" s="20">
        <v>54</v>
      </c>
      <c r="X20" s="17">
        <v>8</v>
      </c>
      <c r="Y20" s="17">
        <v>5</v>
      </c>
      <c r="Z20" s="17">
        <v>0</v>
      </c>
      <c r="AA20" s="20">
        <v>840</v>
      </c>
      <c r="AB20" s="3"/>
      <c r="AC20" s="3"/>
      <c r="AD20" s="20"/>
      <c r="AE20" s="3"/>
      <c r="AF20" s="3"/>
      <c r="AG20" s="20"/>
      <c r="AH20" s="107" t="s">
        <v>86</v>
      </c>
      <c r="AI20" s="107"/>
      <c r="AJ20" s="107"/>
      <c r="AK20" s="107"/>
      <c r="AL20" s="108"/>
      <c r="AN20" s="67">
        <f t="shared" si="2"/>
        <v>-3.4982392667205318</v>
      </c>
      <c r="AO20" s="67">
        <f t="shared" si="2"/>
        <v>-1.0501367258915622</v>
      </c>
      <c r="AP20" s="67">
        <f t="shared" si="2"/>
        <v>-1.5881417805742046</v>
      </c>
      <c r="AY20" s="67">
        <f t="shared" si="0"/>
        <v>308.49823926672053</v>
      </c>
      <c r="AZ20" s="67">
        <f t="shared" si="1"/>
        <v>83.050136725891562</v>
      </c>
      <c r="BA20" s="67">
        <f t="shared" si="3"/>
        <v>245.5881417805742</v>
      </c>
      <c r="BC20">
        <f t="shared" si="4"/>
        <v>37.146024248572211</v>
      </c>
      <c r="BD20">
        <v>1013.2</v>
      </c>
      <c r="BE20">
        <f t="shared" si="5"/>
        <v>32.432787604968055</v>
      </c>
    </row>
    <row r="21" spans="1:57" x14ac:dyDescent="0.2">
      <c r="A21" s="13">
        <v>12</v>
      </c>
      <c r="B21" s="3">
        <v>14</v>
      </c>
      <c r="C21" s="17">
        <v>7</v>
      </c>
      <c r="D21" s="3">
        <v>4</v>
      </c>
      <c r="E21" s="18">
        <v>8</v>
      </c>
      <c r="F21" s="18">
        <v>11</v>
      </c>
      <c r="G21" s="18">
        <v>75</v>
      </c>
      <c r="H21" s="19">
        <v>2</v>
      </c>
      <c r="I21" s="18"/>
      <c r="J21" s="18"/>
      <c r="K21" s="20">
        <v>109</v>
      </c>
      <c r="L21" s="18">
        <v>298</v>
      </c>
      <c r="M21" s="18">
        <v>245</v>
      </c>
      <c r="N21" s="18">
        <v>265</v>
      </c>
      <c r="O21" s="18">
        <v>63</v>
      </c>
      <c r="P21" s="18">
        <v>220</v>
      </c>
      <c r="Q21" s="17">
        <v>7</v>
      </c>
      <c r="R21" s="17">
        <v>8</v>
      </c>
      <c r="S21" s="17">
        <v>0</v>
      </c>
      <c r="T21" s="17">
        <v>2</v>
      </c>
      <c r="U21" s="17">
        <v>2</v>
      </c>
      <c r="V21" s="3">
        <v>8</v>
      </c>
      <c r="W21" s="20">
        <v>60</v>
      </c>
      <c r="X21" s="17">
        <v>8</v>
      </c>
      <c r="Y21" s="17">
        <v>7</v>
      </c>
      <c r="Z21" s="3">
        <v>6</v>
      </c>
      <c r="AA21" s="20">
        <v>120</v>
      </c>
      <c r="AB21" s="3">
        <v>5</v>
      </c>
      <c r="AC21" s="3">
        <v>0</v>
      </c>
      <c r="AD21" s="20">
        <v>840</v>
      </c>
      <c r="AE21" s="3"/>
      <c r="AF21" s="3"/>
      <c r="AG21" s="20"/>
      <c r="AH21" s="107"/>
      <c r="AI21" s="107"/>
      <c r="AJ21" s="107"/>
      <c r="AK21" s="107"/>
      <c r="AL21" s="108"/>
      <c r="AN21" s="67">
        <f t="shared" si="2"/>
        <v>-5.9216714474707146</v>
      </c>
      <c r="AO21" s="67">
        <f t="shared" si="2"/>
        <v>-1.5644929225446162</v>
      </c>
      <c r="AP21" s="67">
        <f t="shared" si="2"/>
        <v>-4.0708239328800744</v>
      </c>
      <c r="AY21" s="67">
        <f t="shared" si="0"/>
        <v>270.92167144747071</v>
      </c>
      <c r="AZ21" s="67">
        <f t="shared" si="1"/>
        <v>64.564492922544616</v>
      </c>
      <c r="BA21" s="67">
        <f t="shared" si="3"/>
        <v>224.07082393288007</v>
      </c>
      <c r="BC21">
        <f t="shared" si="4"/>
        <v>41.961403115561424</v>
      </c>
      <c r="BD21">
        <v>1013.2</v>
      </c>
      <c r="BE21">
        <f t="shared" si="5"/>
        <v>30.736197835927069</v>
      </c>
    </row>
    <row r="22" spans="1:57" x14ac:dyDescent="0.2">
      <c r="A22" s="13">
        <v>13</v>
      </c>
      <c r="B22" s="3">
        <v>14</v>
      </c>
      <c r="C22" s="17">
        <v>2</v>
      </c>
      <c r="D22" s="3">
        <v>4</v>
      </c>
      <c r="E22" s="18">
        <v>12</v>
      </c>
      <c r="F22" s="18">
        <v>16</v>
      </c>
      <c r="G22" s="18">
        <v>80</v>
      </c>
      <c r="H22" s="19">
        <v>2</v>
      </c>
      <c r="I22" s="18"/>
      <c r="J22" s="18"/>
      <c r="K22" s="20">
        <v>125</v>
      </c>
      <c r="L22" s="18">
        <v>304</v>
      </c>
      <c r="M22" s="18">
        <v>253</v>
      </c>
      <c r="N22" s="18">
        <v>281</v>
      </c>
      <c r="O22" s="18">
        <v>65</v>
      </c>
      <c r="P22" s="18">
        <v>230</v>
      </c>
      <c r="Q22" s="17">
        <v>1</v>
      </c>
      <c r="R22" s="17">
        <v>8</v>
      </c>
      <c r="S22" s="17">
        <v>0</v>
      </c>
      <c r="T22" s="17">
        <v>2</v>
      </c>
      <c r="U22" s="17">
        <v>1</v>
      </c>
      <c r="V22" s="3">
        <v>8</v>
      </c>
      <c r="W22" s="20">
        <v>69</v>
      </c>
      <c r="X22" s="17">
        <v>8</v>
      </c>
      <c r="Y22" s="3"/>
      <c r="Z22" s="3"/>
      <c r="AA22" s="20"/>
      <c r="AB22" s="3"/>
      <c r="AC22" s="3"/>
      <c r="AD22" s="20"/>
      <c r="AE22" s="3"/>
      <c r="AF22" s="3"/>
      <c r="AG22" s="20"/>
      <c r="AH22" s="107"/>
      <c r="AI22" s="107"/>
      <c r="AJ22" s="107"/>
      <c r="AK22" s="107"/>
      <c r="AL22" s="108"/>
      <c r="AN22" s="67">
        <f t="shared" si="2"/>
        <v>-6.3065999487955082</v>
      </c>
      <c r="AO22" s="67">
        <f t="shared" si="2"/>
        <v>-1.1484467476606426</v>
      </c>
      <c r="AP22" s="67">
        <f t="shared" si="2"/>
        <v>-3.7556244692043776</v>
      </c>
      <c r="AY22" s="67">
        <f t="shared" si="0"/>
        <v>287.30659994879551</v>
      </c>
      <c r="AZ22" s="67">
        <f t="shared" si="1"/>
        <v>66.148446747660643</v>
      </c>
      <c r="BA22" s="67">
        <f t="shared" si="3"/>
        <v>233.75562446920438</v>
      </c>
      <c r="BC22">
        <f t="shared" si="4"/>
        <v>43.43361243912446</v>
      </c>
      <c r="BD22">
        <v>1013.2</v>
      </c>
      <c r="BE22">
        <f t="shared" si="5"/>
        <v>32.24031769064355</v>
      </c>
    </row>
    <row r="23" spans="1:57" x14ac:dyDescent="0.2">
      <c r="A23" s="13">
        <v>14</v>
      </c>
      <c r="B23" s="3">
        <v>14</v>
      </c>
      <c r="C23" s="17">
        <v>7</v>
      </c>
      <c r="D23" s="3">
        <v>4</v>
      </c>
      <c r="E23" s="18">
        <v>99</v>
      </c>
      <c r="F23" s="18">
        <v>6</v>
      </c>
      <c r="G23" s="18">
        <v>80</v>
      </c>
      <c r="H23" s="19">
        <v>2</v>
      </c>
      <c r="I23" s="18"/>
      <c r="J23" s="18"/>
      <c r="K23" s="20">
        <v>117</v>
      </c>
      <c r="L23" s="18">
        <v>290</v>
      </c>
      <c r="M23" s="18">
        <v>248</v>
      </c>
      <c r="N23" s="18">
        <v>280</v>
      </c>
      <c r="O23" s="18">
        <v>70</v>
      </c>
      <c r="P23" s="18">
        <v>229</v>
      </c>
      <c r="Q23" s="17">
        <v>3</v>
      </c>
      <c r="R23" s="17">
        <v>2</v>
      </c>
      <c r="S23" s="17">
        <v>0</v>
      </c>
      <c r="T23" s="17">
        <v>8</v>
      </c>
      <c r="U23" s="17">
        <v>3</v>
      </c>
      <c r="V23" s="3">
        <v>8</v>
      </c>
      <c r="W23" s="20">
        <v>66</v>
      </c>
      <c r="X23" s="17">
        <v>8</v>
      </c>
      <c r="Y23" s="17">
        <v>6</v>
      </c>
      <c r="Z23" s="17">
        <v>0</v>
      </c>
      <c r="AA23" s="20">
        <v>900</v>
      </c>
      <c r="AB23" s="3"/>
      <c r="AC23" s="3"/>
      <c r="AD23" s="20"/>
      <c r="AE23" s="3"/>
      <c r="AF23" s="3"/>
      <c r="AG23" s="20"/>
      <c r="AH23" s="107"/>
      <c r="AI23" s="107"/>
      <c r="AJ23" s="107"/>
      <c r="AK23" s="107"/>
      <c r="AL23" s="108"/>
      <c r="AN23" s="67">
        <f t="shared" si="2"/>
        <v>-4.0419200759650948</v>
      </c>
      <c r="AO23" s="67">
        <f t="shared" si="2"/>
        <v>-0.89293533963540028</v>
      </c>
      <c r="AP23" s="67">
        <f t="shared" si="2"/>
        <v>-2.8652467852818688</v>
      </c>
      <c r="AY23" s="67">
        <f t="shared" si="0"/>
        <v>284.04192007596509</v>
      </c>
      <c r="AZ23" s="67">
        <f t="shared" si="1"/>
        <v>70.8929353396354</v>
      </c>
      <c r="BA23" s="67">
        <f t="shared" si="3"/>
        <v>231.86524678528187</v>
      </c>
      <c r="BC23">
        <f t="shared" si="4"/>
        <v>40.066322365574365</v>
      </c>
      <c r="BD23">
        <v>1013.2</v>
      </c>
      <c r="BE23">
        <f t="shared" si="5"/>
        <v>31.29288340580451</v>
      </c>
    </row>
    <row r="24" spans="1:57" x14ac:dyDescent="0.2">
      <c r="A24" s="13">
        <v>15</v>
      </c>
      <c r="B24" s="3">
        <v>14</v>
      </c>
      <c r="C24" s="17">
        <v>4</v>
      </c>
      <c r="D24" s="3">
        <v>4</v>
      </c>
      <c r="E24" s="18">
        <v>12</v>
      </c>
      <c r="F24" s="18">
        <v>15</v>
      </c>
      <c r="G24" s="18">
        <v>75</v>
      </c>
      <c r="H24" s="19">
        <v>2</v>
      </c>
      <c r="I24" s="18"/>
      <c r="J24" s="18"/>
      <c r="K24" s="20">
        <v>110</v>
      </c>
      <c r="L24" s="18">
        <v>299</v>
      </c>
      <c r="M24" s="18">
        <v>243</v>
      </c>
      <c r="N24" s="18">
        <v>260</v>
      </c>
      <c r="O24" s="18">
        <v>62</v>
      </c>
      <c r="P24" s="18">
        <v>217</v>
      </c>
      <c r="Q24" s="17">
        <v>3</v>
      </c>
      <c r="R24" s="17">
        <v>2</v>
      </c>
      <c r="S24" s="17">
        <v>0</v>
      </c>
      <c r="T24" s="17">
        <v>1</v>
      </c>
      <c r="U24" s="17">
        <v>3</v>
      </c>
      <c r="V24" s="3">
        <v>8</v>
      </c>
      <c r="W24" s="20">
        <v>60</v>
      </c>
      <c r="X24" s="17">
        <v>8</v>
      </c>
      <c r="Y24" s="3"/>
      <c r="Z24" s="3"/>
      <c r="AA24" s="20"/>
      <c r="AB24" s="3"/>
      <c r="AC24" s="3"/>
      <c r="AD24" s="20"/>
      <c r="AE24" s="3"/>
      <c r="AF24" s="3"/>
      <c r="AG24" s="20"/>
      <c r="AH24" s="107"/>
      <c r="AI24" s="107"/>
      <c r="AJ24" s="107"/>
      <c r="AK24" s="107"/>
      <c r="AL24" s="108"/>
      <c r="AN24" s="67">
        <f t="shared" si="2"/>
        <v>-5.2047301096781666</v>
      </c>
      <c r="AO24" s="67">
        <f t="shared" si="2"/>
        <v>-0.8392086969108874</v>
      </c>
      <c r="AP24" s="67">
        <f t="shared" si="2"/>
        <v>-3.5706047450109963</v>
      </c>
      <c r="AY24" s="67">
        <f t="shared" si="0"/>
        <v>265.20473010967817</v>
      </c>
      <c r="AZ24" s="67">
        <f t="shared" si="1"/>
        <v>62.839208696910887</v>
      </c>
      <c r="BA24" s="67">
        <f t="shared" si="3"/>
        <v>220.570604745011</v>
      </c>
      <c r="BC24">
        <f t="shared" si="4"/>
        <v>42.203703007914449</v>
      </c>
      <c r="BD24">
        <v>1013.2</v>
      </c>
      <c r="BE24">
        <f t="shared" si="5"/>
        <v>30.369908289271816</v>
      </c>
    </row>
    <row r="25" spans="1:57" x14ac:dyDescent="0.2">
      <c r="A25" s="13">
        <v>16</v>
      </c>
      <c r="B25" s="3">
        <v>14</v>
      </c>
      <c r="C25" s="17">
        <v>7</v>
      </c>
      <c r="D25" s="3">
        <v>4</v>
      </c>
      <c r="E25" s="18">
        <v>0</v>
      </c>
      <c r="F25" s="18">
        <v>0</v>
      </c>
      <c r="G25" s="18">
        <v>75</v>
      </c>
      <c r="H25" s="19">
        <v>2</v>
      </c>
      <c r="I25" s="18"/>
      <c r="J25" s="18"/>
      <c r="K25" s="20">
        <v>121</v>
      </c>
      <c r="L25" s="18">
        <v>300</v>
      </c>
      <c r="M25" s="18">
        <v>255</v>
      </c>
      <c r="N25" s="18">
        <v>290</v>
      </c>
      <c r="O25" s="18">
        <v>67</v>
      </c>
      <c r="P25" s="18">
        <v>235</v>
      </c>
      <c r="Q25" s="17">
        <v>3</v>
      </c>
      <c r="R25" s="17">
        <v>8</v>
      </c>
      <c r="S25" s="17">
        <v>0</v>
      </c>
      <c r="T25" s="17">
        <v>2</v>
      </c>
      <c r="U25" s="17">
        <v>2</v>
      </c>
      <c r="V25" s="3">
        <v>8</v>
      </c>
      <c r="W25" s="20">
        <v>66</v>
      </c>
      <c r="X25" s="17">
        <v>8</v>
      </c>
      <c r="Y25" s="17">
        <v>5</v>
      </c>
      <c r="Z25" s="17">
        <v>0</v>
      </c>
      <c r="AA25" s="20">
        <v>840</v>
      </c>
      <c r="AB25" s="3"/>
      <c r="AC25" s="3"/>
      <c r="AD25" s="20"/>
      <c r="AE25" s="3"/>
      <c r="AF25" s="3"/>
      <c r="AG25" s="20"/>
      <c r="AH25" s="107"/>
      <c r="AI25" s="107"/>
      <c r="AJ25" s="107"/>
      <c r="AK25" s="107"/>
      <c r="AL25" s="108"/>
      <c r="AN25" s="67">
        <f t="shared" si="2"/>
        <v>-5.2881324571404207</v>
      </c>
      <c r="AO25" s="67">
        <f t="shared" si="2"/>
        <v>-2.565947892774247</v>
      </c>
      <c r="AP25" s="67">
        <f t="shared" si="2"/>
        <v>-3.2992001147376868</v>
      </c>
      <c r="AY25" s="67">
        <f t="shared" si="0"/>
        <v>295.28813245714042</v>
      </c>
      <c r="AZ25" s="67">
        <f t="shared" si="1"/>
        <v>69.565947892774247</v>
      </c>
      <c r="BA25" s="67">
        <f t="shared" si="3"/>
        <v>238.29920011473769</v>
      </c>
      <c r="BC25">
        <f t="shared" si="4"/>
        <v>42.447223304178067</v>
      </c>
      <c r="BD25">
        <v>1013.2</v>
      </c>
      <c r="BE25">
        <f t="shared" si="5"/>
        <v>32.626262153014039</v>
      </c>
    </row>
    <row r="26" spans="1:57" x14ac:dyDescent="0.2">
      <c r="A26" s="13">
        <v>17</v>
      </c>
      <c r="B26" s="3">
        <v>14</v>
      </c>
      <c r="C26" s="17">
        <v>8</v>
      </c>
      <c r="D26" s="3">
        <v>4</v>
      </c>
      <c r="E26" s="18">
        <v>10</v>
      </c>
      <c r="F26" s="18">
        <v>13</v>
      </c>
      <c r="G26" s="18">
        <v>58</v>
      </c>
      <c r="H26" s="19">
        <v>1</v>
      </c>
      <c r="I26" s="18">
        <v>81</v>
      </c>
      <c r="J26" s="18">
        <v>86</v>
      </c>
      <c r="K26" s="20">
        <v>149</v>
      </c>
      <c r="L26" s="18">
        <v>240</v>
      </c>
      <c r="M26" s="18">
        <v>235</v>
      </c>
      <c r="N26" s="18">
        <v>286</v>
      </c>
      <c r="O26" s="18">
        <v>96</v>
      </c>
      <c r="P26" s="18">
        <v>233</v>
      </c>
      <c r="Q26" s="17">
        <v>8</v>
      </c>
      <c r="R26" s="17">
        <v>8</v>
      </c>
      <c r="S26" s="17" t="s">
        <v>89</v>
      </c>
      <c r="T26" s="17" t="s">
        <v>89</v>
      </c>
      <c r="U26" s="17">
        <v>7</v>
      </c>
      <c r="V26" s="3">
        <v>8</v>
      </c>
      <c r="W26" s="20">
        <f>8*3</f>
        <v>24</v>
      </c>
      <c r="X26" s="17">
        <v>8</v>
      </c>
      <c r="Y26" s="17">
        <v>6</v>
      </c>
      <c r="Z26" s="17">
        <v>6</v>
      </c>
      <c r="AA26" s="20">
        <v>105</v>
      </c>
      <c r="AB26" s="3"/>
      <c r="AC26" s="3"/>
      <c r="AD26" s="20"/>
      <c r="AE26" s="3"/>
      <c r="AF26" s="3"/>
      <c r="AG26" s="20"/>
      <c r="AH26" s="107" t="s">
        <v>106</v>
      </c>
      <c r="AI26" s="107"/>
      <c r="AJ26" s="107"/>
      <c r="AK26" s="107"/>
      <c r="AL26" s="108"/>
      <c r="AN26" s="67">
        <f t="shared" si="2"/>
        <v>7.062889349924717E-3</v>
      </c>
      <c r="AO26" s="67">
        <f t="shared" si="2"/>
        <v>0.11814684300372846</v>
      </c>
      <c r="AP26" s="67">
        <f t="shared" si="2"/>
        <v>2.7640450888384294E-3</v>
      </c>
      <c r="AY26" s="67">
        <f t="shared" si="0"/>
        <v>285.99293711065008</v>
      </c>
      <c r="AZ26" s="67">
        <f t="shared" si="1"/>
        <v>95.881853156996272</v>
      </c>
      <c r="BA26" s="67">
        <f t="shared" si="3"/>
        <v>232.99723595491116</v>
      </c>
      <c r="BC26">
        <f t="shared" si="4"/>
        <v>29.827639714302066</v>
      </c>
      <c r="BD26">
        <v>1013.2</v>
      </c>
      <c r="BE26">
        <f t="shared" si="5"/>
        <v>28.94268568196501</v>
      </c>
    </row>
    <row r="27" spans="1:57" x14ac:dyDescent="0.2">
      <c r="A27" s="13">
        <v>18</v>
      </c>
      <c r="B27" s="3">
        <v>14</v>
      </c>
      <c r="C27" s="17">
        <v>6</v>
      </c>
      <c r="D27" s="3">
        <v>4</v>
      </c>
      <c r="E27" s="18">
        <v>10</v>
      </c>
      <c r="F27" s="18">
        <v>14</v>
      </c>
      <c r="G27" s="18">
        <v>72</v>
      </c>
      <c r="H27" s="19">
        <v>1</v>
      </c>
      <c r="I27" s="18">
        <v>6</v>
      </c>
      <c r="J27" s="18">
        <v>86</v>
      </c>
      <c r="K27" s="20">
        <v>138</v>
      </c>
      <c r="L27" s="18">
        <v>302</v>
      </c>
      <c r="M27" s="18">
        <v>257</v>
      </c>
      <c r="N27" s="18">
        <v>295</v>
      </c>
      <c r="O27" s="18">
        <v>69</v>
      </c>
      <c r="P27" s="18">
        <v>238</v>
      </c>
      <c r="Q27" s="17">
        <v>5</v>
      </c>
      <c r="R27" s="17">
        <v>9</v>
      </c>
      <c r="S27" s="17">
        <v>6</v>
      </c>
      <c r="T27" s="17">
        <v>0</v>
      </c>
      <c r="U27" s="17">
        <v>1</v>
      </c>
      <c r="V27" s="3">
        <v>9</v>
      </c>
      <c r="W27" s="20">
        <v>42</v>
      </c>
      <c r="X27" s="17">
        <v>8</v>
      </c>
      <c r="Y27" s="17">
        <v>4</v>
      </c>
      <c r="Z27" s="17">
        <v>6</v>
      </c>
      <c r="AA27" s="20">
        <f>45*3</f>
        <v>135</v>
      </c>
      <c r="AB27" s="3"/>
      <c r="AC27" s="3"/>
      <c r="AD27" s="20"/>
      <c r="AE27" s="3"/>
      <c r="AF27" s="3"/>
      <c r="AG27" s="20"/>
      <c r="AH27" s="107" t="s">
        <v>120</v>
      </c>
      <c r="AI27" s="107"/>
      <c r="AJ27" s="107"/>
      <c r="AK27" s="107"/>
      <c r="AL27" s="108"/>
      <c r="AN27" s="67">
        <f t="shared" si="2"/>
        <v>-4.1810189161747076</v>
      </c>
      <c r="AO27" s="67">
        <f t="shared" si="2"/>
        <v>-0.67753416115802167</v>
      </c>
      <c r="AP27" s="67">
        <f t="shared" si="2"/>
        <v>-2.476367353705939</v>
      </c>
      <c r="AY27" s="67">
        <f t="shared" si="0"/>
        <v>299.18101891617471</v>
      </c>
      <c r="AZ27" s="67">
        <f t="shared" si="1"/>
        <v>69.677534161158022</v>
      </c>
      <c r="BA27" s="67">
        <f t="shared" si="3"/>
        <v>240.47636735370594</v>
      </c>
      <c r="BC27">
        <f t="shared" si="4"/>
        <v>42.937945855574519</v>
      </c>
      <c r="BD27">
        <v>1013.2</v>
      </c>
      <c r="BE27">
        <f t="shared" si="5"/>
        <v>33.016242915837466</v>
      </c>
    </row>
    <row r="28" spans="1:57" x14ac:dyDescent="0.2">
      <c r="A28" s="13">
        <v>19</v>
      </c>
      <c r="B28" s="3">
        <v>14</v>
      </c>
      <c r="C28" s="17">
        <v>4</v>
      </c>
      <c r="D28" s="3">
        <v>4</v>
      </c>
      <c r="E28" s="18">
        <v>9</v>
      </c>
      <c r="F28" s="18">
        <v>16</v>
      </c>
      <c r="G28" s="18">
        <v>65</v>
      </c>
      <c r="H28" s="19">
        <v>1</v>
      </c>
      <c r="I28" s="18">
        <v>5</v>
      </c>
      <c r="J28" s="18">
        <v>81</v>
      </c>
      <c r="K28" s="20">
        <v>117</v>
      </c>
      <c r="L28" s="18">
        <v>300</v>
      </c>
      <c r="M28" s="18">
        <v>259</v>
      </c>
      <c r="N28" s="18">
        <v>301</v>
      </c>
      <c r="O28" s="18">
        <v>71</v>
      </c>
      <c r="P28" s="18">
        <v>242</v>
      </c>
      <c r="Q28" s="17">
        <v>3</v>
      </c>
      <c r="R28" s="17">
        <v>8</v>
      </c>
      <c r="S28" s="17">
        <v>0</v>
      </c>
      <c r="T28" s="17">
        <v>1</v>
      </c>
      <c r="U28" s="17">
        <v>2</v>
      </c>
      <c r="V28" s="3">
        <v>8</v>
      </c>
      <c r="W28" s="20">
        <v>57</v>
      </c>
      <c r="X28" s="17">
        <v>8</v>
      </c>
      <c r="Y28" s="3"/>
      <c r="Z28" s="3"/>
      <c r="AA28" s="20"/>
      <c r="AB28" s="3"/>
      <c r="AC28" s="3"/>
      <c r="AD28" s="20"/>
      <c r="AE28" s="3"/>
      <c r="AF28" s="3"/>
      <c r="AG28" s="20"/>
      <c r="AH28" s="107" t="s">
        <v>85</v>
      </c>
      <c r="AI28" s="107"/>
      <c r="AJ28" s="107"/>
      <c r="AK28" s="107"/>
      <c r="AL28" s="108"/>
      <c r="AN28" s="67">
        <f t="shared" si="2"/>
        <v>-4.8691436088636806</v>
      </c>
      <c r="AO28" s="67">
        <f t="shared" si="2"/>
        <v>-1.0586930779891759</v>
      </c>
      <c r="AP28" s="67">
        <f t="shared" si="2"/>
        <v>-2.1595635075314021</v>
      </c>
      <c r="AY28" s="67">
        <f t="shared" si="0"/>
        <v>305.86914360886368</v>
      </c>
      <c r="AZ28" s="67">
        <f t="shared" si="1"/>
        <v>72.058693077989176</v>
      </c>
      <c r="BA28" s="67">
        <f t="shared" si="3"/>
        <v>244.1595635075314</v>
      </c>
      <c r="BC28">
        <f t="shared" si="4"/>
        <v>42.447223304178067</v>
      </c>
      <c r="BD28">
        <v>1013.2</v>
      </c>
      <c r="BE28">
        <f t="shared" si="5"/>
        <v>33.410295667258367</v>
      </c>
    </row>
    <row r="29" spans="1:57" x14ac:dyDescent="0.2">
      <c r="A29" s="13">
        <v>20</v>
      </c>
      <c r="B29" s="3">
        <v>14</v>
      </c>
      <c r="C29" s="17">
        <v>7</v>
      </c>
      <c r="D29" s="3">
        <v>4</v>
      </c>
      <c r="E29" s="18">
        <v>10</v>
      </c>
      <c r="F29" s="18">
        <v>15</v>
      </c>
      <c r="G29" s="18">
        <v>68</v>
      </c>
      <c r="H29" s="19">
        <v>1</v>
      </c>
      <c r="I29" s="18">
        <v>5</v>
      </c>
      <c r="J29" s="18">
        <v>82</v>
      </c>
      <c r="K29" s="20">
        <v>112</v>
      </c>
      <c r="L29" s="18">
        <v>292</v>
      </c>
      <c r="M29" s="18">
        <v>251</v>
      </c>
      <c r="N29" s="18">
        <v>286</v>
      </c>
      <c r="O29" s="18">
        <v>71</v>
      </c>
      <c r="P29" s="18">
        <v>233</v>
      </c>
      <c r="Q29" s="17">
        <v>5</v>
      </c>
      <c r="R29" s="17">
        <v>8</v>
      </c>
      <c r="S29" s="17">
        <v>4</v>
      </c>
      <c r="T29" s="17">
        <v>8</v>
      </c>
      <c r="U29" s="17">
        <v>3</v>
      </c>
      <c r="V29" s="3">
        <v>8</v>
      </c>
      <c r="W29" s="20">
        <v>54</v>
      </c>
      <c r="X29" s="17">
        <v>8</v>
      </c>
      <c r="Y29" s="17">
        <v>3</v>
      </c>
      <c r="Z29" s="17">
        <v>6</v>
      </c>
      <c r="AA29" s="20">
        <v>120</v>
      </c>
      <c r="AB29" s="17">
        <v>7</v>
      </c>
      <c r="AC29" s="17">
        <v>2</v>
      </c>
      <c r="AD29" s="20">
        <v>780</v>
      </c>
      <c r="AE29" s="3"/>
      <c r="AF29" s="3"/>
      <c r="AG29" s="20"/>
      <c r="AH29" s="107" t="s">
        <v>85</v>
      </c>
      <c r="AI29" s="107"/>
      <c r="AJ29" s="107"/>
      <c r="AK29" s="107"/>
      <c r="AL29" s="108"/>
      <c r="AN29" s="67">
        <f t="shared" si="2"/>
        <v>-4.3751516671429727</v>
      </c>
      <c r="AO29" s="67">
        <f t="shared" si="2"/>
        <v>-0.63929422010031089</v>
      </c>
      <c r="AP29" s="67">
        <f t="shared" si="2"/>
        <v>-2.5153593869971758</v>
      </c>
      <c r="AY29" s="67">
        <f t="shared" si="0"/>
        <v>290.37515166714297</v>
      </c>
      <c r="AZ29" s="67">
        <f t="shared" si="1"/>
        <v>71.639294220100311</v>
      </c>
      <c r="BA29" s="67">
        <f t="shared" si="3"/>
        <v>235.51535938699718</v>
      </c>
      <c r="BC29">
        <f t="shared" si="4"/>
        <v>40.532944221227474</v>
      </c>
      <c r="BD29">
        <v>1013.2</v>
      </c>
      <c r="BE29">
        <f t="shared" si="5"/>
        <v>31.858374091422295</v>
      </c>
    </row>
    <row r="30" spans="1:57" x14ac:dyDescent="0.2">
      <c r="A30" s="13">
        <v>21</v>
      </c>
      <c r="B30" s="3">
        <v>14</v>
      </c>
      <c r="C30" s="17">
        <v>3</v>
      </c>
      <c r="D30" s="3">
        <v>4</v>
      </c>
      <c r="E30" s="18">
        <v>11</v>
      </c>
      <c r="F30" s="18">
        <v>14</v>
      </c>
      <c r="G30" s="18">
        <v>76</v>
      </c>
      <c r="H30" s="19">
        <v>2</v>
      </c>
      <c r="I30" s="18"/>
      <c r="J30" s="18"/>
      <c r="K30" s="20">
        <v>120</v>
      </c>
      <c r="L30" s="18">
        <v>289</v>
      </c>
      <c r="M30" s="18">
        <v>256</v>
      </c>
      <c r="N30" s="18">
        <v>301</v>
      </c>
      <c r="O30" s="18">
        <v>76</v>
      </c>
      <c r="P30" s="18">
        <v>242</v>
      </c>
      <c r="Q30" s="17">
        <v>1</v>
      </c>
      <c r="R30" s="17">
        <v>8</v>
      </c>
      <c r="S30" s="17">
        <v>0</v>
      </c>
      <c r="T30" s="17">
        <v>2</v>
      </c>
      <c r="U30" s="17">
        <v>1</v>
      </c>
      <c r="V30" s="3">
        <v>8</v>
      </c>
      <c r="W30" s="20">
        <v>69</v>
      </c>
      <c r="X30" s="17">
        <v>8</v>
      </c>
      <c r="Y30" s="17">
        <v>3</v>
      </c>
      <c r="Z30" s="17">
        <v>0</v>
      </c>
      <c r="AA30" s="20">
        <v>780</v>
      </c>
      <c r="AB30" s="3"/>
      <c r="AC30" s="3"/>
      <c r="AD30" s="20"/>
      <c r="AE30" s="3"/>
      <c r="AF30" s="3"/>
      <c r="AG30" s="20"/>
      <c r="AH30" s="107"/>
      <c r="AI30" s="107"/>
      <c r="AJ30" s="107"/>
      <c r="AK30" s="107"/>
      <c r="AL30" s="108"/>
      <c r="AN30" s="67">
        <f t="shared" si="2"/>
        <v>-4.4902946402989414</v>
      </c>
      <c r="AO30" s="67">
        <f t="shared" si="2"/>
        <v>-0.68934712866520442</v>
      </c>
      <c r="AP30" s="67">
        <f t="shared" si="2"/>
        <v>-1.9528220044709599</v>
      </c>
      <c r="AY30" s="67">
        <f t="shared" si="0"/>
        <v>305.49029464029894</v>
      </c>
      <c r="AZ30" s="67">
        <f t="shared" si="1"/>
        <v>76.689347128665204</v>
      </c>
      <c r="BA30" s="67">
        <f t="shared" si="3"/>
        <v>243.95282200447096</v>
      </c>
      <c r="BC30">
        <f t="shared" si="4"/>
        <v>39.834775764587476</v>
      </c>
      <c r="BD30">
        <v>1013.2</v>
      </c>
      <c r="BE30">
        <f t="shared" si="5"/>
        <v>32.820745772253893</v>
      </c>
    </row>
    <row r="31" spans="1:57" x14ac:dyDescent="0.2">
      <c r="A31" s="13">
        <v>22</v>
      </c>
      <c r="B31" s="3">
        <v>14</v>
      </c>
      <c r="C31" s="17">
        <v>7</v>
      </c>
      <c r="D31" s="3">
        <v>4</v>
      </c>
      <c r="E31" s="18">
        <v>8</v>
      </c>
      <c r="F31" s="18">
        <v>15</v>
      </c>
      <c r="G31" s="18">
        <v>68</v>
      </c>
      <c r="H31" s="19">
        <v>1</v>
      </c>
      <c r="I31" s="18">
        <v>5</v>
      </c>
      <c r="J31" s="18">
        <v>82</v>
      </c>
      <c r="K31" s="20">
        <v>122</v>
      </c>
      <c r="L31" s="18">
        <v>296</v>
      </c>
      <c r="M31" s="18">
        <v>250</v>
      </c>
      <c r="N31" s="18">
        <v>280</v>
      </c>
      <c r="O31" s="18">
        <v>67</v>
      </c>
      <c r="P31" s="18">
        <v>229</v>
      </c>
      <c r="Q31" s="17">
        <v>7</v>
      </c>
      <c r="R31" s="17">
        <v>8</v>
      </c>
      <c r="S31" s="17" t="s">
        <v>89</v>
      </c>
      <c r="T31" s="17" t="s">
        <v>89</v>
      </c>
      <c r="U31" s="17">
        <v>4</v>
      </c>
      <c r="V31" s="3">
        <v>8</v>
      </c>
      <c r="W31" s="20">
        <v>54</v>
      </c>
      <c r="X31" s="17">
        <v>8</v>
      </c>
      <c r="Y31" s="17">
        <v>6</v>
      </c>
      <c r="Z31" s="17">
        <v>6</v>
      </c>
      <c r="AA31" s="20">
        <v>105</v>
      </c>
      <c r="AB31" s="3"/>
      <c r="AC31" s="3"/>
      <c r="AD31" s="20"/>
      <c r="AE31" s="3"/>
      <c r="AF31" s="3"/>
      <c r="AG31" s="20"/>
      <c r="AH31" s="107" t="s">
        <v>85</v>
      </c>
      <c r="AI31" s="107"/>
      <c r="AJ31" s="107"/>
      <c r="AK31" s="107"/>
      <c r="AL31" s="108"/>
      <c r="AN31" s="67">
        <f t="shared" si="2"/>
        <v>-5.043792476159922</v>
      </c>
      <c r="AO31" s="67">
        <f t="shared" si="2"/>
        <v>-1.7176331002024625</v>
      </c>
      <c r="AP31" s="67">
        <f t="shared" si="2"/>
        <v>-3.4473856484735279</v>
      </c>
      <c r="AY31" s="67">
        <f t="shared" si="0"/>
        <v>285.04379247615992</v>
      </c>
      <c r="AZ31" s="67">
        <f t="shared" si="1"/>
        <v>68.717633100202463</v>
      </c>
      <c r="BA31" s="67">
        <f t="shared" si="3"/>
        <v>232.44738564847353</v>
      </c>
      <c r="BC31">
        <f t="shared" si="4"/>
        <v>41.480443900114501</v>
      </c>
      <c r="BD31">
        <v>1013.2</v>
      </c>
      <c r="BE31">
        <f t="shared" si="5"/>
        <v>31.668891609615997</v>
      </c>
    </row>
    <row r="32" spans="1:57" x14ac:dyDescent="0.2">
      <c r="A32" s="13">
        <v>23</v>
      </c>
      <c r="B32" s="3">
        <v>14</v>
      </c>
      <c r="C32" s="17">
        <v>6</v>
      </c>
      <c r="D32" s="3">
        <v>4</v>
      </c>
      <c r="E32" s="18">
        <v>12</v>
      </c>
      <c r="F32" s="18">
        <v>12</v>
      </c>
      <c r="G32" s="18">
        <v>70</v>
      </c>
      <c r="H32" s="19">
        <v>1</v>
      </c>
      <c r="I32" s="18">
        <v>6</v>
      </c>
      <c r="J32" s="18">
        <v>22</v>
      </c>
      <c r="K32" s="20">
        <v>110</v>
      </c>
      <c r="L32" s="18">
        <v>294</v>
      </c>
      <c r="M32" s="18">
        <v>249</v>
      </c>
      <c r="N32" s="18">
        <v>280</v>
      </c>
      <c r="O32" s="18">
        <v>68</v>
      </c>
      <c r="P32" s="18">
        <v>229</v>
      </c>
      <c r="Q32" s="17">
        <v>2</v>
      </c>
      <c r="R32" s="17">
        <v>2</v>
      </c>
      <c r="S32" s="17">
        <v>0</v>
      </c>
      <c r="T32" s="17">
        <v>2</v>
      </c>
      <c r="U32" s="17">
        <v>2</v>
      </c>
      <c r="V32" s="3">
        <v>8</v>
      </c>
      <c r="W32" s="20">
        <v>60</v>
      </c>
      <c r="X32" s="17">
        <v>8</v>
      </c>
      <c r="Y32" s="17">
        <v>6</v>
      </c>
      <c r="Z32" s="17">
        <v>0</v>
      </c>
      <c r="AA32" s="20">
        <v>840</v>
      </c>
      <c r="AB32" s="3"/>
      <c r="AC32" s="3"/>
      <c r="AD32" s="20"/>
      <c r="AE32" s="3"/>
      <c r="AF32" s="3"/>
      <c r="AG32" s="20"/>
      <c r="AH32" s="107" t="s">
        <v>85</v>
      </c>
      <c r="AI32" s="107"/>
      <c r="AJ32" s="107"/>
      <c r="AK32" s="107"/>
      <c r="AL32" s="108"/>
      <c r="AN32" s="67">
        <f t="shared" si="2"/>
        <v>-3.8502361109395906</v>
      </c>
      <c r="AO32" s="67">
        <f t="shared" si="2"/>
        <v>-1.2244970983034449</v>
      </c>
      <c r="AP32" s="67">
        <f t="shared" si="2"/>
        <v>-2.7536636953744278</v>
      </c>
      <c r="AY32" s="67">
        <f t="shared" si="0"/>
        <v>283.85023611093959</v>
      </c>
      <c r="AZ32" s="67">
        <f t="shared" si="1"/>
        <v>69.224497098303445</v>
      </c>
      <c r="BA32" s="67">
        <f t="shared" si="3"/>
        <v>231.75366369537443</v>
      </c>
      <c r="BC32">
        <f t="shared" si="4"/>
        <v>41.004304546677048</v>
      </c>
      <c r="BD32">
        <v>1013.2</v>
      </c>
      <c r="BE32">
        <f t="shared" si="5"/>
        <v>31.480396167633955</v>
      </c>
    </row>
    <row r="33" spans="1:57" x14ac:dyDescent="0.2">
      <c r="A33" s="13">
        <v>24</v>
      </c>
      <c r="B33" s="3">
        <v>14</v>
      </c>
      <c r="C33" s="17">
        <v>7</v>
      </c>
      <c r="D33" s="3">
        <v>4</v>
      </c>
      <c r="E33" s="18">
        <v>3</v>
      </c>
      <c r="F33" s="18">
        <v>9</v>
      </c>
      <c r="G33" s="18">
        <v>59</v>
      </c>
      <c r="H33" s="19">
        <v>1</v>
      </c>
      <c r="I33" s="18">
        <v>80</v>
      </c>
      <c r="J33" s="18">
        <v>82</v>
      </c>
      <c r="K33" s="20">
        <v>111</v>
      </c>
      <c r="L33" s="18">
        <v>252</v>
      </c>
      <c r="M33" s="18">
        <v>247</v>
      </c>
      <c r="N33" s="18">
        <v>308</v>
      </c>
      <c r="O33" s="18">
        <v>96</v>
      </c>
      <c r="P33" s="18">
        <v>245</v>
      </c>
      <c r="Q33" s="17">
        <v>7</v>
      </c>
      <c r="R33" s="17">
        <v>8</v>
      </c>
      <c r="S33" s="17">
        <v>0</v>
      </c>
      <c r="T33" s="17">
        <v>2</v>
      </c>
      <c r="U33" s="17">
        <v>6</v>
      </c>
      <c r="V33" s="3">
        <v>8</v>
      </c>
      <c r="W33" s="20">
        <v>42</v>
      </c>
      <c r="X33" s="17">
        <v>8</v>
      </c>
      <c r="Y33" s="17">
        <v>4</v>
      </c>
      <c r="Z33" s="17">
        <v>6</v>
      </c>
      <c r="AA33" s="20">
        <v>114</v>
      </c>
      <c r="AB33" s="3"/>
      <c r="AC33" s="3"/>
      <c r="AD33" s="20"/>
      <c r="AE33" s="3"/>
      <c r="AF33" s="3"/>
      <c r="AG33" s="20"/>
      <c r="AH33" s="107" t="s">
        <v>153</v>
      </c>
      <c r="AI33" s="107"/>
      <c r="AJ33" s="107"/>
      <c r="AK33" s="107"/>
      <c r="AL33" s="108"/>
      <c r="AN33" s="67">
        <f t="shared" si="2"/>
        <v>0.37504402280978866</v>
      </c>
      <c r="AO33" s="67">
        <f t="shared" si="2"/>
        <v>1.3724271652208131E-2</v>
      </c>
      <c r="AP33" s="67">
        <f t="shared" si="2"/>
        <v>-0.11480979510889711</v>
      </c>
      <c r="AY33" s="67">
        <f t="shared" si="0"/>
        <v>307.62495597719021</v>
      </c>
      <c r="AZ33" s="67">
        <f t="shared" si="1"/>
        <v>95.986275728347792</v>
      </c>
      <c r="BA33" s="67">
        <f t="shared" si="3"/>
        <v>245.1148097951089</v>
      </c>
      <c r="BC33">
        <f t="shared" si="4"/>
        <v>32.048847988206589</v>
      </c>
      <c r="BD33">
        <v>1013.2</v>
      </c>
      <c r="BE33">
        <f t="shared" si="5"/>
        <v>31.106348979899021</v>
      </c>
    </row>
    <row r="34" spans="1:57" x14ac:dyDescent="0.2">
      <c r="A34" s="13">
        <v>25</v>
      </c>
      <c r="B34" s="3">
        <v>14</v>
      </c>
      <c r="C34" s="17">
        <v>7</v>
      </c>
      <c r="D34" s="3">
        <v>4</v>
      </c>
      <c r="E34" s="18">
        <v>6</v>
      </c>
      <c r="F34" s="18">
        <v>8</v>
      </c>
      <c r="G34" s="18">
        <v>74</v>
      </c>
      <c r="H34" s="19">
        <v>1</v>
      </c>
      <c r="I34" s="18">
        <v>2</v>
      </c>
      <c r="J34" s="18">
        <v>86</v>
      </c>
      <c r="K34" s="20">
        <v>124</v>
      </c>
      <c r="L34" s="18">
        <v>280</v>
      </c>
      <c r="M34" s="18">
        <v>245</v>
      </c>
      <c r="N34" s="18">
        <v>279</v>
      </c>
      <c r="O34" s="18">
        <v>74</v>
      </c>
      <c r="P34" s="18">
        <v>229</v>
      </c>
      <c r="Q34" s="17">
        <v>7</v>
      </c>
      <c r="R34" s="17">
        <v>4</v>
      </c>
      <c r="S34" s="17">
        <v>6</v>
      </c>
      <c r="T34" s="17">
        <v>3</v>
      </c>
      <c r="U34" s="17">
        <v>1</v>
      </c>
      <c r="V34" s="3">
        <v>8</v>
      </c>
      <c r="W34" s="20">
        <v>48</v>
      </c>
      <c r="X34" s="17">
        <v>8</v>
      </c>
      <c r="Y34" s="17">
        <v>7</v>
      </c>
      <c r="Z34" s="17">
        <v>6</v>
      </c>
      <c r="AA34" s="20">
        <v>120</v>
      </c>
      <c r="AB34" s="3"/>
      <c r="AC34" s="3"/>
      <c r="AD34" s="20"/>
      <c r="AE34" s="3"/>
      <c r="AF34" s="3"/>
      <c r="AG34" s="20"/>
      <c r="AH34" s="107" t="s">
        <v>167</v>
      </c>
      <c r="AI34" s="107"/>
      <c r="AJ34" s="107"/>
      <c r="AK34" s="107"/>
      <c r="AL34" s="108"/>
      <c r="AN34" s="67">
        <f t="shared" si="2"/>
        <v>-4.2976247382706561</v>
      </c>
      <c r="AO34" s="67">
        <f t="shared" si="2"/>
        <v>-0.94073248813984378</v>
      </c>
      <c r="AP34" s="67">
        <f t="shared" si="2"/>
        <v>-2.4316076266631512</v>
      </c>
      <c r="AY34" s="67">
        <f t="shared" si="0"/>
        <v>283.29762473827066</v>
      </c>
      <c r="AZ34" s="67">
        <f t="shared" si="1"/>
        <v>74.940732488139844</v>
      </c>
      <c r="BA34" s="67">
        <f t="shared" si="3"/>
        <v>231.43160762666315</v>
      </c>
      <c r="BC34">
        <f t="shared" si="4"/>
        <v>37.802889741317315</v>
      </c>
      <c r="BD34">
        <v>1013.2</v>
      </c>
      <c r="BE34">
        <f t="shared" si="5"/>
        <v>30.736197835927069</v>
      </c>
    </row>
    <row r="35" spans="1:57" x14ac:dyDescent="0.2">
      <c r="A35" s="13">
        <v>26</v>
      </c>
      <c r="B35" s="3">
        <v>14</v>
      </c>
      <c r="C35" s="17">
        <v>8</v>
      </c>
      <c r="D35" s="3">
        <v>4</v>
      </c>
      <c r="E35" s="18">
        <v>8</v>
      </c>
      <c r="F35" s="18">
        <v>9</v>
      </c>
      <c r="G35" s="18">
        <v>50</v>
      </c>
      <c r="H35" s="19">
        <v>1</v>
      </c>
      <c r="I35" s="18">
        <v>91</v>
      </c>
      <c r="J35" s="18">
        <v>81</v>
      </c>
      <c r="K35" s="20">
        <v>136</v>
      </c>
      <c r="L35" s="18">
        <v>251</v>
      </c>
      <c r="M35" s="18">
        <v>245</v>
      </c>
      <c r="N35" s="18">
        <v>304</v>
      </c>
      <c r="O35" s="18">
        <v>95</v>
      </c>
      <c r="P35" s="18">
        <v>243</v>
      </c>
      <c r="Q35" s="17">
        <v>8</v>
      </c>
      <c r="R35" s="17">
        <v>9</v>
      </c>
      <c r="S35" s="17" t="s">
        <v>89</v>
      </c>
      <c r="T35" s="17" t="s">
        <v>89</v>
      </c>
      <c r="U35" s="17">
        <v>3</v>
      </c>
      <c r="V35" s="3">
        <v>9</v>
      </c>
      <c r="W35" s="20">
        <f>8*3</f>
        <v>24</v>
      </c>
      <c r="X35" s="17">
        <v>8</v>
      </c>
      <c r="Y35" s="17">
        <v>7</v>
      </c>
      <c r="Z35" s="17">
        <v>8</v>
      </c>
      <c r="AA35" s="20">
        <v>30</v>
      </c>
      <c r="AB35" s="3"/>
      <c r="AC35" s="3"/>
      <c r="AD35" s="20"/>
      <c r="AE35" s="3"/>
      <c r="AF35" s="3"/>
      <c r="AG35" s="20"/>
      <c r="AH35" s="107" t="s">
        <v>174</v>
      </c>
      <c r="AI35" s="107"/>
      <c r="AJ35" s="107"/>
      <c r="AK35" s="107"/>
      <c r="AL35" s="108"/>
      <c r="AN35" s="67">
        <f t="shared" si="2"/>
        <v>0.76333940432931513</v>
      </c>
      <c r="AO35" s="67">
        <f t="shared" si="2"/>
        <v>-0.18271702299948345</v>
      </c>
      <c r="AP35" s="67">
        <f t="shared" si="2"/>
        <v>0.28166716380587786</v>
      </c>
      <c r="AY35" s="67">
        <f t="shared" si="0"/>
        <v>303.23666059567068</v>
      </c>
      <c r="AZ35" s="67">
        <f t="shared" si="1"/>
        <v>95.182717022999483</v>
      </c>
      <c r="BA35" s="67">
        <f t="shared" si="3"/>
        <v>242.71833283619412</v>
      </c>
      <c r="BC35">
        <f t="shared" si="4"/>
        <v>31.858374091422295</v>
      </c>
      <c r="BD35">
        <v>1013.2</v>
      </c>
      <c r="BE35">
        <f t="shared" si="5"/>
        <v>30.736197835927069</v>
      </c>
    </row>
    <row r="36" spans="1:57" x14ac:dyDescent="0.2">
      <c r="A36" s="13">
        <v>27</v>
      </c>
      <c r="B36" s="3">
        <v>14</v>
      </c>
      <c r="C36" s="17">
        <v>5</v>
      </c>
      <c r="D36" s="3">
        <v>4</v>
      </c>
      <c r="E36" s="18">
        <v>7</v>
      </c>
      <c r="F36" s="18">
        <v>12</v>
      </c>
      <c r="G36" s="18">
        <v>70</v>
      </c>
      <c r="H36" s="19">
        <v>1</v>
      </c>
      <c r="I36" s="18">
        <v>25</v>
      </c>
      <c r="J36" s="18">
        <v>82</v>
      </c>
      <c r="K36" s="20">
        <v>125</v>
      </c>
      <c r="L36" s="18">
        <v>285</v>
      </c>
      <c r="M36" s="18">
        <v>255</v>
      </c>
      <c r="N36" s="18">
        <v>302</v>
      </c>
      <c r="O36" s="18">
        <v>77</v>
      </c>
      <c r="P36" s="18">
        <v>242</v>
      </c>
      <c r="Q36" s="17">
        <v>4</v>
      </c>
      <c r="R36" s="17">
        <v>8</v>
      </c>
      <c r="S36" s="17">
        <v>4</v>
      </c>
      <c r="T36" s="17">
        <v>1</v>
      </c>
      <c r="U36" s="17">
        <v>3</v>
      </c>
      <c r="V36" s="3">
        <v>8</v>
      </c>
      <c r="W36" s="20">
        <v>54</v>
      </c>
      <c r="X36" s="17">
        <v>8</v>
      </c>
      <c r="Y36" s="3"/>
      <c r="Z36" s="3"/>
      <c r="AA36" s="20"/>
      <c r="AB36" s="3"/>
      <c r="AC36" s="3"/>
      <c r="AD36" s="20"/>
      <c r="AE36" s="3"/>
      <c r="AF36" s="3"/>
      <c r="AG36" s="20"/>
      <c r="AH36" s="107" t="s">
        <v>186</v>
      </c>
      <c r="AI36" s="107"/>
      <c r="AJ36" s="107"/>
      <c r="AK36" s="107"/>
      <c r="AL36" s="108"/>
      <c r="AN36" s="67">
        <f t="shared" si="2"/>
        <v>-3.6129621481404115</v>
      </c>
      <c r="AO36" s="67">
        <f t="shared" si="2"/>
        <v>-1.5228977642365322</v>
      </c>
      <c r="AP36" s="67">
        <f t="shared" si="2"/>
        <v>-2.0197873967282476</v>
      </c>
      <c r="AY36" s="67">
        <f t="shared" si="0"/>
        <v>305.61296214814041</v>
      </c>
      <c r="AZ36" s="67">
        <f t="shared" si="1"/>
        <v>78.522897764236532</v>
      </c>
      <c r="BA36" s="67">
        <f t="shared" si="3"/>
        <v>244.01978739672825</v>
      </c>
      <c r="BC36">
        <f t="shared" si="4"/>
        <v>38.920234842292423</v>
      </c>
      <c r="BD36">
        <v>1013.2</v>
      </c>
      <c r="BE36">
        <f t="shared" si="5"/>
        <v>32.626262153014039</v>
      </c>
    </row>
    <row r="37" spans="1:57" x14ac:dyDescent="0.2">
      <c r="A37" s="13">
        <v>28</v>
      </c>
      <c r="B37" s="3">
        <v>14</v>
      </c>
      <c r="C37" s="17">
        <v>7</v>
      </c>
      <c r="D37" s="3">
        <v>4</v>
      </c>
      <c r="E37" s="18">
        <v>8</v>
      </c>
      <c r="F37" s="18">
        <v>5</v>
      </c>
      <c r="G37" s="18">
        <v>60</v>
      </c>
      <c r="H37" s="19">
        <v>1</v>
      </c>
      <c r="I37" s="18">
        <v>21</v>
      </c>
      <c r="J37" s="18">
        <v>86</v>
      </c>
      <c r="K37" s="20">
        <v>144</v>
      </c>
      <c r="L37" s="18">
        <v>274</v>
      </c>
      <c r="M37" s="18">
        <v>260</v>
      </c>
      <c r="N37" s="18">
        <v>325</v>
      </c>
      <c r="O37" s="18">
        <v>89</v>
      </c>
      <c r="P37" s="18">
        <v>254</v>
      </c>
      <c r="Q37" s="17">
        <v>7</v>
      </c>
      <c r="R37" s="17">
        <v>8</v>
      </c>
      <c r="S37" s="17">
        <v>3</v>
      </c>
      <c r="T37" s="17">
        <v>2</v>
      </c>
      <c r="U37" s="17">
        <v>5</v>
      </c>
      <c r="V37" s="3">
        <v>8</v>
      </c>
      <c r="W37" s="20">
        <v>54</v>
      </c>
      <c r="X37" s="17">
        <v>8</v>
      </c>
      <c r="Y37" s="17">
        <v>7</v>
      </c>
      <c r="Z37" s="17">
        <v>6</v>
      </c>
      <c r="AA37" s="20">
        <v>114</v>
      </c>
      <c r="AB37" s="3"/>
      <c r="AC37" s="3"/>
      <c r="AD37" s="20"/>
      <c r="AE37" s="3"/>
      <c r="AF37" s="3"/>
      <c r="AG37" s="20"/>
      <c r="AH37" s="107" t="s">
        <v>197</v>
      </c>
      <c r="AI37" s="107"/>
      <c r="AJ37" s="107"/>
      <c r="AK37" s="107"/>
      <c r="AL37" s="108"/>
      <c r="AN37" s="67">
        <f t="shared" si="2"/>
        <v>-1.4467117581643834</v>
      </c>
      <c r="AO37" s="67">
        <f t="shared" si="2"/>
        <v>-0.43952477942993085</v>
      </c>
      <c r="AP37" s="67">
        <f t="shared" si="2"/>
        <v>-1.0656591600279057</v>
      </c>
      <c r="AY37" s="67">
        <f t="shared" si="0"/>
        <v>326.44671175816438</v>
      </c>
      <c r="AZ37" s="67">
        <f t="shared" si="1"/>
        <v>89.439524779429931</v>
      </c>
      <c r="BA37" s="67">
        <f t="shared" si="3"/>
        <v>255.06565916002791</v>
      </c>
      <c r="BC37">
        <f t="shared" si="4"/>
        <v>36.499155441984577</v>
      </c>
      <c r="BD37">
        <v>1013.2</v>
      </c>
      <c r="BE37">
        <f t="shared" si="5"/>
        <v>33.608860260136439</v>
      </c>
    </row>
    <row r="38" spans="1:57" x14ac:dyDescent="0.2">
      <c r="A38" s="13">
        <v>29</v>
      </c>
      <c r="B38" s="3">
        <v>14</v>
      </c>
      <c r="C38" s="17">
        <v>7</v>
      </c>
      <c r="D38" s="3">
        <v>4</v>
      </c>
      <c r="E38" s="18">
        <v>6</v>
      </c>
      <c r="F38" s="18">
        <v>10</v>
      </c>
      <c r="G38" s="18">
        <v>70</v>
      </c>
      <c r="H38" s="19">
        <v>1</v>
      </c>
      <c r="I38" s="18">
        <v>25</v>
      </c>
      <c r="J38" s="18">
        <v>86</v>
      </c>
      <c r="K38" s="20">
        <v>136</v>
      </c>
      <c r="L38" s="18">
        <v>268</v>
      </c>
      <c r="M38" s="18">
        <v>250</v>
      </c>
      <c r="N38" s="18">
        <v>302</v>
      </c>
      <c r="O38" s="18">
        <v>86</v>
      </c>
      <c r="P38" s="18">
        <v>242</v>
      </c>
      <c r="Q38" s="17">
        <v>7</v>
      </c>
      <c r="R38" s="17">
        <v>8</v>
      </c>
      <c r="S38" s="17" t="s">
        <v>89</v>
      </c>
      <c r="T38" s="17" t="s">
        <v>89</v>
      </c>
      <c r="U38" s="17">
        <v>5</v>
      </c>
      <c r="V38" s="3">
        <v>8</v>
      </c>
      <c r="W38" s="20">
        <v>45</v>
      </c>
      <c r="X38" s="17">
        <v>8</v>
      </c>
      <c r="Y38" s="17">
        <v>6</v>
      </c>
      <c r="Z38" s="17">
        <v>6</v>
      </c>
      <c r="AA38" s="20">
        <v>105</v>
      </c>
      <c r="AB38" s="3"/>
      <c r="AC38" s="3"/>
      <c r="AD38" s="20"/>
      <c r="AE38" s="3"/>
      <c r="AF38" s="3"/>
      <c r="AG38" s="20"/>
      <c r="AH38" s="107" t="s">
        <v>207</v>
      </c>
      <c r="AI38" s="107"/>
      <c r="AJ38" s="107"/>
      <c r="AK38" s="107"/>
      <c r="AL38" s="108"/>
      <c r="AN38" s="67">
        <f t="shared" si="2"/>
        <v>-2.3060416361599891</v>
      </c>
      <c r="AO38" s="67">
        <f t="shared" si="2"/>
        <v>-0.36496702189762686</v>
      </c>
      <c r="AP38" s="67">
        <f t="shared" si="2"/>
        <v>-1.305113160806485</v>
      </c>
      <c r="AY38" s="67">
        <f t="shared" si="0"/>
        <v>304.30604163615999</v>
      </c>
      <c r="AZ38" s="67">
        <f t="shared" si="1"/>
        <v>86.364967021897627</v>
      </c>
      <c r="BA38" s="67">
        <f t="shared" si="3"/>
        <v>243.30511316080648</v>
      </c>
      <c r="BC38">
        <f t="shared" si="4"/>
        <v>35.234893514056914</v>
      </c>
      <c r="BD38">
        <v>1013.2</v>
      </c>
      <c r="BE38">
        <f t="shared" si="5"/>
        <v>31.668891609615997</v>
      </c>
    </row>
    <row r="39" spans="1:57" x14ac:dyDescent="0.2">
      <c r="A39" s="13">
        <v>30</v>
      </c>
      <c r="B39" s="3">
        <v>14</v>
      </c>
      <c r="C39" s="17">
        <v>7</v>
      </c>
      <c r="D39" s="3">
        <v>4</v>
      </c>
      <c r="E39" s="18">
        <v>9</v>
      </c>
      <c r="F39" s="18">
        <v>13</v>
      </c>
      <c r="G39" s="18">
        <v>70</v>
      </c>
      <c r="H39" s="19">
        <v>1</v>
      </c>
      <c r="I39" s="18">
        <v>5</v>
      </c>
      <c r="J39" s="18">
        <v>22</v>
      </c>
      <c r="K39" s="20">
        <v>118</v>
      </c>
      <c r="L39" s="18">
        <v>276</v>
      </c>
      <c r="M39" s="18">
        <v>249</v>
      </c>
      <c r="N39" s="18">
        <v>294</v>
      </c>
      <c r="O39" s="18">
        <v>79</v>
      </c>
      <c r="P39" s="18">
        <v>237</v>
      </c>
      <c r="Q39" s="17">
        <v>4</v>
      </c>
      <c r="R39" s="17">
        <v>8</v>
      </c>
      <c r="S39" s="17">
        <v>7</v>
      </c>
      <c r="T39" s="17">
        <v>2</v>
      </c>
      <c r="U39" s="17">
        <v>2</v>
      </c>
      <c r="V39" s="3">
        <v>8</v>
      </c>
      <c r="W39" s="20">
        <v>57</v>
      </c>
      <c r="X39" s="17">
        <v>8</v>
      </c>
      <c r="Y39" s="17">
        <v>4</v>
      </c>
      <c r="Z39" s="17">
        <v>6</v>
      </c>
      <c r="AA39" s="20">
        <v>114</v>
      </c>
      <c r="AB39" s="17">
        <v>5</v>
      </c>
      <c r="AC39" s="17">
        <v>4</v>
      </c>
      <c r="AD39" s="20">
        <v>300</v>
      </c>
      <c r="AE39" s="3"/>
      <c r="AF39" s="3"/>
      <c r="AG39" s="20"/>
      <c r="AH39" s="107" t="s">
        <v>85</v>
      </c>
      <c r="AI39" s="107"/>
      <c r="AJ39" s="107"/>
      <c r="AK39" s="107"/>
      <c r="AL39" s="108"/>
      <c r="AN39" s="67">
        <f t="shared" si="2"/>
        <v>-2.2317263370995306</v>
      </c>
      <c r="AO39" s="67">
        <f t="shared" si="2"/>
        <v>-1.2159127543401098</v>
      </c>
      <c r="AP39" s="67">
        <f t="shared" si="2"/>
        <v>-1.8292196393877305</v>
      </c>
      <c r="AY39" s="67">
        <f t="shared" si="0"/>
        <v>296.23172633709953</v>
      </c>
      <c r="AZ39" s="67">
        <f t="shared" si="1"/>
        <v>80.21591275434011</v>
      </c>
      <c r="BA39" s="67">
        <f t="shared" si="3"/>
        <v>238.82921963938773</v>
      </c>
      <c r="BC39">
        <f t="shared" si="4"/>
        <v>36.929296964344744</v>
      </c>
      <c r="BD39">
        <v>1013.2</v>
      </c>
      <c r="BE39">
        <f t="shared" si="5"/>
        <v>31.480396167633955</v>
      </c>
    </row>
    <row r="40" spans="1:57" x14ac:dyDescent="0.2">
      <c r="A40" s="13"/>
      <c r="B40" s="3"/>
      <c r="C40" s="17"/>
      <c r="D40" s="3"/>
      <c r="E40" s="18"/>
      <c r="F40" s="18"/>
      <c r="G40" s="18"/>
      <c r="H40" s="19"/>
      <c r="I40" s="18"/>
      <c r="J40" s="18"/>
      <c r="K40" s="20"/>
      <c r="L40" s="18"/>
      <c r="M40" s="18"/>
      <c r="N40" s="18"/>
      <c r="O40" s="18"/>
      <c r="P40" s="18"/>
      <c r="Q40" s="17"/>
      <c r="R40" s="17"/>
      <c r="S40" s="17"/>
      <c r="T40" s="17"/>
      <c r="U40" s="17"/>
      <c r="V40" s="3"/>
      <c r="W40" s="20"/>
      <c r="X40" s="17"/>
      <c r="Y40" s="3"/>
      <c r="Z40" s="3"/>
      <c r="AA40" s="20"/>
      <c r="AB40" s="3"/>
      <c r="AC40" s="3"/>
      <c r="AD40" s="20"/>
      <c r="AE40" s="3"/>
      <c r="AF40" s="3"/>
      <c r="AG40" s="20"/>
      <c r="AH40" s="107"/>
      <c r="AI40" s="107"/>
      <c r="AJ40" s="107"/>
      <c r="AK40" s="107"/>
      <c r="AL40" s="108"/>
      <c r="AN40" s="67"/>
      <c r="AO40" s="67"/>
      <c r="AP40" s="67"/>
      <c r="AY40" s="67">
        <f t="shared" si="0"/>
        <v>61.120000000000005</v>
      </c>
      <c r="AZ40" s="67">
        <f t="shared" si="1"/>
        <v>100</v>
      </c>
      <c r="BA40" s="67">
        <f t="shared" si="3"/>
        <v>0</v>
      </c>
      <c r="BC40">
        <f t="shared" si="4"/>
        <v>6.1120000000000001</v>
      </c>
      <c r="BD40">
        <v>1013.2</v>
      </c>
      <c r="BE40">
        <f t="shared" si="5"/>
        <v>6.1120000000000001</v>
      </c>
    </row>
    <row r="41" spans="1:57" x14ac:dyDescent="0.2">
      <c r="A41" s="18"/>
      <c r="B41" s="3"/>
      <c r="C41" s="17"/>
      <c r="D41" s="3"/>
      <c r="E41" s="18"/>
      <c r="F41" s="18"/>
      <c r="G41" s="18"/>
      <c r="H41" s="19"/>
      <c r="I41" s="18"/>
      <c r="J41" s="18"/>
      <c r="K41" s="20"/>
      <c r="L41" s="18"/>
      <c r="M41" s="18"/>
      <c r="N41" s="18"/>
      <c r="O41" s="18"/>
      <c r="P41" s="18"/>
      <c r="Q41" s="17"/>
      <c r="R41" s="17"/>
      <c r="S41" s="17"/>
      <c r="T41" s="17"/>
      <c r="U41" s="17"/>
      <c r="V41" s="3"/>
      <c r="W41" s="20"/>
      <c r="X41" s="3"/>
      <c r="Y41" s="3"/>
      <c r="Z41" s="3"/>
      <c r="AA41" s="20"/>
      <c r="AB41" s="3"/>
      <c r="AC41" s="3"/>
      <c r="AD41" s="20"/>
      <c r="AE41" s="3"/>
      <c r="AF41" s="3"/>
      <c r="AG41" s="20"/>
      <c r="AH41" s="109" t="s">
        <v>229</v>
      </c>
      <c r="AI41" s="107"/>
      <c r="AJ41" s="107"/>
      <c r="AK41" s="107"/>
      <c r="AL41" s="108"/>
      <c r="AN41" s="67"/>
      <c r="AO41" s="67"/>
      <c r="AP41" s="67"/>
    </row>
    <row r="42" spans="1:57" x14ac:dyDescent="0.2">
      <c r="A42" s="13" t="s">
        <v>9</v>
      </c>
      <c r="B42" s="1"/>
      <c r="C42" s="21">
        <f>SUM(C10:C40)</f>
        <v>161</v>
      </c>
      <c r="D42" s="1"/>
      <c r="E42" s="13"/>
      <c r="F42" s="13">
        <f>SUM(F10:F40)</f>
        <v>371</v>
      </c>
      <c r="G42" s="13"/>
      <c r="H42" s="2"/>
      <c r="I42" s="13"/>
      <c r="J42" s="13"/>
      <c r="K42" s="22">
        <f>SUM(K10:K40)</f>
        <v>3651</v>
      </c>
      <c r="L42" s="13">
        <f>SUM(L10:L40)</f>
        <v>8588</v>
      </c>
      <c r="M42" s="13">
        <f>SUM(M10:M40)</f>
        <v>7555</v>
      </c>
      <c r="N42" s="13">
        <f>SUM(N10:N40)</f>
        <v>8789</v>
      </c>
      <c r="O42" s="13">
        <f>SUM(O10:O40)</f>
        <v>2253</v>
      </c>
      <c r="P42" s="13">
        <f t="shared" ref="P42" si="6">SUM(P10:P40)</f>
        <v>7099</v>
      </c>
      <c r="Q42" s="21">
        <f>SUM(Q10:Q40)</f>
        <v>116</v>
      </c>
      <c r="R42" s="21"/>
      <c r="S42" s="21"/>
      <c r="T42" s="21"/>
      <c r="U42" s="21"/>
      <c r="V42" s="1"/>
      <c r="W42" s="22"/>
      <c r="X42" s="1"/>
      <c r="Y42" s="1"/>
      <c r="Z42" s="1"/>
      <c r="AA42" s="22"/>
      <c r="AB42" s="1"/>
      <c r="AC42" s="1"/>
      <c r="AD42" s="22"/>
      <c r="AE42" s="1"/>
      <c r="AF42" s="1"/>
      <c r="AG42" s="22"/>
      <c r="AH42" s="110" t="s">
        <v>241</v>
      </c>
      <c r="AI42" s="107"/>
      <c r="AJ42" s="107"/>
      <c r="AK42" s="107"/>
      <c r="AL42" s="108"/>
      <c r="AN42" s="67"/>
      <c r="AO42" s="67"/>
      <c r="AP42" s="67"/>
    </row>
    <row r="43" spans="1:57" ht="13.5" thickBot="1" x14ac:dyDescent="0.25">
      <c r="A43" s="23" t="s">
        <v>10</v>
      </c>
      <c r="B43" s="24"/>
      <c r="C43" s="25">
        <f>AVERAGE(C10:C40)</f>
        <v>5.3666666666666663</v>
      </c>
      <c r="D43" s="24"/>
      <c r="E43" s="23">
        <f>MODE(E10:E40)</f>
        <v>12</v>
      </c>
      <c r="F43" s="23">
        <f>AVERAGE(F10:F40)</f>
        <v>12.366666666666667</v>
      </c>
      <c r="G43" s="23"/>
      <c r="H43" s="26"/>
      <c r="I43" s="23"/>
      <c r="J43" s="23"/>
      <c r="K43" s="27">
        <f>AVERAGE(K10:K40)</f>
        <v>121.7</v>
      </c>
      <c r="L43" s="23">
        <f t="shared" ref="L43:Q43" si="7">AVERAGE(L10:L40)</f>
        <v>286.26666666666665</v>
      </c>
      <c r="M43" s="23">
        <f t="shared" si="7"/>
        <v>251.83333333333334</v>
      </c>
      <c r="N43" s="23">
        <f t="shared" si="7"/>
        <v>292.96666666666664</v>
      </c>
      <c r="O43" s="23">
        <f t="shared" si="7"/>
        <v>75.099999999999994</v>
      </c>
      <c r="P43" s="23">
        <f>AVERAGE(P10:P40)</f>
        <v>236.63333333333333</v>
      </c>
      <c r="Q43" s="25">
        <f t="shared" si="7"/>
        <v>3.8666666666666667</v>
      </c>
      <c r="R43" s="25"/>
      <c r="S43" s="25"/>
      <c r="T43" s="25"/>
      <c r="U43" s="25"/>
      <c r="V43" s="24"/>
      <c r="W43" s="27"/>
      <c r="X43" s="24"/>
      <c r="Y43" s="24"/>
      <c r="Z43" s="24"/>
      <c r="AA43" s="27"/>
      <c r="AB43" s="24"/>
      <c r="AC43" s="24"/>
      <c r="AD43" s="27"/>
      <c r="AE43" s="24"/>
      <c r="AF43" s="24"/>
      <c r="AG43" s="27"/>
      <c r="AH43" s="111"/>
      <c r="AI43" s="111"/>
      <c r="AJ43" s="111"/>
      <c r="AK43" s="111"/>
      <c r="AL43" s="112"/>
      <c r="AN43" s="67">
        <f>AVERAGE(AN10:AN40)</f>
        <v>-3.6928061146915354</v>
      </c>
      <c r="AO43" s="67">
        <f t="shared" ref="AO43:AP43" si="8">AVERAGE(AO10:AO40)</f>
        <v>-0.99488498940448788</v>
      </c>
      <c r="AP43" s="67">
        <f t="shared" si="8"/>
        <v>-2.2721589919945435</v>
      </c>
    </row>
    <row r="44" spans="1:57" x14ac:dyDescent="0.2">
      <c r="E44" s="11"/>
      <c r="G44" s="11"/>
      <c r="K44" s="4"/>
      <c r="M44" s="11"/>
      <c r="P44" s="11"/>
      <c r="Q44" s="11"/>
      <c r="W44" s="4"/>
      <c r="AA44" s="4"/>
      <c r="AD44" s="4"/>
    </row>
    <row r="45" spans="1:57" x14ac:dyDescent="0.2">
      <c r="E45" s="11"/>
      <c r="G45" s="11"/>
      <c r="K45" s="4"/>
      <c r="M45" s="11"/>
      <c r="P45" s="11"/>
      <c r="Q45" s="11"/>
      <c r="W45" s="4"/>
      <c r="AA45" s="4"/>
    </row>
    <row r="46" spans="1:57" x14ac:dyDescent="0.2">
      <c r="E46" s="11"/>
      <c r="G46" s="11"/>
      <c r="M46" s="11"/>
      <c r="P46" s="11"/>
      <c r="Q46" s="11"/>
      <c r="W46" s="4"/>
      <c r="AA46" s="4"/>
    </row>
    <row r="47" spans="1:57" x14ac:dyDescent="0.2">
      <c r="E47" s="11"/>
      <c r="G47" s="11"/>
      <c r="M47" s="11"/>
      <c r="P47" s="11"/>
      <c r="Q47" s="11"/>
    </row>
    <row r="48" spans="1:57" x14ac:dyDescent="0.2">
      <c r="E48" s="11"/>
      <c r="G48" s="11"/>
      <c r="M48" s="11"/>
      <c r="P48" s="11"/>
      <c r="Q48" s="11"/>
    </row>
    <row r="49" spans="5:17" x14ac:dyDescent="0.2">
      <c r="E49" s="11"/>
      <c r="G49" s="11"/>
      <c r="M49" s="11"/>
      <c r="P49" s="11"/>
      <c r="Q49" s="11"/>
    </row>
  </sheetData>
  <mergeCells count="72">
    <mergeCell ref="AH41:AL41"/>
    <mergeCell ref="AH42:AL42"/>
    <mergeCell ref="AH43:AL43"/>
    <mergeCell ref="AH36:AL36"/>
    <mergeCell ref="AH37:AL37"/>
    <mergeCell ref="AH38:AL38"/>
    <mergeCell ref="AH39:AL39"/>
    <mergeCell ref="AH40:AL40"/>
    <mergeCell ref="AH31:AL31"/>
    <mergeCell ref="AH32:AL32"/>
    <mergeCell ref="AH33:AL33"/>
    <mergeCell ref="AH34:AL34"/>
    <mergeCell ref="AH35:AL35"/>
    <mergeCell ref="AH26:AL26"/>
    <mergeCell ref="AH27:AL27"/>
    <mergeCell ref="AH28:AL28"/>
    <mergeCell ref="AH29:AL29"/>
    <mergeCell ref="AH30:AL30"/>
    <mergeCell ref="AH21:AL21"/>
    <mergeCell ref="AH22:AL22"/>
    <mergeCell ref="AH23:AL23"/>
    <mergeCell ref="AH24:AL24"/>
    <mergeCell ref="AH25:AL25"/>
    <mergeCell ref="AH16:AL16"/>
    <mergeCell ref="AH17:AL17"/>
    <mergeCell ref="AH18:AL18"/>
    <mergeCell ref="AH19:AL19"/>
    <mergeCell ref="AH20:AL20"/>
    <mergeCell ref="AH11:AL11"/>
    <mergeCell ref="AH12:AL12"/>
    <mergeCell ref="AH13:AL13"/>
    <mergeCell ref="AH14:AL14"/>
    <mergeCell ref="AH15:AL15"/>
    <mergeCell ref="U8:W8"/>
    <mergeCell ref="X8:AA8"/>
    <mergeCell ref="AB8:AD8"/>
    <mergeCell ref="AE8:AG8"/>
    <mergeCell ref="AH10:AL10"/>
    <mergeCell ref="AH7:AL9"/>
    <mergeCell ref="P8:P9"/>
    <mergeCell ref="Q8:Q9"/>
    <mergeCell ref="R8:R9"/>
    <mergeCell ref="S8:S9"/>
    <mergeCell ref="T8:T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3:T3"/>
    <mergeCell ref="E7:F7"/>
    <mergeCell ref="L7:P7"/>
    <mergeCell ref="Q7:T7"/>
    <mergeCell ref="U7:AG7"/>
    <mergeCell ref="AN7:AP7"/>
    <mergeCell ref="AY7:BA7"/>
    <mergeCell ref="AN8:AN9"/>
    <mergeCell ref="AO8:AO9"/>
    <mergeCell ref="AP8:AP9"/>
    <mergeCell ref="AY8:AY9"/>
    <mergeCell ref="AZ8:AZ9"/>
    <mergeCell ref="BA8:BA9"/>
  </mergeCells>
  <phoneticPr fontId="2" type="noConversion"/>
  <dataValidations count="5">
    <dataValidation type="whole" allowBlank="1" showInputMessage="1" showErrorMessage="1" sqref="C10:C40" xr:uid="{00000000-0002-0000-0500-000000000000}">
      <formula1>0</formula1>
      <formula2>9</formula2>
    </dataValidation>
    <dataValidation type="whole" allowBlank="1" showInputMessage="1" showErrorMessage="1" sqref="AE10:AE40" xr:uid="{00000000-0002-0000-0500-000001000000}">
      <formula1>1</formula1>
      <formula2>9</formula2>
    </dataValidation>
    <dataValidation type="whole" allowBlank="1" showInputMessage="1" showErrorMessage="1" sqref="D10:D40" xr:uid="{00000000-0002-0000-0500-000002000000}">
      <formula1>0</formula1>
      <formula2>4</formula2>
    </dataValidation>
    <dataValidation type="whole" allowBlank="1" showInputMessage="1" showErrorMessage="1" sqref="AB10:AB40" xr:uid="{00000000-0002-0000-0500-000003000000}">
      <formula1>5</formula1>
      <formula2>9</formula2>
    </dataValidation>
    <dataValidation type="whole" allowBlank="1" showInputMessage="1" showErrorMessage="1" sqref="Y10:Y40" xr:uid="{00000000-0002-0000-0500-000004000000}">
      <formula1>3</formula1>
      <formula2>9</formula2>
    </dataValidation>
  </dataValidations>
  <pageMargins left="0.75" right="0.75" top="1" bottom="1" header="0.5" footer="0.5"/>
  <pageSetup orientation="portrait" horizont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49"/>
  <sheetViews>
    <sheetView workbookViewId="0">
      <pane xSplit="2" ySplit="9" topLeftCell="C10" activePane="bottomRight" state="frozen"/>
      <selection activeCell="AM2" sqref="AM2"/>
      <selection pane="topRight" activeCell="AM2" sqref="AM2"/>
      <selection pane="bottomLeft" activeCell="AM2" sqref="AM2"/>
      <selection pane="bottomRight" activeCell="AT29" sqref="AT29"/>
    </sheetView>
  </sheetViews>
  <sheetFormatPr defaultRowHeight="12.75" x14ac:dyDescent="0.2"/>
  <cols>
    <col min="1" max="1" width="4.28515625" bestFit="1" customWidth="1"/>
    <col min="2" max="2" width="5.140625" bestFit="1" customWidth="1"/>
    <col min="3" max="3" width="4" bestFit="1" customWidth="1"/>
    <col min="4" max="5" width="3" bestFit="1" customWidth="1"/>
    <col min="6" max="6" width="4" bestFit="1" customWidth="1"/>
    <col min="7" max="10" width="3" bestFit="1" customWidth="1"/>
    <col min="11" max="11" width="8.5703125" bestFit="1" customWidth="1"/>
    <col min="12" max="16" width="5" bestFit="1" customWidth="1"/>
    <col min="17" max="17" width="4" bestFit="1" customWidth="1"/>
    <col min="18" max="22" width="3" bestFit="1" customWidth="1"/>
    <col min="23" max="23" width="5.28515625" bestFit="1" customWidth="1"/>
    <col min="24" max="26" width="3" bestFit="1" customWidth="1"/>
    <col min="27" max="27" width="5.28515625" bestFit="1" customWidth="1"/>
    <col min="28" max="29" width="3" bestFit="1" customWidth="1"/>
    <col min="30" max="30" width="5.28515625" bestFit="1" customWidth="1"/>
    <col min="31" max="32" width="3" bestFit="1" customWidth="1"/>
    <col min="33" max="33" width="5.28515625" bestFit="1" customWidth="1"/>
    <col min="34" max="34" width="5.42578125" customWidth="1"/>
    <col min="40" max="42" width="4.7109375" customWidth="1"/>
    <col min="50" max="58" width="0" hidden="1" customWidth="1"/>
  </cols>
  <sheetData>
    <row r="1" spans="1:5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  <c r="P1" s="1"/>
      <c r="Q1" s="1"/>
      <c r="R1" s="1"/>
    </row>
    <row r="2" spans="1:57" ht="36.75" customHeight="1" x14ac:dyDescent="0.2">
      <c r="A2" s="1"/>
      <c r="B2" s="1"/>
      <c r="C2" s="1"/>
      <c r="D2" s="1"/>
      <c r="E2" s="1"/>
      <c r="F2" s="1"/>
      <c r="G2" s="1"/>
      <c r="H2" s="1"/>
      <c r="I2" s="2"/>
      <c r="J2" s="2"/>
      <c r="K2" s="1"/>
      <c r="L2" s="1"/>
      <c r="M2" s="1"/>
      <c r="O2" s="2"/>
      <c r="P2" s="1"/>
      <c r="Q2" s="1"/>
      <c r="R2" s="1"/>
    </row>
    <row r="3" spans="1:5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80"/>
      <c r="Q3" s="80"/>
      <c r="R3" s="80"/>
      <c r="S3" s="80"/>
      <c r="T3" s="80"/>
    </row>
    <row r="4" spans="1:5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7" spans="1:57" ht="14.25" x14ac:dyDescent="0.25">
      <c r="A7" s="7"/>
      <c r="B7" s="7"/>
      <c r="C7" s="7"/>
      <c r="D7" s="7"/>
      <c r="E7" s="81" t="s">
        <v>20</v>
      </c>
      <c r="F7" s="81"/>
      <c r="G7" s="7"/>
      <c r="H7" s="7"/>
      <c r="I7" s="7"/>
      <c r="J7" s="7"/>
      <c r="K7" s="7"/>
      <c r="L7" s="82" t="s">
        <v>11</v>
      </c>
      <c r="M7" s="82"/>
      <c r="N7" s="82"/>
      <c r="O7" s="82"/>
      <c r="P7" s="82"/>
      <c r="Q7" s="83" t="s">
        <v>29</v>
      </c>
      <c r="R7" s="83"/>
      <c r="S7" s="83"/>
      <c r="T7" s="83"/>
      <c r="U7" s="84" t="s">
        <v>33</v>
      </c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98" t="s">
        <v>8</v>
      </c>
      <c r="AI7" s="99"/>
      <c r="AJ7" s="99"/>
      <c r="AK7" s="99"/>
      <c r="AL7" s="100"/>
      <c r="AN7" s="73" t="s">
        <v>80</v>
      </c>
      <c r="AO7" s="74"/>
      <c r="AP7" s="75"/>
      <c r="AY7" s="76" t="s">
        <v>81</v>
      </c>
      <c r="AZ7" s="77"/>
      <c r="BA7" s="78"/>
    </row>
    <row r="8" spans="1:57" ht="16.5" customHeight="1" x14ac:dyDescent="0.2">
      <c r="A8" s="85" t="s">
        <v>18</v>
      </c>
      <c r="B8" s="89" t="s">
        <v>19</v>
      </c>
      <c r="C8" s="90" t="s">
        <v>23</v>
      </c>
      <c r="D8" s="88" t="s">
        <v>24</v>
      </c>
      <c r="E8" s="91" t="s">
        <v>25</v>
      </c>
      <c r="F8" s="86" t="s">
        <v>26</v>
      </c>
      <c r="G8" s="88" t="s">
        <v>27</v>
      </c>
      <c r="H8" s="88" t="s">
        <v>0</v>
      </c>
      <c r="I8" s="88" t="s">
        <v>21</v>
      </c>
      <c r="J8" s="88" t="s">
        <v>22</v>
      </c>
      <c r="K8" s="85" t="s">
        <v>28</v>
      </c>
      <c r="L8" s="79" t="s">
        <v>1</v>
      </c>
      <c r="M8" s="79" t="s">
        <v>2</v>
      </c>
      <c r="N8" s="79" t="s">
        <v>3</v>
      </c>
      <c r="O8" s="79" t="s">
        <v>4</v>
      </c>
      <c r="P8" s="79" t="s">
        <v>5</v>
      </c>
      <c r="Q8" s="92" t="s">
        <v>34</v>
      </c>
      <c r="R8" s="92" t="s">
        <v>30</v>
      </c>
      <c r="S8" s="92" t="s">
        <v>31</v>
      </c>
      <c r="T8" s="92" t="s">
        <v>32</v>
      </c>
      <c r="U8" s="93" t="s">
        <v>38</v>
      </c>
      <c r="V8" s="93"/>
      <c r="W8" s="93"/>
      <c r="X8" s="93" t="s">
        <v>39</v>
      </c>
      <c r="Y8" s="93"/>
      <c r="Z8" s="93"/>
      <c r="AA8" s="93"/>
      <c r="AB8" s="93" t="s">
        <v>40</v>
      </c>
      <c r="AC8" s="93"/>
      <c r="AD8" s="93"/>
      <c r="AE8" s="93" t="s">
        <v>41</v>
      </c>
      <c r="AF8" s="94"/>
      <c r="AG8" s="95"/>
      <c r="AH8" s="101"/>
      <c r="AI8" s="102"/>
      <c r="AJ8" s="102"/>
      <c r="AK8" s="102"/>
      <c r="AL8" s="103"/>
      <c r="AN8" s="79" t="s">
        <v>3</v>
      </c>
      <c r="AO8" s="79" t="s">
        <v>4</v>
      </c>
      <c r="AP8" s="79" t="s">
        <v>5</v>
      </c>
      <c r="AY8" s="79" t="s">
        <v>3</v>
      </c>
      <c r="AZ8" s="79" t="s">
        <v>4</v>
      </c>
      <c r="BA8" s="79" t="s">
        <v>5</v>
      </c>
    </row>
    <row r="9" spans="1:57" s="3" customFormat="1" ht="72" customHeight="1" x14ac:dyDescent="0.2">
      <c r="A9" s="85"/>
      <c r="B9" s="89"/>
      <c r="C9" s="90"/>
      <c r="D9" s="88"/>
      <c r="E9" s="91"/>
      <c r="F9" s="87"/>
      <c r="G9" s="88"/>
      <c r="H9" s="88"/>
      <c r="I9" s="88"/>
      <c r="J9" s="88"/>
      <c r="K9" s="85"/>
      <c r="L9" s="79"/>
      <c r="M9" s="79"/>
      <c r="N9" s="79"/>
      <c r="O9" s="79"/>
      <c r="P9" s="79"/>
      <c r="Q9" s="92"/>
      <c r="R9" s="92"/>
      <c r="S9" s="92"/>
      <c r="T9" s="92"/>
      <c r="U9" s="8" t="s">
        <v>16</v>
      </c>
      <c r="V9" s="8" t="s">
        <v>6</v>
      </c>
      <c r="W9" s="9" t="s">
        <v>7</v>
      </c>
      <c r="X9" s="8" t="s">
        <v>17</v>
      </c>
      <c r="Y9" s="8" t="s">
        <v>16</v>
      </c>
      <c r="Z9" s="8" t="s">
        <v>6</v>
      </c>
      <c r="AA9" s="9" t="s">
        <v>7</v>
      </c>
      <c r="AB9" s="8" t="s">
        <v>16</v>
      </c>
      <c r="AC9" s="8" t="s">
        <v>6</v>
      </c>
      <c r="AD9" s="9" t="s">
        <v>7</v>
      </c>
      <c r="AE9" s="8" t="s">
        <v>16</v>
      </c>
      <c r="AF9" s="8" t="s">
        <v>6</v>
      </c>
      <c r="AG9" s="9" t="s">
        <v>7</v>
      </c>
      <c r="AH9" s="104"/>
      <c r="AI9" s="105"/>
      <c r="AJ9" s="105"/>
      <c r="AK9" s="105"/>
      <c r="AL9" s="106"/>
      <c r="AN9" s="79"/>
      <c r="AO9" s="79"/>
      <c r="AP9" s="79"/>
      <c r="AY9" s="79"/>
      <c r="AZ9" s="79"/>
      <c r="BA9" s="79"/>
      <c r="BC9" s="3" t="s">
        <v>82</v>
      </c>
      <c r="BD9" s="3" t="s">
        <v>83</v>
      </c>
      <c r="BE9" s="3" t="s">
        <v>84</v>
      </c>
    </row>
    <row r="10" spans="1:57" x14ac:dyDescent="0.2">
      <c r="A10" s="13">
        <v>1</v>
      </c>
      <c r="B10" s="3">
        <v>13</v>
      </c>
      <c r="C10" s="17">
        <v>5</v>
      </c>
      <c r="D10" s="3">
        <v>4</v>
      </c>
      <c r="E10" s="18">
        <v>10</v>
      </c>
      <c r="F10" s="18">
        <v>12</v>
      </c>
      <c r="G10" s="18">
        <v>78</v>
      </c>
      <c r="H10" s="19">
        <v>2</v>
      </c>
      <c r="I10" s="18"/>
      <c r="J10" s="18"/>
      <c r="K10" s="20">
        <v>133</v>
      </c>
      <c r="L10" s="18">
        <v>292</v>
      </c>
      <c r="M10" s="18">
        <v>257</v>
      </c>
      <c r="N10" s="18">
        <v>302</v>
      </c>
      <c r="O10" s="18">
        <v>75</v>
      </c>
      <c r="P10" s="18">
        <v>242</v>
      </c>
      <c r="Q10" s="17">
        <v>2</v>
      </c>
      <c r="R10" s="17">
        <v>2</v>
      </c>
      <c r="S10" s="17">
        <v>0</v>
      </c>
      <c r="T10" s="17">
        <v>1</v>
      </c>
      <c r="U10" s="17">
        <v>2</v>
      </c>
      <c r="V10" s="3">
        <v>8</v>
      </c>
      <c r="W10" s="20">
        <v>60</v>
      </c>
      <c r="X10" s="3">
        <v>8</v>
      </c>
      <c r="Y10" s="3">
        <v>3</v>
      </c>
      <c r="Z10" s="3">
        <v>0</v>
      </c>
      <c r="AA10" s="20">
        <v>840</v>
      </c>
      <c r="AB10" s="3"/>
      <c r="AC10" s="3"/>
      <c r="AD10" s="20"/>
      <c r="AE10" s="3"/>
      <c r="AF10" s="3"/>
      <c r="AG10" s="20"/>
      <c r="AH10" s="96"/>
      <c r="AI10" s="96"/>
      <c r="AJ10" s="96"/>
      <c r="AK10" s="96"/>
      <c r="AL10" s="97"/>
      <c r="AN10" s="67">
        <f>N10-AY10</f>
        <v>-4.0657767477746347</v>
      </c>
      <c r="AO10" s="67">
        <f>O10-AZ10</f>
        <v>-0.51037375357627468</v>
      </c>
      <c r="AP10" s="67">
        <f>P10-BA10</f>
        <v>-2.2667797319293186</v>
      </c>
      <c r="AY10" s="67">
        <f t="shared" ref="AY10:AY40" si="0">10*(BE10-BD10*((L10/10)-(M10/10))*0.00066*(1+(0.00115*(M10/10))))</f>
        <v>306.06577674777463</v>
      </c>
      <c r="AZ10" s="67">
        <f t="shared" ref="AZ10:AZ40" si="1">((AY10/10)*100)/BC10</f>
        <v>75.510373753576275</v>
      </c>
      <c r="BA10" s="67">
        <f>(243.5*LN((AY10/10)/6.112))/(17.67-LN((AY10/10)/6.112))*10</f>
        <v>244.26677973192932</v>
      </c>
      <c r="BC10">
        <f>6.112*2.718^((17.67*(L10/10))/((L10/10)+243.5))</f>
        <v>40.532944221227474</v>
      </c>
      <c r="BD10">
        <v>1013.2</v>
      </c>
      <c r="BE10">
        <f>6.112*2.718^((17.67*(M10/10))/((M10/10)+243.5))</f>
        <v>33.016242915837466</v>
      </c>
    </row>
    <row r="11" spans="1:57" x14ac:dyDescent="0.2">
      <c r="A11" s="13">
        <v>2</v>
      </c>
      <c r="B11" s="3">
        <v>13</v>
      </c>
      <c r="C11" s="17">
        <v>2</v>
      </c>
      <c r="D11" s="3">
        <v>4</v>
      </c>
      <c r="E11" s="18">
        <v>12</v>
      </c>
      <c r="F11" s="18">
        <v>14</v>
      </c>
      <c r="G11" s="18">
        <v>75</v>
      </c>
      <c r="H11" s="19">
        <v>2</v>
      </c>
      <c r="I11" s="18"/>
      <c r="J11" s="18"/>
      <c r="K11" s="20">
        <v>132</v>
      </c>
      <c r="L11" s="18">
        <v>291</v>
      </c>
      <c r="M11" s="18">
        <v>259</v>
      </c>
      <c r="N11" s="18">
        <v>310</v>
      </c>
      <c r="O11" s="18">
        <v>77</v>
      </c>
      <c r="P11" s="18">
        <v>246</v>
      </c>
      <c r="Q11" s="17">
        <v>2</v>
      </c>
      <c r="R11" s="17">
        <v>8</v>
      </c>
      <c r="S11" s="17">
        <v>0</v>
      </c>
      <c r="T11" s="17">
        <v>0</v>
      </c>
      <c r="U11" s="17">
        <v>1</v>
      </c>
      <c r="V11" s="3">
        <v>8</v>
      </c>
      <c r="W11" s="20">
        <v>60</v>
      </c>
      <c r="X11" s="3">
        <v>8</v>
      </c>
      <c r="Y11" s="3"/>
      <c r="Z11" s="3"/>
      <c r="AA11" s="20"/>
      <c r="AB11" s="3"/>
      <c r="AC11" s="3"/>
      <c r="AD11" s="20"/>
      <c r="AE11" s="3"/>
      <c r="AF11" s="3"/>
      <c r="AG11" s="20"/>
      <c r="AH11" s="107"/>
      <c r="AI11" s="107"/>
      <c r="AJ11" s="107"/>
      <c r="AK11" s="107"/>
      <c r="AL11" s="108"/>
      <c r="AN11" s="67">
        <f t="shared" ref="AN11:AP39" si="2">N11-AY11</f>
        <v>-2.0668098911436346</v>
      </c>
      <c r="AO11" s="67">
        <f t="shared" si="2"/>
        <v>-0.43777090461441048</v>
      </c>
      <c r="AP11" s="67">
        <f t="shared" si="2"/>
        <v>-1.5102495492638468</v>
      </c>
      <c r="AY11" s="67">
        <f t="shared" si="0"/>
        <v>312.06680989114363</v>
      </c>
      <c r="AZ11" s="67">
        <f t="shared" si="1"/>
        <v>77.43777090461441</v>
      </c>
      <c r="BA11" s="67">
        <f t="shared" ref="BA11:BA40" si="3">(243.5*LN((AY11/10)/6.112))/(17.67-LN((AY11/10)/6.112))*10</f>
        <v>247.51024954926385</v>
      </c>
      <c r="BC11">
        <f t="shared" ref="BC11:BC40" si="4">6.112*2.718^((17.67*(L11/10))/((L11/10)+243.5))</f>
        <v>40.299043508824454</v>
      </c>
      <c r="BD11">
        <v>1013.2</v>
      </c>
      <c r="BE11">
        <f t="shared" ref="BE11:BE40" si="5">6.112*2.718^((17.67*(M11/10))/((M11/10)+243.5))</f>
        <v>33.410295667258367</v>
      </c>
    </row>
    <row r="12" spans="1:57" x14ac:dyDescent="0.2">
      <c r="A12" s="13">
        <v>3</v>
      </c>
      <c r="B12" s="3">
        <v>13</v>
      </c>
      <c r="C12" s="17">
        <v>2</v>
      </c>
      <c r="D12" s="3">
        <v>4</v>
      </c>
      <c r="E12" s="18">
        <v>11</v>
      </c>
      <c r="F12" s="18">
        <v>14</v>
      </c>
      <c r="G12" s="18">
        <v>74</v>
      </c>
      <c r="H12" s="19">
        <v>1</v>
      </c>
      <c r="I12" s="18">
        <v>5</v>
      </c>
      <c r="J12" s="18">
        <v>0</v>
      </c>
      <c r="K12" s="20">
        <v>133</v>
      </c>
      <c r="L12" s="18">
        <v>295</v>
      </c>
      <c r="M12" s="18">
        <v>254</v>
      </c>
      <c r="N12" s="18">
        <v>291</v>
      </c>
      <c r="O12" s="18">
        <v>71</v>
      </c>
      <c r="P12" s="18">
        <v>236</v>
      </c>
      <c r="Q12" s="17">
        <v>1</v>
      </c>
      <c r="R12" s="17">
        <v>1</v>
      </c>
      <c r="S12" s="17">
        <v>0</v>
      </c>
      <c r="T12" s="17">
        <v>1</v>
      </c>
      <c r="U12" s="17">
        <v>1</v>
      </c>
      <c r="V12" s="3">
        <v>8</v>
      </c>
      <c r="W12" s="20">
        <v>66</v>
      </c>
      <c r="X12" s="3">
        <v>8</v>
      </c>
      <c r="Y12" s="3"/>
      <c r="Z12" s="3"/>
      <c r="AA12" s="20"/>
      <c r="AB12" s="3"/>
      <c r="AC12" s="3"/>
      <c r="AD12" s="20"/>
      <c r="AE12" s="3"/>
      <c r="AF12" s="3"/>
      <c r="AG12" s="20"/>
      <c r="AH12" s="107" t="s">
        <v>85</v>
      </c>
      <c r="AI12" s="107"/>
      <c r="AJ12" s="107"/>
      <c r="AK12" s="107"/>
      <c r="AL12" s="108"/>
      <c r="AN12" s="67">
        <f t="shared" si="2"/>
        <v>-5.1098278713605509</v>
      </c>
      <c r="AO12" s="67">
        <f t="shared" si="2"/>
        <v>-0.79851810515773991</v>
      </c>
      <c r="AP12" s="67">
        <f t="shared" si="2"/>
        <v>-2.760832136260376</v>
      </c>
      <c r="AY12" s="67">
        <f t="shared" si="0"/>
        <v>296.10982787136055</v>
      </c>
      <c r="AZ12" s="67">
        <f t="shared" si="1"/>
        <v>71.79851810515774</v>
      </c>
      <c r="BA12" s="67">
        <f t="shared" si="3"/>
        <v>238.76083213626038</v>
      </c>
      <c r="BC12">
        <f t="shared" si="4"/>
        <v>41.241774299251048</v>
      </c>
      <c r="BD12">
        <v>1013.2</v>
      </c>
      <c r="BE12">
        <f t="shared" si="5"/>
        <v>32.432787604968055</v>
      </c>
    </row>
    <row r="13" spans="1:57" x14ac:dyDescent="0.2">
      <c r="A13" s="13">
        <v>4</v>
      </c>
      <c r="B13" s="3">
        <v>13</v>
      </c>
      <c r="C13" s="17">
        <v>5</v>
      </c>
      <c r="D13" s="3">
        <v>4</v>
      </c>
      <c r="E13" s="18">
        <v>11</v>
      </c>
      <c r="F13" s="18">
        <v>16</v>
      </c>
      <c r="G13" s="18">
        <v>75</v>
      </c>
      <c r="H13" s="19">
        <v>2</v>
      </c>
      <c r="I13" s="18"/>
      <c r="J13" s="18"/>
      <c r="K13" s="20">
        <v>136</v>
      </c>
      <c r="L13" s="18">
        <v>295</v>
      </c>
      <c r="M13" s="18">
        <v>253</v>
      </c>
      <c r="N13" s="18">
        <v>290</v>
      </c>
      <c r="O13" s="18">
        <v>70</v>
      </c>
      <c r="P13" s="18">
        <v>235</v>
      </c>
      <c r="Q13" s="17">
        <v>3</v>
      </c>
      <c r="R13" s="17">
        <v>2</v>
      </c>
      <c r="S13" s="17">
        <v>0</v>
      </c>
      <c r="T13" s="17">
        <v>8</v>
      </c>
      <c r="U13" s="17">
        <v>3</v>
      </c>
      <c r="V13" s="3">
        <v>8</v>
      </c>
      <c r="W13" s="20">
        <v>66</v>
      </c>
      <c r="X13" s="3">
        <v>8</v>
      </c>
      <c r="Y13" s="3">
        <v>3</v>
      </c>
      <c r="Z13" s="3">
        <v>2</v>
      </c>
      <c r="AA13" s="20">
        <v>780</v>
      </c>
      <c r="AB13" s="3"/>
      <c r="AC13" s="3"/>
      <c r="AD13" s="20"/>
      <c r="AE13" s="3"/>
      <c r="AF13" s="3"/>
      <c r="AG13" s="20"/>
      <c r="AH13" s="107"/>
      <c r="AI13" s="107"/>
      <c r="AJ13" s="107"/>
      <c r="AK13" s="107"/>
      <c r="AL13" s="108"/>
      <c r="AN13" s="67">
        <f t="shared" si="2"/>
        <v>-3.5001135295555059</v>
      </c>
      <c r="AO13" s="67">
        <f t="shared" si="2"/>
        <v>-1.1657338988166401</v>
      </c>
      <c r="AP13" s="67">
        <f t="shared" si="2"/>
        <v>-2.2907833012120875</v>
      </c>
      <c r="AY13" s="67">
        <f t="shared" si="0"/>
        <v>293.50011352955551</v>
      </c>
      <c r="AZ13" s="67">
        <f t="shared" si="1"/>
        <v>71.16573389881664</v>
      </c>
      <c r="BA13" s="67">
        <f t="shared" si="3"/>
        <v>237.29078330121209</v>
      </c>
      <c r="BC13">
        <f t="shared" si="4"/>
        <v>41.241774299251048</v>
      </c>
      <c r="BD13">
        <v>1013.2</v>
      </c>
      <c r="BE13">
        <f t="shared" si="5"/>
        <v>32.24031769064355</v>
      </c>
    </row>
    <row r="14" spans="1:57" x14ac:dyDescent="0.2">
      <c r="A14" s="13">
        <v>5</v>
      </c>
      <c r="B14" s="3">
        <v>13</v>
      </c>
      <c r="C14" s="17">
        <v>2</v>
      </c>
      <c r="D14" s="3">
        <v>4</v>
      </c>
      <c r="E14" s="18">
        <v>10</v>
      </c>
      <c r="F14" s="18">
        <v>14</v>
      </c>
      <c r="G14" s="18">
        <v>75</v>
      </c>
      <c r="H14" s="19">
        <v>2</v>
      </c>
      <c r="I14" s="18"/>
      <c r="J14" s="18"/>
      <c r="K14" s="20">
        <v>141</v>
      </c>
      <c r="L14" s="18">
        <v>295</v>
      </c>
      <c r="M14" s="18">
        <v>262</v>
      </c>
      <c r="N14" s="18">
        <v>311</v>
      </c>
      <c r="O14" s="18">
        <v>75</v>
      </c>
      <c r="P14" s="18">
        <v>247</v>
      </c>
      <c r="Q14" s="17">
        <v>2</v>
      </c>
      <c r="R14" s="17">
        <v>2</v>
      </c>
      <c r="S14" s="17">
        <v>0</v>
      </c>
      <c r="T14" s="17">
        <v>1</v>
      </c>
      <c r="U14" s="17">
        <v>2</v>
      </c>
      <c r="V14" s="3">
        <v>8</v>
      </c>
      <c r="W14" s="20">
        <v>75</v>
      </c>
      <c r="X14" s="3">
        <v>8</v>
      </c>
      <c r="Y14" s="3"/>
      <c r="Z14" s="3"/>
      <c r="AA14" s="20"/>
      <c r="AB14" s="3"/>
      <c r="AC14" s="3"/>
      <c r="AD14" s="20"/>
      <c r="AE14" s="3"/>
      <c r="AF14" s="3"/>
      <c r="AG14" s="20"/>
      <c r="AH14" s="107"/>
      <c r="AI14" s="107"/>
      <c r="AJ14" s="107"/>
      <c r="AK14" s="107"/>
      <c r="AL14" s="108"/>
      <c r="AN14" s="67">
        <f t="shared" si="2"/>
        <v>-6.3584949608310808</v>
      </c>
      <c r="AO14" s="67">
        <f t="shared" si="2"/>
        <v>-1.9507375357015917</v>
      </c>
      <c r="AP14" s="67">
        <f t="shared" si="2"/>
        <v>-3.3253429211128207</v>
      </c>
      <c r="AY14" s="67">
        <f t="shared" si="0"/>
        <v>317.35849496083108</v>
      </c>
      <c r="AZ14" s="67">
        <f t="shared" si="1"/>
        <v>76.950737535701592</v>
      </c>
      <c r="BA14" s="67">
        <f t="shared" si="3"/>
        <v>250.32534292111282</v>
      </c>
      <c r="BC14">
        <f t="shared" si="4"/>
        <v>41.241774299251048</v>
      </c>
      <c r="BD14">
        <v>1013.2</v>
      </c>
      <c r="BE14">
        <f t="shared" si="5"/>
        <v>34.009088461531107</v>
      </c>
    </row>
    <row r="15" spans="1:57" x14ac:dyDescent="0.2">
      <c r="A15" s="13">
        <v>6</v>
      </c>
      <c r="B15" s="3">
        <v>13</v>
      </c>
      <c r="C15" s="17">
        <v>1</v>
      </c>
      <c r="D15" s="3">
        <v>4</v>
      </c>
      <c r="E15" s="18">
        <v>12</v>
      </c>
      <c r="F15" s="18">
        <v>18</v>
      </c>
      <c r="G15" s="18">
        <v>78</v>
      </c>
      <c r="H15" s="19">
        <v>2</v>
      </c>
      <c r="I15" s="18"/>
      <c r="J15" s="18"/>
      <c r="K15" s="20">
        <v>136</v>
      </c>
      <c r="L15" s="18">
        <v>293</v>
      </c>
      <c r="M15" s="18">
        <v>258</v>
      </c>
      <c r="N15" s="18">
        <v>305</v>
      </c>
      <c r="O15" s="18">
        <v>75</v>
      </c>
      <c r="P15" s="18">
        <v>243</v>
      </c>
      <c r="Q15" s="17">
        <v>1</v>
      </c>
      <c r="R15" s="17">
        <v>2</v>
      </c>
      <c r="S15" s="17">
        <v>0</v>
      </c>
      <c r="T15" s="17">
        <v>0</v>
      </c>
      <c r="U15" s="17">
        <v>1</v>
      </c>
      <c r="V15" s="3">
        <v>8</v>
      </c>
      <c r="W15" s="20">
        <v>69</v>
      </c>
      <c r="X15" s="3">
        <v>8</v>
      </c>
      <c r="Y15" s="3"/>
      <c r="Z15" s="3"/>
      <c r="AA15" s="20"/>
      <c r="AB15" s="3"/>
      <c r="AC15" s="3"/>
      <c r="AD15" s="20"/>
      <c r="AE15" s="3"/>
      <c r="AF15" s="3"/>
      <c r="AG15" s="20"/>
      <c r="AH15" s="107"/>
      <c r="AI15" s="107"/>
      <c r="AJ15" s="107"/>
      <c r="AK15" s="107"/>
      <c r="AL15" s="108"/>
      <c r="AN15" s="67">
        <f t="shared" si="2"/>
        <v>-3.0282365499139132</v>
      </c>
      <c r="AO15" s="67">
        <f t="shared" si="2"/>
        <v>-0.55632194496534737</v>
      </c>
      <c r="AP15" s="67">
        <f t="shared" si="2"/>
        <v>-2.3335395908677015</v>
      </c>
      <c r="AY15" s="67">
        <f t="shared" si="0"/>
        <v>308.02823654991391</v>
      </c>
      <c r="AZ15" s="67">
        <f t="shared" si="1"/>
        <v>75.556321944965347</v>
      </c>
      <c r="BA15" s="67">
        <f t="shared" si="3"/>
        <v>245.3335395908677</v>
      </c>
      <c r="BC15">
        <f t="shared" si="4"/>
        <v>40.768029546790189</v>
      </c>
      <c r="BD15">
        <v>1013.2</v>
      </c>
      <c r="BE15">
        <f t="shared" si="5"/>
        <v>33.212758052631393</v>
      </c>
    </row>
    <row r="16" spans="1:57" x14ac:dyDescent="0.2">
      <c r="A16" s="13">
        <v>7</v>
      </c>
      <c r="B16" s="3">
        <v>13</v>
      </c>
      <c r="C16" s="17">
        <v>7</v>
      </c>
      <c r="D16" s="3">
        <v>4</v>
      </c>
      <c r="E16" s="18">
        <v>11</v>
      </c>
      <c r="F16" s="18">
        <v>15</v>
      </c>
      <c r="G16" s="18">
        <v>72</v>
      </c>
      <c r="H16" s="19">
        <v>1</v>
      </c>
      <c r="I16" s="18">
        <v>5</v>
      </c>
      <c r="J16" s="18">
        <v>22</v>
      </c>
      <c r="K16" s="20">
        <v>125</v>
      </c>
      <c r="L16" s="18">
        <v>292</v>
      </c>
      <c r="M16" s="18">
        <v>252</v>
      </c>
      <c r="N16" s="18">
        <v>288</v>
      </c>
      <c r="O16" s="18">
        <v>71</v>
      </c>
      <c r="P16" s="18">
        <v>234</v>
      </c>
      <c r="Q16" s="17">
        <v>1</v>
      </c>
      <c r="R16" s="17">
        <v>2</v>
      </c>
      <c r="S16" s="17">
        <v>0</v>
      </c>
      <c r="T16" s="17">
        <v>2</v>
      </c>
      <c r="U16" s="17">
        <v>1</v>
      </c>
      <c r="V16" s="3">
        <v>8</v>
      </c>
      <c r="W16" s="20">
        <v>63</v>
      </c>
      <c r="X16" s="3">
        <v>8</v>
      </c>
      <c r="Y16" s="3">
        <v>7</v>
      </c>
      <c r="Z16" s="3">
        <v>0</v>
      </c>
      <c r="AA16" s="20">
        <v>840</v>
      </c>
      <c r="AB16" s="3"/>
      <c r="AC16" s="3"/>
      <c r="AD16" s="20"/>
      <c r="AE16" s="3"/>
      <c r="AF16" s="3"/>
      <c r="AG16" s="20"/>
      <c r="AH16" s="107" t="s">
        <v>85</v>
      </c>
      <c r="AI16" s="107"/>
      <c r="AJ16" s="107"/>
      <c r="AK16" s="107"/>
      <c r="AL16" s="108"/>
      <c r="AN16" s="67">
        <f t="shared" si="2"/>
        <v>-4.9648289316659202</v>
      </c>
      <c r="AO16" s="67">
        <f t="shared" si="2"/>
        <v>-1.2782009943993984</v>
      </c>
      <c r="AP16" s="67">
        <f t="shared" si="2"/>
        <v>-2.9878440941934912</v>
      </c>
      <c r="AY16" s="67">
        <f t="shared" si="0"/>
        <v>292.96482893166592</v>
      </c>
      <c r="AZ16" s="67">
        <f t="shared" si="1"/>
        <v>72.278200994399398</v>
      </c>
      <c r="BA16" s="67">
        <f t="shared" si="3"/>
        <v>236.98784409419349</v>
      </c>
      <c r="BC16">
        <f t="shared" si="4"/>
        <v>40.532944221227474</v>
      </c>
      <c r="BD16">
        <v>1013.2</v>
      </c>
      <c r="BE16">
        <f t="shared" si="5"/>
        <v>32.048847988206589</v>
      </c>
    </row>
    <row r="17" spans="1:57" x14ac:dyDescent="0.2">
      <c r="A17" s="13">
        <v>8</v>
      </c>
      <c r="B17" s="3">
        <v>13</v>
      </c>
      <c r="C17" s="17">
        <v>1</v>
      </c>
      <c r="D17" s="3">
        <v>4</v>
      </c>
      <c r="E17" s="18">
        <v>12</v>
      </c>
      <c r="F17" s="18">
        <v>15</v>
      </c>
      <c r="G17" s="18">
        <v>75</v>
      </c>
      <c r="H17" s="19">
        <v>2</v>
      </c>
      <c r="I17" s="18"/>
      <c r="J17" s="18"/>
      <c r="K17" s="20">
        <v>124</v>
      </c>
      <c r="L17" s="18">
        <v>294</v>
      </c>
      <c r="M17" s="18">
        <v>252</v>
      </c>
      <c r="N17" s="18">
        <v>287</v>
      </c>
      <c r="O17" s="18">
        <v>71</v>
      </c>
      <c r="P17" s="18">
        <v>234</v>
      </c>
      <c r="Q17" s="17">
        <v>1</v>
      </c>
      <c r="R17" s="17">
        <v>2</v>
      </c>
      <c r="S17" s="17">
        <v>0</v>
      </c>
      <c r="T17" s="17">
        <v>0</v>
      </c>
      <c r="U17" s="17">
        <v>1</v>
      </c>
      <c r="V17" s="3">
        <v>8</v>
      </c>
      <c r="W17" s="20">
        <f>24*3</f>
        <v>72</v>
      </c>
      <c r="X17" s="3">
        <v>8</v>
      </c>
      <c r="Y17" s="3"/>
      <c r="Z17" s="3"/>
      <c r="AA17" s="20"/>
      <c r="AB17" s="3"/>
      <c r="AC17" s="3"/>
      <c r="AD17" s="20"/>
      <c r="AE17" s="3"/>
      <c r="AF17" s="3"/>
      <c r="AG17" s="20"/>
      <c r="AH17" s="107"/>
      <c r="AI17" s="107"/>
      <c r="AJ17" s="107"/>
      <c r="AK17" s="107"/>
      <c r="AL17" s="108"/>
      <c r="AN17" s="67">
        <f t="shared" si="2"/>
        <v>-4.5886463841458749</v>
      </c>
      <c r="AO17" s="67">
        <f t="shared" si="2"/>
        <v>-0.11171610098091378</v>
      </c>
      <c r="AP17" s="67">
        <f t="shared" si="2"/>
        <v>-2.2067756942090568</v>
      </c>
      <c r="AY17" s="67">
        <f t="shared" si="0"/>
        <v>291.58864638414587</v>
      </c>
      <c r="AZ17" s="67">
        <f t="shared" si="1"/>
        <v>71.111716100980914</v>
      </c>
      <c r="BA17" s="67">
        <f t="shared" si="3"/>
        <v>236.20677569420906</v>
      </c>
      <c r="BC17">
        <f t="shared" si="4"/>
        <v>41.004304546677048</v>
      </c>
      <c r="BD17">
        <v>1013.2</v>
      </c>
      <c r="BE17">
        <f t="shared" si="5"/>
        <v>32.048847988206589</v>
      </c>
    </row>
    <row r="18" spans="1:57" x14ac:dyDescent="0.2">
      <c r="A18" s="13">
        <v>9</v>
      </c>
      <c r="B18" s="3">
        <v>13</v>
      </c>
      <c r="C18" s="17">
        <v>7</v>
      </c>
      <c r="D18" s="3">
        <v>4</v>
      </c>
      <c r="E18" s="18">
        <v>12</v>
      </c>
      <c r="F18" s="18">
        <v>18</v>
      </c>
      <c r="G18" s="18">
        <v>76</v>
      </c>
      <c r="H18" s="19">
        <v>2</v>
      </c>
      <c r="I18" s="18"/>
      <c r="J18" s="18"/>
      <c r="K18" s="20">
        <v>130</v>
      </c>
      <c r="L18" s="18">
        <v>295</v>
      </c>
      <c r="M18" s="18">
        <v>255</v>
      </c>
      <c r="N18" s="18">
        <v>294</v>
      </c>
      <c r="O18" s="18">
        <v>71</v>
      </c>
      <c r="P18" s="18">
        <v>237</v>
      </c>
      <c r="Q18" s="17">
        <v>2</v>
      </c>
      <c r="R18" s="17">
        <v>2</v>
      </c>
      <c r="S18" s="17">
        <v>0</v>
      </c>
      <c r="T18" s="17">
        <v>1</v>
      </c>
      <c r="U18" s="17">
        <v>2</v>
      </c>
      <c r="V18" s="3">
        <v>8</v>
      </c>
      <c r="W18" s="20">
        <v>72</v>
      </c>
      <c r="X18" s="3">
        <v>8</v>
      </c>
      <c r="Y18" s="3">
        <v>7</v>
      </c>
      <c r="Z18" s="3">
        <v>0</v>
      </c>
      <c r="AA18" s="20">
        <v>900</v>
      </c>
      <c r="AB18" s="3"/>
      <c r="AC18" s="3"/>
      <c r="AD18" s="20"/>
      <c r="AE18" s="3"/>
      <c r="AF18" s="3"/>
      <c r="AG18" s="20"/>
      <c r="AH18" s="107"/>
      <c r="AI18" s="107"/>
      <c r="AJ18" s="107"/>
      <c r="AK18" s="107"/>
      <c r="AL18" s="108"/>
      <c r="AN18" s="67">
        <f t="shared" si="2"/>
        <v>-4.7297423541403987</v>
      </c>
      <c r="AO18" s="67">
        <f t="shared" si="2"/>
        <v>-1.4337755661412785</v>
      </c>
      <c r="AP18" s="67">
        <f t="shared" si="2"/>
        <v>-3.2252582565346302</v>
      </c>
      <c r="AY18" s="67">
        <f t="shared" si="0"/>
        <v>298.7297423541404</v>
      </c>
      <c r="AZ18" s="67">
        <f t="shared" si="1"/>
        <v>72.433775566141279</v>
      </c>
      <c r="BA18" s="67">
        <f t="shared" si="3"/>
        <v>240.22525825653463</v>
      </c>
      <c r="BC18">
        <f t="shared" si="4"/>
        <v>41.241774299251048</v>
      </c>
      <c r="BD18">
        <v>1013.2</v>
      </c>
      <c r="BE18">
        <f t="shared" si="5"/>
        <v>32.626262153014039</v>
      </c>
    </row>
    <row r="19" spans="1:57" x14ac:dyDescent="0.2">
      <c r="A19" s="13">
        <v>10</v>
      </c>
      <c r="B19" s="3">
        <v>13</v>
      </c>
      <c r="C19" s="17">
        <v>7</v>
      </c>
      <c r="D19" s="3">
        <v>4</v>
      </c>
      <c r="E19" s="18">
        <v>11</v>
      </c>
      <c r="F19" s="18">
        <v>16</v>
      </c>
      <c r="G19" s="18">
        <v>70</v>
      </c>
      <c r="H19" s="19">
        <v>1</v>
      </c>
      <c r="I19" s="18">
        <v>5</v>
      </c>
      <c r="J19" s="18">
        <v>22</v>
      </c>
      <c r="K19" s="20">
        <v>106</v>
      </c>
      <c r="L19" s="18">
        <v>298</v>
      </c>
      <c r="M19" s="18">
        <v>260</v>
      </c>
      <c r="N19" s="18">
        <v>308</v>
      </c>
      <c r="O19" s="18">
        <v>74</v>
      </c>
      <c r="P19" s="18">
        <v>244</v>
      </c>
      <c r="Q19" s="17">
        <v>2</v>
      </c>
      <c r="R19" s="17">
        <v>2</v>
      </c>
      <c r="S19" s="17">
        <v>0</v>
      </c>
      <c r="T19" s="17">
        <v>8</v>
      </c>
      <c r="U19" s="17">
        <v>2</v>
      </c>
      <c r="V19" s="3">
        <v>8</v>
      </c>
      <c r="W19" s="20">
        <f>24*3</f>
        <v>72</v>
      </c>
      <c r="X19" s="17">
        <v>8</v>
      </c>
      <c r="Y19" s="3"/>
      <c r="Z19" s="3"/>
      <c r="AA19" s="20"/>
      <c r="AB19" s="3"/>
      <c r="AC19" s="3"/>
      <c r="AD19" s="20"/>
      <c r="AE19" s="3"/>
      <c r="AF19" s="3"/>
      <c r="AG19" s="20"/>
      <c r="AH19" s="107" t="s">
        <v>85</v>
      </c>
      <c r="AI19" s="107"/>
      <c r="AJ19" s="107"/>
      <c r="AK19" s="107"/>
      <c r="AL19" s="108"/>
      <c r="AN19" s="67">
        <f t="shared" si="2"/>
        <v>-1.9177560269644118</v>
      </c>
      <c r="AO19" s="67">
        <f t="shared" si="2"/>
        <v>0.14218471831053137</v>
      </c>
      <c r="AP19" s="67">
        <f t="shared" si="2"/>
        <v>-2.3550430726578782</v>
      </c>
      <c r="AY19" s="67">
        <f t="shared" si="0"/>
        <v>309.91775602696441</v>
      </c>
      <c r="AZ19" s="67">
        <f t="shared" si="1"/>
        <v>73.857815281689469</v>
      </c>
      <c r="BA19" s="67">
        <f t="shared" si="3"/>
        <v>246.35504307265788</v>
      </c>
      <c r="BC19">
        <f t="shared" si="4"/>
        <v>41.961403115561424</v>
      </c>
      <c r="BD19">
        <v>1013.2</v>
      </c>
      <c r="BE19">
        <f t="shared" si="5"/>
        <v>33.608860260136439</v>
      </c>
    </row>
    <row r="20" spans="1:57" x14ac:dyDescent="0.2">
      <c r="A20" s="13">
        <v>11</v>
      </c>
      <c r="B20" s="3">
        <v>13</v>
      </c>
      <c r="C20" s="17">
        <v>6</v>
      </c>
      <c r="D20" s="3">
        <v>4</v>
      </c>
      <c r="E20" s="18">
        <v>12</v>
      </c>
      <c r="F20" s="18">
        <v>10</v>
      </c>
      <c r="G20" s="18">
        <v>68</v>
      </c>
      <c r="H20" s="19">
        <v>1</v>
      </c>
      <c r="I20" s="18">
        <v>80</v>
      </c>
      <c r="J20" s="18">
        <v>11</v>
      </c>
      <c r="K20" s="20">
        <v>102</v>
      </c>
      <c r="L20" s="18">
        <v>276</v>
      </c>
      <c r="M20" s="18">
        <v>245</v>
      </c>
      <c r="N20" s="18">
        <v>283</v>
      </c>
      <c r="O20" s="18">
        <v>76</v>
      </c>
      <c r="P20" s="18">
        <v>231</v>
      </c>
      <c r="Q20" s="17">
        <v>4</v>
      </c>
      <c r="R20" s="17">
        <v>2</v>
      </c>
      <c r="S20" s="17">
        <v>0</v>
      </c>
      <c r="T20" s="17">
        <v>2</v>
      </c>
      <c r="U20" s="17">
        <v>4</v>
      </c>
      <c r="V20" s="3">
        <v>8</v>
      </c>
      <c r="W20" s="20">
        <v>57</v>
      </c>
      <c r="X20" s="17">
        <v>8</v>
      </c>
      <c r="Y20" s="17">
        <v>5</v>
      </c>
      <c r="Z20" s="17">
        <v>0</v>
      </c>
      <c r="AA20" s="20">
        <v>840</v>
      </c>
      <c r="AB20" s="3"/>
      <c r="AC20" s="3"/>
      <c r="AD20" s="20"/>
      <c r="AE20" s="3"/>
      <c r="AF20" s="3"/>
      <c r="AG20" s="20"/>
      <c r="AH20" s="107" t="s">
        <v>85</v>
      </c>
      <c r="AI20" s="107"/>
      <c r="AJ20" s="107"/>
      <c r="AK20" s="107"/>
      <c r="AL20" s="108"/>
      <c r="AN20" s="67">
        <f t="shared" si="2"/>
        <v>-3.047836580670662</v>
      </c>
      <c r="AO20" s="67">
        <f t="shared" si="2"/>
        <v>-1.4582405012611019</v>
      </c>
      <c r="AP20" s="67">
        <f t="shared" si="2"/>
        <v>-2.0289909147763296</v>
      </c>
      <c r="AY20" s="67">
        <f t="shared" si="0"/>
        <v>286.04783658067066</v>
      </c>
      <c r="AZ20" s="67">
        <f t="shared" si="1"/>
        <v>77.458240501261102</v>
      </c>
      <c r="BA20" s="67">
        <f t="shared" si="3"/>
        <v>233.02899091477633</v>
      </c>
      <c r="BC20">
        <f t="shared" si="4"/>
        <v>36.929296964344744</v>
      </c>
      <c r="BD20">
        <v>1013.2</v>
      </c>
      <c r="BE20">
        <f t="shared" si="5"/>
        <v>30.736197835927069</v>
      </c>
    </row>
    <row r="21" spans="1:57" x14ac:dyDescent="0.2">
      <c r="A21" s="13">
        <v>12</v>
      </c>
      <c r="B21" s="3">
        <v>13</v>
      </c>
      <c r="C21" s="17">
        <v>7</v>
      </c>
      <c r="D21" s="3">
        <v>4</v>
      </c>
      <c r="E21" s="18">
        <v>12</v>
      </c>
      <c r="F21" s="18">
        <v>13</v>
      </c>
      <c r="G21" s="18">
        <v>75</v>
      </c>
      <c r="H21" s="19">
        <v>2</v>
      </c>
      <c r="I21" s="18"/>
      <c r="J21" s="18"/>
      <c r="K21" s="20">
        <v>117</v>
      </c>
      <c r="L21" s="18">
        <v>294</v>
      </c>
      <c r="M21" s="18">
        <v>247</v>
      </c>
      <c r="N21" s="18">
        <v>274</v>
      </c>
      <c r="O21" s="18">
        <v>67</v>
      </c>
      <c r="P21" s="18">
        <v>225</v>
      </c>
      <c r="Q21" s="17">
        <v>7</v>
      </c>
      <c r="R21" s="17">
        <v>8</v>
      </c>
      <c r="S21" s="17">
        <v>0</v>
      </c>
      <c r="T21" s="17">
        <v>2</v>
      </c>
      <c r="U21" s="17">
        <v>4</v>
      </c>
      <c r="V21" s="3">
        <v>8</v>
      </c>
      <c r="W21" s="20">
        <v>60</v>
      </c>
      <c r="X21" s="17">
        <v>8</v>
      </c>
      <c r="Y21" s="17">
        <v>4</v>
      </c>
      <c r="Z21" s="17">
        <v>6</v>
      </c>
      <c r="AA21" s="20">
        <f>45*3</f>
        <v>135</v>
      </c>
      <c r="AB21" s="17">
        <v>5</v>
      </c>
      <c r="AC21" s="17">
        <v>0</v>
      </c>
      <c r="AD21" s="20">
        <v>840</v>
      </c>
      <c r="AE21" s="3"/>
      <c r="AF21" s="3"/>
      <c r="AG21" s="20"/>
      <c r="AH21" s="107"/>
      <c r="AI21" s="107"/>
      <c r="AJ21" s="107"/>
      <c r="AK21" s="107"/>
      <c r="AL21" s="108"/>
      <c r="AN21" s="67">
        <f t="shared" si="2"/>
        <v>-4.7412718740702076</v>
      </c>
      <c r="AO21" s="67">
        <f t="shared" si="2"/>
        <v>-0.97853907185925948</v>
      </c>
      <c r="AP21" s="67">
        <f t="shared" si="2"/>
        <v>-3.7550308558834615</v>
      </c>
      <c r="AY21" s="67">
        <f t="shared" si="0"/>
        <v>278.74127187407021</v>
      </c>
      <c r="AZ21" s="67">
        <f t="shared" si="1"/>
        <v>67.978539071859259</v>
      </c>
      <c r="BA21" s="67">
        <f t="shared" si="3"/>
        <v>228.75503085588346</v>
      </c>
      <c r="BC21">
        <f t="shared" si="4"/>
        <v>41.004304546677048</v>
      </c>
      <c r="BD21">
        <v>1013.2</v>
      </c>
      <c r="BE21">
        <f t="shared" si="5"/>
        <v>31.106348979899021</v>
      </c>
    </row>
    <row r="22" spans="1:57" x14ac:dyDescent="0.2">
      <c r="A22" s="13">
        <v>13</v>
      </c>
      <c r="B22" s="3">
        <v>13</v>
      </c>
      <c r="C22" s="17">
        <v>3</v>
      </c>
      <c r="D22" s="3">
        <v>4</v>
      </c>
      <c r="E22" s="18">
        <v>8</v>
      </c>
      <c r="F22" s="18">
        <v>16</v>
      </c>
      <c r="G22" s="18">
        <v>80</v>
      </c>
      <c r="H22" s="19">
        <v>2</v>
      </c>
      <c r="I22" s="18"/>
      <c r="J22" s="18"/>
      <c r="K22" s="20">
        <v>130</v>
      </c>
      <c r="L22" s="18">
        <v>320</v>
      </c>
      <c r="M22" s="18">
        <v>250</v>
      </c>
      <c r="N22" s="69">
        <v>262</v>
      </c>
      <c r="O22" s="18">
        <v>55</v>
      </c>
      <c r="P22" s="18">
        <v>218</v>
      </c>
      <c r="Q22" s="17">
        <v>2</v>
      </c>
      <c r="R22" s="17">
        <v>8</v>
      </c>
      <c r="S22" s="17">
        <v>0</v>
      </c>
      <c r="T22" s="17">
        <v>2</v>
      </c>
      <c r="U22" s="17">
        <v>1</v>
      </c>
      <c r="V22" s="3">
        <v>8</v>
      </c>
      <c r="W22" s="20">
        <v>69</v>
      </c>
      <c r="X22" s="17">
        <v>8</v>
      </c>
      <c r="Y22" s="3"/>
      <c r="Z22" s="3"/>
      <c r="AA22" s="20"/>
      <c r="AB22" s="3"/>
      <c r="AC22" s="3"/>
      <c r="AD22" s="20"/>
      <c r="AE22" s="3"/>
      <c r="AF22" s="3"/>
      <c r="AG22" s="20"/>
      <c r="AH22" s="107"/>
      <c r="AI22" s="107"/>
      <c r="AJ22" s="107"/>
      <c r="AK22" s="107"/>
      <c r="AL22" s="108"/>
      <c r="AN22" s="67">
        <f t="shared" si="2"/>
        <v>-6.5332931961599456</v>
      </c>
      <c r="AO22" s="67">
        <f t="shared" si="2"/>
        <v>-1.4358702860439863</v>
      </c>
      <c r="AP22" s="67">
        <f t="shared" si="2"/>
        <v>-4.6164789244689359</v>
      </c>
      <c r="AY22" s="67">
        <f t="shared" si="0"/>
        <v>268.53329319615995</v>
      </c>
      <c r="AZ22" s="67">
        <f t="shared" si="1"/>
        <v>56.435870286043986</v>
      </c>
      <c r="BA22" s="67">
        <f t="shared" si="3"/>
        <v>222.61647892446894</v>
      </c>
      <c r="BC22">
        <f t="shared" si="4"/>
        <v>47.582023956590866</v>
      </c>
      <c r="BD22">
        <v>1013.2</v>
      </c>
      <c r="BE22">
        <f t="shared" si="5"/>
        <v>31.668891609615997</v>
      </c>
    </row>
    <row r="23" spans="1:57" x14ac:dyDescent="0.2">
      <c r="A23" s="13">
        <v>14</v>
      </c>
      <c r="B23" s="3">
        <v>13</v>
      </c>
      <c r="C23" s="17">
        <v>7</v>
      </c>
      <c r="D23" s="3">
        <v>4</v>
      </c>
      <c r="E23" s="18">
        <v>12</v>
      </c>
      <c r="F23" s="18">
        <v>13</v>
      </c>
      <c r="G23" s="18">
        <v>80</v>
      </c>
      <c r="H23" s="19">
        <v>2</v>
      </c>
      <c r="I23" s="18"/>
      <c r="J23" s="18"/>
      <c r="K23" s="20">
        <v>123</v>
      </c>
      <c r="L23" s="18">
        <v>292</v>
      </c>
      <c r="M23" s="18">
        <v>247</v>
      </c>
      <c r="N23" s="18">
        <v>275</v>
      </c>
      <c r="O23" s="18">
        <v>68</v>
      </c>
      <c r="P23" s="18">
        <v>226</v>
      </c>
      <c r="Q23" s="17">
        <v>2</v>
      </c>
      <c r="R23" s="17">
        <v>2</v>
      </c>
      <c r="S23" s="17">
        <v>0</v>
      </c>
      <c r="T23" s="17">
        <v>8</v>
      </c>
      <c r="U23" s="17">
        <v>2</v>
      </c>
      <c r="V23" s="3">
        <v>8</v>
      </c>
      <c r="W23" s="20">
        <v>66</v>
      </c>
      <c r="X23" s="17">
        <v>8</v>
      </c>
      <c r="Y23" s="17">
        <v>6</v>
      </c>
      <c r="Z23" s="17">
        <v>0</v>
      </c>
      <c r="AA23" s="20">
        <v>900</v>
      </c>
      <c r="AB23" s="3"/>
      <c r="AC23" s="3"/>
      <c r="AD23" s="20"/>
      <c r="AE23" s="3"/>
      <c r="AF23" s="3"/>
      <c r="AG23" s="20"/>
      <c r="AH23" s="107"/>
      <c r="AI23" s="107"/>
      <c r="AJ23" s="107"/>
      <c r="AK23" s="107"/>
      <c r="AL23" s="108"/>
      <c r="AN23" s="67">
        <f t="shared" si="2"/>
        <v>-5.1166854027902104</v>
      </c>
      <c r="AO23" s="67">
        <f t="shared" si="2"/>
        <v>-1.1083983127212633</v>
      </c>
      <c r="AP23" s="67">
        <f t="shared" si="2"/>
        <v>-3.5670161069949984</v>
      </c>
      <c r="AY23" s="67">
        <f t="shared" si="0"/>
        <v>280.11668540279021</v>
      </c>
      <c r="AZ23" s="67">
        <f t="shared" si="1"/>
        <v>69.108398312721263</v>
      </c>
      <c r="BA23" s="67">
        <f t="shared" si="3"/>
        <v>229.567016106995</v>
      </c>
      <c r="BC23">
        <f t="shared" si="4"/>
        <v>40.532944221227474</v>
      </c>
      <c r="BD23">
        <v>1013.2</v>
      </c>
      <c r="BE23">
        <f t="shared" si="5"/>
        <v>31.106348979899021</v>
      </c>
    </row>
    <row r="24" spans="1:57" x14ac:dyDescent="0.2">
      <c r="A24" s="13">
        <v>15</v>
      </c>
      <c r="B24" s="3">
        <v>13</v>
      </c>
      <c r="C24" s="17">
        <v>5</v>
      </c>
      <c r="D24" s="3">
        <v>4</v>
      </c>
      <c r="E24" s="18">
        <v>13</v>
      </c>
      <c r="F24" s="18">
        <v>14</v>
      </c>
      <c r="G24" s="18">
        <v>75</v>
      </c>
      <c r="H24" s="19">
        <v>2</v>
      </c>
      <c r="I24" s="18"/>
      <c r="J24" s="18"/>
      <c r="K24" s="20">
        <v>117</v>
      </c>
      <c r="L24" s="18">
        <v>293</v>
      </c>
      <c r="M24" s="18">
        <v>250</v>
      </c>
      <c r="N24" s="18">
        <v>283</v>
      </c>
      <c r="O24" s="18">
        <v>69</v>
      </c>
      <c r="P24" s="18">
        <v>231</v>
      </c>
      <c r="Q24" s="17">
        <v>4</v>
      </c>
      <c r="R24" s="17">
        <v>2</v>
      </c>
      <c r="S24" s="17">
        <v>0</v>
      </c>
      <c r="T24" s="17">
        <v>1</v>
      </c>
      <c r="U24" s="17">
        <v>4</v>
      </c>
      <c r="V24" s="3">
        <v>8</v>
      </c>
      <c r="W24" s="20">
        <v>66</v>
      </c>
      <c r="X24" s="17">
        <v>8</v>
      </c>
      <c r="Y24" s="3"/>
      <c r="Z24" s="3"/>
      <c r="AA24" s="20"/>
      <c r="AB24" s="3"/>
      <c r="AC24" s="3"/>
      <c r="AD24" s="20"/>
      <c r="AE24" s="3"/>
      <c r="AF24" s="3"/>
      <c r="AG24" s="20"/>
      <c r="AH24" s="107"/>
      <c r="AI24" s="107"/>
      <c r="AJ24" s="107"/>
      <c r="AK24" s="107"/>
      <c r="AL24" s="108"/>
      <c r="AN24" s="67">
        <f t="shared" si="2"/>
        <v>-4.1076048861599475</v>
      </c>
      <c r="AO24" s="67">
        <f t="shared" si="2"/>
        <v>-1.4246950558749774</v>
      </c>
      <c r="AP24" s="67">
        <f t="shared" si="2"/>
        <v>-2.640938423295637</v>
      </c>
      <c r="AY24" s="67">
        <f t="shared" si="0"/>
        <v>287.10760488615995</v>
      </c>
      <c r="AZ24" s="67">
        <f t="shared" si="1"/>
        <v>70.424695055874977</v>
      </c>
      <c r="BA24" s="67">
        <f t="shared" si="3"/>
        <v>233.64093842329564</v>
      </c>
      <c r="BC24">
        <f t="shared" si="4"/>
        <v>40.768029546790189</v>
      </c>
      <c r="BD24">
        <v>1013.2</v>
      </c>
      <c r="BE24">
        <f t="shared" si="5"/>
        <v>31.668891609615997</v>
      </c>
    </row>
    <row r="25" spans="1:57" x14ac:dyDescent="0.2">
      <c r="A25" s="13">
        <v>16</v>
      </c>
      <c r="B25" s="3">
        <v>13</v>
      </c>
      <c r="C25" s="17">
        <v>7</v>
      </c>
      <c r="D25" s="3">
        <v>4</v>
      </c>
      <c r="E25" s="18">
        <v>10</v>
      </c>
      <c r="F25" s="18">
        <v>8</v>
      </c>
      <c r="G25" s="18">
        <v>75</v>
      </c>
      <c r="H25" s="19">
        <v>2</v>
      </c>
      <c r="I25" s="18"/>
      <c r="J25" s="18"/>
      <c r="K25" s="20">
        <v>131</v>
      </c>
      <c r="L25" s="18">
        <v>308</v>
      </c>
      <c r="M25" s="18">
        <v>252</v>
      </c>
      <c r="N25" s="18">
        <v>276</v>
      </c>
      <c r="O25" s="18">
        <v>62</v>
      </c>
      <c r="P25" s="18">
        <v>227</v>
      </c>
      <c r="Q25" s="17">
        <v>4</v>
      </c>
      <c r="R25" s="17">
        <v>8</v>
      </c>
      <c r="S25" s="17">
        <v>4</v>
      </c>
      <c r="T25" s="17">
        <v>2</v>
      </c>
      <c r="U25" s="17">
        <v>3</v>
      </c>
      <c r="V25" s="3">
        <v>8</v>
      </c>
      <c r="W25" s="20">
        <v>54</v>
      </c>
      <c r="X25" s="17">
        <v>8</v>
      </c>
      <c r="Y25" s="17">
        <v>5</v>
      </c>
      <c r="Z25" s="17">
        <v>0</v>
      </c>
      <c r="AA25" s="20">
        <v>840</v>
      </c>
      <c r="AB25" s="3"/>
      <c r="AC25" s="3"/>
      <c r="AD25" s="20"/>
      <c r="AE25" s="3"/>
      <c r="AF25" s="3"/>
      <c r="AG25" s="20"/>
      <c r="AH25" s="107"/>
      <c r="AI25" s="107"/>
      <c r="AJ25" s="107"/>
      <c r="AK25" s="107"/>
      <c r="AL25" s="108"/>
      <c r="AN25" s="67">
        <f t="shared" si="2"/>
        <v>-5.9553685515058987</v>
      </c>
      <c r="AO25" s="67">
        <f t="shared" si="2"/>
        <v>-1.4463799536498314</v>
      </c>
      <c r="AP25" s="67">
        <f t="shared" si="2"/>
        <v>-3.6470570685074222</v>
      </c>
      <c r="AY25" s="67">
        <f t="shared" si="0"/>
        <v>281.9553685515059</v>
      </c>
      <c r="AZ25" s="67">
        <f t="shared" si="1"/>
        <v>63.446379953649831</v>
      </c>
      <c r="BA25" s="67">
        <f t="shared" si="3"/>
        <v>230.64705706850742</v>
      </c>
      <c r="BC25">
        <f t="shared" si="4"/>
        <v>44.439945786896871</v>
      </c>
      <c r="BD25">
        <v>1013.2</v>
      </c>
      <c r="BE25">
        <f t="shared" si="5"/>
        <v>32.048847988206589</v>
      </c>
    </row>
    <row r="26" spans="1:57" x14ac:dyDescent="0.2">
      <c r="A26" s="13">
        <v>17</v>
      </c>
      <c r="B26" s="3">
        <v>13</v>
      </c>
      <c r="C26" s="17">
        <v>7</v>
      </c>
      <c r="D26" s="3">
        <v>4</v>
      </c>
      <c r="E26" s="18">
        <v>13</v>
      </c>
      <c r="F26" s="18">
        <v>7</v>
      </c>
      <c r="G26" s="18">
        <v>70</v>
      </c>
      <c r="H26" s="19">
        <v>1</v>
      </c>
      <c r="I26" s="18">
        <v>5</v>
      </c>
      <c r="J26" s="18">
        <v>22</v>
      </c>
      <c r="K26" s="20">
        <v>148</v>
      </c>
      <c r="L26" s="18">
        <v>278</v>
      </c>
      <c r="M26" s="18">
        <v>255</v>
      </c>
      <c r="N26" s="18">
        <v>307</v>
      </c>
      <c r="O26" s="18">
        <v>82</v>
      </c>
      <c r="P26" s="18">
        <v>245</v>
      </c>
      <c r="Q26" s="17">
        <v>7</v>
      </c>
      <c r="R26" s="17">
        <v>8</v>
      </c>
      <c r="S26" s="17">
        <v>4</v>
      </c>
      <c r="T26" s="17">
        <v>0</v>
      </c>
      <c r="U26" s="17">
        <v>1</v>
      </c>
      <c r="V26" s="3">
        <v>8</v>
      </c>
      <c r="W26" s="20">
        <v>54</v>
      </c>
      <c r="X26" s="17">
        <v>8</v>
      </c>
      <c r="Y26" s="17">
        <v>6</v>
      </c>
      <c r="Z26" s="17">
        <v>6</v>
      </c>
      <c r="AA26" s="20">
        <v>120</v>
      </c>
      <c r="AB26" s="3"/>
      <c r="AC26" s="3"/>
      <c r="AD26" s="20"/>
      <c r="AE26" s="3"/>
      <c r="AF26" s="3"/>
      <c r="AG26" s="20"/>
      <c r="AH26" s="107" t="s">
        <v>85</v>
      </c>
      <c r="AI26" s="107"/>
      <c r="AJ26" s="107"/>
      <c r="AK26" s="107"/>
      <c r="AL26" s="108"/>
      <c r="AN26" s="67">
        <f t="shared" si="2"/>
        <v>-3.4312160039403921</v>
      </c>
      <c r="AO26" s="67">
        <f t="shared" si="2"/>
        <v>-1.0832781164208001</v>
      </c>
      <c r="AP26" s="67">
        <f t="shared" si="2"/>
        <v>-1.6316853568576448</v>
      </c>
      <c r="AY26" s="67">
        <f t="shared" si="0"/>
        <v>310.43121600394039</v>
      </c>
      <c r="AZ26" s="67">
        <f t="shared" si="1"/>
        <v>83.0832781164208</v>
      </c>
      <c r="BA26" s="67">
        <f t="shared" si="3"/>
        <v>246.63168535685764</v>
      </c>
      <c r="BC26">
        <f t="shared" si="4"/>
        <v>37.363862264672235</v>
      </c>
      <c r="BD26">
        <v>1013.2</v>
      </c>
      <c r="BE26">
        <f t="shared" si="5"/>
        <v>32.626262153014039</v>
      </c>
    </row>
    <row r="27" spans="1:57" x14ac:dyDescent="0.2">
      <c r="A27" s="13">
        <v>18</v>
      </c>
      <c r="B27" s="3">
        <v>13</v>
      </c>
      <c r="C27" s="17">
        <v>7</v>
      </c>
      <c r="D27" s="3">
        <v>4</v>
      </c>
      <c r="E27" s="18">
        <v>7</v>
      </c>
      <c r="F27" s="18">
        <v>13</v>
      </c>
      <c r="G27" s="18">
        <v>70</v>
      </c>
      <c r="H27" s="19">
        <v>1</v>
      </c>
      <c r="I27" s="18">
        <v>6</v>
      </c>
      <c r="J27" s="18">
        <v>22</v>
      </c>
      <c r="K27" s="20">
        <v>147</v>
      </c>
      <c r="L27" s="18">
        <v>304</v>
      </c>
      <c r="M27" s="18">
        <v>255</v>
      </c>
      <c r="N27" s="18">
        <v>288</v>
      </c>
      <c r="O27" s="18">
        <v>66</v>
      </c>
      <c r="P27" s="18">
        <v>234</v>
      </c>
      <c r="Q27" s="17">
        <v>3</v>
      </c>
      <c r="R27" s="17">
        <v>4</v>
      </c>
      <c r="S27" s="17">
        <v>4</v>
      </c>
      <c r="T27" s="17">
        <v>0</v>
      </c>
      <c r="U27" s="17">
        <v>2</v>
      </c>
      <c r="V27" s="3">
        <v>8</v>
      </c>
      <c r="W27" s="20">
        <v>54</v>
      </c>
      <c r="X27" s="17">
        <v>8</v>
      </c>
      <c r="Y27" s="17">
        <v>7</v>
      </c>
      <c r="Z27" s="17">
        <v>3</v>
      </c>
      <c r="AA27" s="20">
        <v>210</v>
      </c>
      <c r="AB27" s="3"/>
      <c r="AC27" s="3"/>
      <c r="AD27" s="20"/>
      <c r="AE27" s="3"/>
      <c r="AF27" s="3"/>
      <c r="AG27" s="20"/>
      <c r="AH27" s="107" t="s">
        <v>85</v>
      </c>
      <c r="AI27" s="107"/>
      <c r="AJ27" s="107"/>
      <c r="AK27" s="107"/>
      <c r="AL27" s="108"/>
      <c r="AN27" s="67">
        <f t="shared" si="2"/>
        <v>-4.5348445395404156</v>
      </c>
      <c r="AO27" s="67">
        <f t="shared" si="2"/>
        <v>-1.3521791330505692</v>
      </c>
      <c r="AP27" s="67">
        <f t="shared" si="2"/>
        <v>-2.7441472317553348</v>
      </c>
      <c r="AY27" s="67">
        <f t="shared" si="0"/>
        <v>292.53484453954042</v>
      </c>
      <c r="AZ27" s="67">
        <f t="shared" si="1"/>
        <v>67.352179133050569</v>
      </c>
      <c r="BA27" s="67">
        <f t="shared" si="3"/>
        <v>236.74414723175533</v>
      </c>
      <c r="BC27">
        <f t="shared" si="4"/>
        <v>43.43361243912446</v>
      </c>
      <c r="BD27">
        <v>1013.2</v>
      </c>
      <c r="BE27">
        <f t="shared" si="5"/>
        <v>32.626262153014039</v>
      </c>
    </row>
    <row r="28" spans="1:57" x14ac:dyDescent="0.2">
      <c r="A28" s="13">
        <v>19</v>
      </c>
      <c r="B28" s="3">
        <v>13</v>
      </c>
      <c r="C28" s="17">
        <v>6</v>
      </c>
      <c r="D28" s="3">
        <v>4</v>
      </c>
      <c r="E28" s="18">
        <v>9</v>
      </c>
      <c r="F28" s="18">
        <v>15</v>
      </c>
      <c r="G28" s="18">
        <v>65</v>
      </c>
      <c r="H28" s="19">
        <v>1</v>
      </c>
      <c r="I28" s="18">
        <v>5</v>
      </c>
      <c r="J28" s="18">
        <v>22</v>
      </c>
      <c r="K28" s="20">
        <v>128</v>
      </c>
      <c r="L28" s="18">
        <v>295</v>
      </c>
      <c r="M28" s="18">
        <v>256</v>
      </c>
      <c r="N28" s="18">
        <v>296</v>
      </c>
      <c r="O28" s="18">
        <v>72</v>
      </c>
      <c r="P28" s="18">
        <v>239</v>
      </c>
      <c r="Q28" s="17">
        <v>5</v>
      </c>
      <c r="R28" s="17">
        <v>8</v>
      </c>
      <c r="S28" s="17">
        <v>0</v>
      </c>
      <c r="T28" s="17">
        <v>1</v>
      </c>
      <c r="U28" s="17">
        <v>2</v>
      </c>
      <c r="V28" s="3">
        <v>8</v>
      </c>
      <c r="W28" s="20">
        <v>57</v>
      </c>
      <c r="X28" s="17">
        <v>8</v>
      </c>
      <c r="Y28" s="17">
        <v>4</v>
      </c>
      <c r="Z28" s="17">
        <v>6</v>
      </c>
      <c r="AA28" s="20">
        <v>120</v>
      </c>
      <c r="AB28" s="3"/>
      <c r="AC28" s="3"/>
      <c r="AD28" s="20"/>
      <c r="AE28" s="3"/>
      <c r="AF28" s="3"/>
      <c r="AG28" s="20"/>
      <c r="AH28" s="107" t="s">
        <v>85</v>
      </c>
      <c r="AI28" s="107"/>
      <c r="AJ28" s="107"/>
      <c r="AK28" s="107"/>
      <c r="AL28" s="108"/>
      <c r="AN28" s="67">
        <f t="shared" si="2"/>
        <v>-5.3599013526189765</v>
      </c>
      <c r="AO28" s="67">
        <f t="shared" si="2"/>
        <v>-1.0715170414216857</v>
      </c>
      <c r="AP28" s="67">
        <f t="shared" si="2"/>
        <v>-2.6841417656604563</v>
      </c>
      <c r="AY28" s="67">
        <f t="shared" si="0"/>
        <v>301.35990135261898</v>
      </c>
      <c r="AZ28" s="67">
        <f t="shared" si="1"/>
        <v>73.071517041421686</v>
      </c>
      <c r="BA28" s="67">
        <f t="shared" si="3"/>
        <v>241.68414176566046</v>
      </c>
      <c r="BC28">
        <f t="shared" si="4"/>
        <v>41.241774299251048</v>
      </c>
      <c r="BD28">
        <v>1013.2</v>
      </c>
      <c r="BE28">
        <f t="shared" si="5"/>
        <v>32.820745772253893</v>
      </c>
    </row>
    <row r="29" spans="1:57" x14ac:dyDescent="0.2">
      <c r="A29" s="13">
        <v>20</v>
      </c>
      <c r="B29" s="3">
        <v>13</v>
      </c>
      <c r="C29" s="17">
        <v>7</v>
      </c>
      <c r="D29" s="3">
        <v>4</v>
      </c>
      <c r="E29" s="18">
        <v>8</v>
      </c>
      <c r="F29" s="18">
        <v>15</v>
      </c>
      <c r="G29" s="18">
        <v>68</v>
      </c>
      <c r="H29" s="19">
        <v>1</v>
      </c>
      <c r="I29" s="18">
        <v>5</v>
      </c>
      <c r="J29" s="18">
        <v>22</v>
      </c>
      <c r="K29" s="20">
        <v>122</v>
      </c>
      <c r="L29" s="18">
        <v>287</v>
      </c>
      <c r="M29" s="18">
        <v>248</v>
      </c>
      <c r="N29" s="18">
        <v>281</v>
      </c>
      <c r="O29" s="18">
        <v>72</v>
      </c>
      <c r="P29" s="18">
        <v>230</v>
      </c>
      <c r="Q29" s="17">
        <v>5</v>
      </c>
      <c r="R29" s="17">
        <v>8</v>
      </c>
      <c r="S29" s="17">
        <v>4</v>
      </c>
      <c r="T29" s="17">
        <v>8</v>
      </c>
      <c r="U29" s="17">
        <v>3</v>
      </c>
      <c r="V29" s="3">
        <v>8</v>
      </c>
      <c r="W29" s="20">
        <v>60</v>
      </c>
      <c r="X29" s="17">
        <v>8</v>
      </c>
      <c r="Y29" s="17">
        <v>3</v>
      </c>
      <c r="Z29" s="17">
        <v>6</v>
      </c>
      <c r="AA29" s="20">
        <v>120</v>
      </c>
      <c r="AB29" s="17">
        <v>7</v>
      </c>
      <c r="AC29" s="17">
        <v>2</v>
      </c>
      <c r="AD29" s="20">
        <v>780</v>
      </c>
      <c r="AE29" s="3"/>
      <c r="AF29" s="3"/>
      <c r="AG29" s="20"/>
      <c r="AH29" s="107" t="s">
        <v>85</v>
      </c>
      <c r="AI29" s="107"/>
      <c r="AJ29" s="107"/>
      <c r="AK29" s="107"/>
      <c r="AL29" s="108"/>
      <c r="AN29" s="67">
        <f t="shared" si="2"/>
        <v>-5.1052710746851062</v>
      </c>
      <c r="AO29" s="67">
        <f t="shared" si="2"/>
        <v>-0.66131259923373875</v>
      </c>
      <c r="AP29" s="67">
        <f t="shared" si="2"/>
        <v>-3.0622064699426232</v>
      </c>
      <c r="AY29" s="67">
        <f t="shared" si="0"/>
        <v>286.10527107468511</v>
      </c>
      <c r="AZ29" s="67">
        <f t="shared" si="1"/>
        <v>72.661312599233739</v>
      </c>
      <c r="BA29" s="67">
        <f t="shared" si="3"/>
        <v>233.06220646994262</v>
      </c>
      <c r="BC29">
        <f t="shared" si="4"/>
        <v>39.375186167184964</v>
      </c>
      <c r="BD29">
        <v>1013.2</v>
      </c>
      <c r="BE29">
        <f t="shared" si="5"/>
        <v>31.29288340580451</v>
      </c>
    </row>
    <row r="30" spans="1:57" x14ac:dyDescent="0.2">
      <c r="A30" s="13">
        <v>21</v>
      </c>
      <c r="B30" s="3">
        <v>13</v>
      </c>
      <c r="C30" s="17">
        <v>3</v>
      </c>
      <c r="D30" s="3">
        <v>4</v>
      </c>
      <c r="E30" s="18">
        <v>11</v>
      </c>
      <c r="F30" s="18">
        <v>14</v>
      </c>
      <c r="G30" s="18">
        <v>75</v>
      </c>
      <c r="H30" s="19">
        <v>2</v>
      </c>
      <c r="I30" s="18"/>
      <c r="J30" s="18"/>
      <c r="K30" s="20">
        <v>126</v>
      </c>
      <c r="L30" s="18">
        <v>291</v>
      </c>
      <c r="M30" s="18">
        <v>254</v>
      </c>
      <c r="N30" s="18">
        <v>295</v>
      </c>
      <c r="O30" s="18">
        <v>73</v>
      </c>
      <c r="P30" s="18">
        <v>238</v>
      </c>
      <c r="Q30" s="17">
        <v>1</v>
      </c>
      <c r="R30" s="17">
        <v>8</v>
      </c>
      <c r="S30" s="17">
        <v>0</v>
      </c>
      <c r="T30" s="17">
        <v>2</v>
      </c>
      <c r="U30" s="17">
        <v>1</v>
      </c>
      <c r="V30" s="3">
        <v>8</v>
      </c>
      <c r="W30" s="20">
        <v>69</v>
      </c>
      <c r="X30" s="17">
        <v>8</v>
      </c>
      <c r="Y30" s="3"/>
      <c r="Z30" s="3"/>
      <c r="AA30" s="20"/>
      <c r="AB30" s="3"/>
      <c r="AC30" s="3"/>
      <c r="AD30" s="20"/>
      <c r="AE30" s="3"/>
      <c r="AF30" s="3"/>
      <c r="AG30" s="20"/>
      <c r="AH30" s="107"/>
      <c r="AI30" s="107"/>
      <c r="AJ30" s="107"/>
      <c r="AK30" s="107"/>
      <c r="AL30" s="108"/>
      <c r="AN30" s="67">
        <f t="shared" si="2"/>
        <v>-3.8628081814405277</v>
      </c>
      <c r="AO30" s="67">
        <f t="shared" si="2"/>
        <v>-1.1612659159012679</v>
      </c>
      <c r="AP30" s="67">
        <f t="shared" si="2"/>
        <v>-2.2993361440692581</v>
      </c>
      <c r="AY30" s="67">
        <f t="shared" si="0"/>
        <v>298.86280818144053</v>
      </c>
      <c r="AZ30" s="67">
        <f t="shared" si="1"/>
        <v>74.161265915901268</v>
      </c>
      <c r="BA30" s="67">
        <f t="shared" si="3"/>
        <v>240.29933614406926</v>
      </c>
      <c r="BC30">
        <f t="shared" si="4"/>
        <v>40.299043508824454</v>
      </c>
      <c r="BD30">
        <v>1013.2</v>
      </c>
      <c r="BE30">
        <f t="shared" si="5"/>
        <v>32.432787604968055</v>
      </c>
    </row>
    <row r="31" spans="1:57" x14ac:dyDescent="0.2">
      <c r="A31" s="13">
        <v>22</v>
      </c>
      <c r="B31" s="3">
        <v>13</v>
      </c>
      <c r="C31" s="17">
        <v>7</v>
      </c>
      <c r="D31" s="3">
        <v>4</v>
      </c>
      <c r="E31" s="18">
        <v>6</v>
      </c>
      <c r="F31" s="18">
        <v>12</v>
      </c>
      <c r="G31" s="18">
        <v>65</v>
      </c>
      <c r="H31" s="19">
        <v>1</v>
      </c>
      <c r="I31" s="18">
        <v>15</v>
      </c>
      <c r="J31" s="18">
        <v>82</v>
      </c>
      <c r="K31" s="20">
        <v>131</v>
      </c>
      <c r="L31" s="18">
        <v>271</v>
      </c>
      <c r="M31" s="18">
        <v>250</v>
      </c>
      <c r="N31" s="18">
        <v>300</v>
      </c>
      <c r="O31" s="18">
        <v>83</v>
      </c>
      <c r="P31" s="18">
        <v>241</v>
      </c>
      <c r="Q31" s="17">
        <v>7</v>
      </c>
      <c r="R31" s="17">
        <v>8</v>
      </c>
      <c r="S31" s="17" t="s">
        <v>89</v>
      </c>
      <c r="T31" s="17" t="s">
        <v>89</v>
      </c>
      <c r="U31" s="17">
        <v>5</v>
      </c>
      <c r="V31" s="3">
        <v>8</v>
      </c>
      <c r="W31" s="20">
        <v>54</v>
      </c>
      <c r="X31" s="17">
        <v>8</v>
      </c>
      <c r="Y31" s="17">
        <v>6</v>
      </c>
      <c r="Z31" s="17">
        <v>6</v>
      </c>
      <c r="AA31" s="20">
        <v>105</v>
      </c>
      <c r="AB31" s="3"/>
      <c r="AC31" s="3"/>
      <c r="AD31" s="20"/>
      <c r="AE31" s="3"/>
      <c r="AF31" s="3"/>
      <c r="AG31" s="20"/>
      <c r="AH31" s="107" t="s">
        <v>139</v>
      </c>
      <c r="AI31" s="107"/>
      <c r="AJ31" s="107"/>
      <c r="AK31" s="107"/>
      <c r="AL31" s="108"/>
      <c r="AN31" s="67">
        <f t="shared" si="2"/>
        <v>-2.2422292261599637</v>
      </c>
      <c r="AO31" s="67">
        <f t="shared" si="2"/>
        <v>-1.2788823818751212</v>
      </c>
      <c r="AP31" s="67">
        <f t="shared" si="2"/>
        <v>-1.1710501702949045</v>
      </c>
      <c r="AY31" s="67">
        <f t="shared" si="0"/>
        <v>302.24222922615996</v>
      </c>
      <c r="AZ31" s="67">
        <f t="shared" si="1"/>
        <v>84.278882381875121</v>
      </c>
      <c r="BA31" s="67">
        <f t="shared" si="3"/>
        <v>242.1710501702949</v>
      </c>
      <c r="BC31">
        <f t="shared" si="4"/>
        <v>35.862154395530958</v>
      </c>
      <c r="BD31">
        <v>1013.2</v>
      </c>
      <c r="BE31">
        <f t="shared" si="5"/>
        <v>31.668891609615997</v>
      </c>
    </row>
    <row r="32" spans="1:57" x14ac:dyDescent="0.2">
      <c r="A32" s="13">
        <v>23</v>
      </c>
      <c r="B32" s="3">
        <v>13</v>
      </c>
      <c r="C32" s="17">
        <v>6</v>
      </c>
      <c r="D32" s="3">
        <v>4</v>
      </c>
      <c r="E32" s="18">
        <v>12</v>
      </c>
      <c r="F32" s="18">
        <v>13</v>
      </c>
      <c r="G32" s="18">
        <v>70</v>
      </c>
      <c r="H32" s="19">
        <v>1</v>
      </c>
      <c r="I32" s="18">
        <v>6</v>
      </c>
      <c r="J32" s="18">
        <v>22</v>
      </c>
      <c r="K32" s="20">
        <v>119</v>
      </c>
      <c r="L32" s="18">
        <v>290</v>
      </c>
      <c r="M32" s="18">
        <v>248</v>
      </c>
      <c r="N32" s="18">
        <v>280</v>
      </c>
      <c r="O32" s="18">
        <v>70</v>
      </c>
      <c r="P32" s="18">
        <v>229</v>
      </c>
      <c r="Q32" s="17">
        <v>2</v>
      </c>
      <c r="R32" s="17">
        <v>8</v>
      </c>
      <c r="S32" s="17">
        <v>0</v>
      </c>
      <c r="T32" s="17">
        <v>0</v>
      </c>
      <c r="U32" s="17">
        <v>2</v>
      </c>
      <c r="V32" s="3">
        <v>8</v>
      </c>
      <c r="W32" s="20">
        <v>60</v>
      </c>
      <c r="X32" s="17">
        <v>8</v>
      </c>
      <c r="Y32" s="17">
        <v>6</v>
      </c>
      <c r="Z32" s="17">
        <v>0</v>
      </c>
      <c r="AA32" s="20">
        <v>840</v>
      </c>
      <c r="AB32" s="3"/>
      <c r="AC32" s="3"/>
      <c r="AD32" s="20"/>
      <c r="AE32" s="3"/>
      <c r="AF32" s="3"/>
      <c r="AG32" s="20"/>
      <c r="AH32" s="107" t="s">
        <v>85</v>
      </c>
      <c r="AI32" s="107"/>
      <c r="AJ32" s="107"/>
      <c r="AK32" s="107"/>
      <c r="AL32" s="108"/>
      <c r="AN32" s="67">
        <f t="shared" si="2"/>
        <v>-4.0419200759650948</v>
      </c>
      <c r="AO32" s="67">
        <f t="shared" si="2"/>
        <v>-0.89293533963540028</v>
      </c>
      <c r="AP32" s="67">
        <f t="shared" si="2"/>
        <v>-2.8652467852818688</v>
      </c>
      <c r="AY32" s="67">
        <f t="shared" si="0"/>
        <v>284.04192007596509</v>
      </c>
      <c r="AZ32" s="67">
        <f t="shared" si="1"/>
        <v>70.8929353396354</v>
      </c>
      <c r="BA32" s="67">
        <f t="shared" si="3"/>
        <v>231.86524678528187</v>
      </c>
      <c r="BC32">
        <f t="shared" si="4"/>
        <v>40.066322365574365</v>
      </c>
      <c r="BD32">
        <v>1013.2</v>
      </c>
      <c r="BE32">
        <f t="shared" si="5"/>
        <v>31.29288340580451</v>
      </c>
    </row>
    <row r="33" spans="1:57" x14ac:dyDescent="0.2">
      <c r="A33" s="13">
        <v>24</v>
      </c>
      <c r="B33" s="3">
        <v>13</v>
      </c>
      <c r="C33" s="17">
        <v>7</v>
      </c>
      <c r="D33" s="3">
        <v>4</v>
      </c>
      <c r="E33" s="18">
        <v>2</v>
      </c>
      <c r="F33" s="18">
        <v>11</v>
      </c>
      <c r="G33" s="18">
        <v>58</v>
      </c>
      <c r="H33" s="19">
        <v>1</v>
      </c>
      <c r="I33" s="18">
        <v>15</v>
      </c>
      <c r="J33" s="18">
        <v>22</v>
      </c>
      <c r="K33" s="20">
        <v>117</v>
      </c>
      <c r="L33" s="18">
        <v>267</v>
      </c>
      <c r="M33" s="18">
        <v>247</v>
      </c>
      <c r="N33" s="18">
        <v>295</v>
      </c>
      <c r="O33" s="18">
        <v>84</v>
      </c>
      <c r="P33" s="18">
        <v>238</v>
      </c>
      <c r="Q33" s="17">
        <v>7</v>
      </c>
      <c r="R33" s="17">
        <v>8</v>
      </c>
      <c r="S33" s="17">
        <v>0</v>
      </c>
      <c r="T33" s="17">
        <v>2</v>
      </c>
      <c r="U33" s="17">
        <v>5</v>
      </c>
      <c r="V33" s="3">
        <v>8</v>
      </c>
      <c r="W33" s="20">
        <v>42</v>
      </c>
      <c r="X33" s="17">
        <v>8</v>
      </c>
      <c r="Y33" s="17">
        <v>4</v>
      </c>
      <c r="Z33" s="17">
        <v>6</v>
      </c>
      <c r="AA33" s="20">
        <v>114</v>
      </c>
      <c r="AB33" s="3"/>
      <c r="AC33" s="3"/>
      <c r="AD33" s="20"/>
      <c r="AE33" s="3"/>
      <c r="AF33" s="3"/>
      <c r="AG33" s="20"/>
      <c r="AH33" s="107" t="s">
        <v>152</v>
      </c>
      <c r="AI33" s="107"/>
      <c r="AJ33" s="107"/>
      <c r="AK33" s="107"/>
      <c r="AL33" s="108"/>
      <c r="AN33" s="67">
        <f t="shared" si="2"/>
        <v>-2.3093545117902181</v>
      </c>
      <c r="AO33" s="67">
        <f t="shared" si="2"/>
        <v>-0.87775092248136843</v>
      </c>
      <c r="AP33" s="67">
        <f t="shared" si="2"/>
        <v>-1.4327212788296606</v>
      </c>
      <c r="AY33" s="67">
        <f t="shared" si="0"/>
        <v>297.30935451179022</v>
      </c>
      <c r="AZ33" s="67">
        <f t="shared" si="1"/>
        <v>84.877750922481368</v>
      </c>
      <c r="BA33" s="67">
        <f t="shared" si="3"/>
        <v>239.43272127882966</v>
      </c>
      <c r="BC33">
        <f t="shared" si="4"/>
        <v>35.027949171664794</v>
      </c>
      <c r="BD33">
        <v>1013.2</v>
      </c>
      <c r="BE33">
        <f t="shared" si="5"/>
        <v>31.106348979899021</v>
      </c>
    </row>
    <row r="34" spans="1:57" x14ac:dyDescent="0.2">
      <c r="A34" s="13">
        <v>25</v>
      </c>
      <c r="B34" s="3">
        <v>13</v>
      </c>
      <c r="C34" s="17">
        <v>7</v>
      </c>
      <c r="D34" s="3">
        <v>4</v>
      </c>
      <c r="E34" s="18">
        <v>3</v>
      </c>
      <c r="F34" s="18">
        <v>3</v>
      </c>
      <c r="G34" s="18">
        <v>76</v>
      </c>
      <c r="H34" s="19">
        <v>1</v>
      </c>
      <c r="I34" s="18">
        <v>1</v>
      </c>
      <c r="J34" s="18">
        <v>62</v>
      </c>
      <c r="K34" s="20">
        <v>133</v>
      </c>
      <c r="L34" s="18">
        <v>278</v>
      </c>
      <c r="M34" s="18">
        <v>251</v>
      </c>
      <c r="N34" s="18">
        <v>297</v>
      </c>
      <c r="O34" s="18">
        <v>79</v>
      </c>
      <c r="P34" s="18">
        <v>239</v>
      </c>
      <c r="Q34" s="17">
        <v>7</v>
      </c>
      <c r="R34" s="17">
        <v>8</v>
      </c>
      <c r="S34" s="17">
        <v>6</v>
      </c>
      <c r="T34" s="17">
        <v>2</v>
      </c>
      <c r="U34" s="17">
        <v>2</v>
      </c>
      <c r="V34" s="3">
        <v>8</v>
      </c>
      <c r="W34" s="20">
        <v>48</v>
      </c>
      <c r="X34" s="17">
        <v>8</v>
      </c>
      <c r="Y34" s="17">
        <v>7</v>
      </c>
      <c r="Z34" s="17">
        <v>6</v>
      </c>
      <c r="AA34" s="20">
        <v>114</v>
      </c>
      <c r="AB34" s="3"/>
      <c r="AC34" s="3"/>
      <c r="AD34" s="20"/>
      <c r="AE34" s="3"/>
      <c r="AF34" s="3"/>
      <c r="AG34" s="20"/>
      <c r="AH34" s="107" t="s">
        <v>166</v>
      </c>
      <c r="AI34" s="107"/>
      <c r="AJ34" s="107"/>
      <c r="AK34" s="107"/>
      <c r="AL34" s="108"/>
      <c r="AN34" s="67">
        <f t="shared" si="2"/>
        <v>-3.0073528734629349</v>
      </c>
      <c r="AO34" s="67">
        <f t="shared" si="2"/>
        <v>-1.2934532699853634</v>
      </c>
      <c r="AP34" s="67">
        <f t="shared" si="2"/>
        <v>-1.9353155946965899</v>
      </c>
      <c r="AY34" s="67">
        <f t="shared" si="0"/>
        <v>300.00735287346293</v>
      </c>
      <c r="AZ34" s="67">
        <f t="shared" si="1"/>
        <v>80.293453269985363</v>
      </c>
      <c r="BA34" s="67">
        <f t="shared" si="3"/>
        <v>240.93531559469659</v>
      </c>
      <c r="BC34">
        <f t="shared" si="4"/>
        <v>37.363862264672235</v>
      </c>
      <c r="BD34">
        <v>1013.2</v>
      </c>
      <c r="BE34">
        <f t="shared" si="5"/>
        <v>31.858374091422295</v>
      </c>
    </row>
    <row r="35" spans="1:57" x14ac:dyDescent="0.2">
      <c r="A35" s="13">
        <v>26</v>
      </c>
      <c r="B35" s="3">
        <v>13</v>
      </c>
      <c r="C35" s="17">
        <v>8</v>
      </c>
      <c r="D35" s="3">
        <v>4</v>
      </c>
      <c r="E35" s="18">
        <v>99</v>
      </c>
      <c r="F35" s="18">
        <v>2</v>
      </c>
      <c r="G35" s="18">
        <v>7</v>
      </c>
      <c r="H35" s="19">
        <v>1</v>
      </c>
      <c r="I35" s="18">
        <v>81</v>
      </c>
      <c r="J35" s="18">
        <v>22</v>
      </c>
      <c r="K35" s="20">
        <v>143</v>
      </c>
      <c r="L35" s="18">
        <v>250</v>
      </c>
      <c r="M35" s="18">
        <v>245</v>
      </c>
      <c r="N35" s="18">
        <v>305</v>
      </c>
      <c r="O35" s="18">
        <v>96</v>
      </c>
      <c r="P35" s="18">
        <v>243</v>
      </c>
      <c r="Q35" s="17">
        <v>8</v>
      </c>
      <c r="R35" s="17">
        <v>4</v>
      </c>
      <c r="S35" s="17" t="s">
        <v>89</v>
      </c>
      <c r="T35" s="17" t="s">
        <v>89</v>
      </c>
      <c r="U35" s="17">
        <v>8</v>
      </c>
      <c r="V35" s="3">
        <v>8</v>
      </c>
      <c r="W35" s="20">
        <v>30</v>
      </c>
      <c r="X35" s="17">
        <v>8</v>
      </c>
      <c r="Y35" s="3"/>
      <c r="Z35" s="3"/>
      <c r="AA35" s="20"/>
      <c r="AB35" s="3"/>
      <c r="AC35" s="3"/>
      <c r="AD35" s="20"/>
      <c r="AE35" s="3"/>
      <c r="AF35" s="3"/>
      <c r="AG35" s="20"/>
      <c r="AH35" s="107" t="s">
        <v>173</v>
      </c>
      <c r="AI35" s="107"/>
      <c r="AJ35" s="107"/>
      <c r="AK35" s="107"/>
      <c r="AL35" s="108"/>
      <c r="AN35" s="67">
        <f t="shared" si="2"/>
        <v>1.0757864437293279</v>
      </c>
      <c r="AO35" s="67">
        <f t="shared" si="2"/>
        <v>3.0675496080007747E-2</v>
      </c>
      <c r="AP35" s="67">
        <f t="shared" si="2"/>
        <v>-9.5807708419386017E-2</v>
      </c>
      <c r="AY35" s="67">
        <f t="shared" si="0"/>
        <v>303.92421355627067</v>
      </c>
      <c r="AZ35" s="67">
        <f t="shared" si="1"/>
        <v>95.969324503919992</v>
      </c>
      <c r="BA35" s="67">
        <f t="shared" si="3"/>
        <v>243.09580770841939</v>
      </c>
      <c r="BC35">
        <f t="shared" si="4"/>
        <v>31.668891609615997</v>
      </c>
      <c r="BD35">
        <v>1013.2</v>
      </c>
      <c r="BE35">
        <f t="shared" si="5"/>
        <v>30.736197835927069</v>
      </c>
    </row>
    <row r="36" spans="1:57" x14ac:dyDescent="0.2">
      <c r="A36" s="13">
        <v>27</v>
      </c>
      <c r="B36" s="3">
        <v>13</v>
      </c>
      <c r="C36" s="17">
        <v>5</v>
      </c>
      <c r="D36" s="3">
        <v>4</v>
      </c>
      <c r="E36" s="18">
        <v>8</v>
      </c>
      <c r="F36" s="18">
        <v>14</v>
      </c>
      <c r="G36" s="18">
        <v>62</v>
      </c>
      <c r="H36" s="19">
        <v>1</v>
      </c>
      <c r="I36" s="18">
        <v>15</v>
      </c>
      <c r="J36" s="18">
        <v>82</v>
      </c>
      <c r="K36" s="20">
        <v>132</v>
      </c>
      <c r="L36" s="18">
        <v>275</v>
      </c>
      <c r="M36" s="18">
        <v>256</v>
      </c>
      <c r="N36" s="18">
        <v>314</v>
      </c>
      <c r="O36" s="18">
        <v>85</v>
      </c>
      <c r="P36" s="18">
        <v>248</v>
      </c>
      <c r="Q36" s="17">
        <v>4</v>
      </c>
      <c r="R36" s="17">
        <v>8</v>
      </c>
      <c r="S36" s="17">
        <v>4</v>
      </c>
      <c r="T36" s="17">
        <v>1</v>
      </c>
      <c r="U36" s="17">
        <v>4</v>
      </c>
      <c r="V36" s="3">
        <v>8</v>
      </c>
      <c r="W36" s="20">
        <v>54</v>
      </c>
      <c r="X36" s="17">
        <v>8</v>
      </c>
      <c r="Y36" s="3"/>
      <c r="Z36" s="3"/>
      <c r="AA36" s="20"/>
      <c r="AB36" s="3"/>
      <c r="AC36" s="3"/>
      <c r="AD36" s="20"/>
      <c r="AE36" s="3"/>
      <c r="AF36" s="3"/>
      <c r="AG36" s="20"/>
      <c r="AH36" s="107" t="s">
        <v>185</v>
      </c>
      <c r="AI36" s="107"/>
      <c r="AJ36" s="107"/>
      <c r="AK36" s="107"/>
      <c r="AL36" s="108"/>
      <c r="AN36" s="67">
        <f t="shared" si="2"/>
        <v>-1.1278789782189733</v>
      </c>
      <c r="AO36" s="67">
        <f t="shared" si="2"/>
        <v>-0.83392255130631554</v>
      </c>
      <c r="AP36" s="67">
        <f t="shared" si="2"/>
        <v>-1.1437371689017937</v>
      </c>
      <c r="AY36" s="67">
        <f t="shared" si="0"/>
        <v>315.12787897821897</v>
      </c>
      <c r="AZ36" s="67">
        <f t="shared" si="1"/>
        <v>85.833922551306316</v>
      </c>
      <c r="BA36" s="67">
        <f t="shared" si="3"/>
        <v>249.14373716890179</v>
      </c>
      <c r="BC36">
        <f t="shared" si="4"/>
        <v>36.713675620481474</v>
      </c>
      <c r="BD36">
        <v>1013.2</v>
      </c>
      <c r="BE36">
        <f t="shared" si="5"/>
        <v>32.820745772253893</v>
      </c>
    </row>
    <row r="37" spans="1:57" x14ac:dyDescent="0.2">
      <c r="A37" s="13">
        <v>28</v>
      </c>
      <c r="B37" s="3">
        <v>13</v>
      </c>
      <c r="C37" s="17">
        <v>7</v>
      </c>
      <c r="D37" s="3">
        <v>4</v>
      </c>
      <c r="E37" s="18">
        <v>5</v>
      </c>
      <c r="F37" s="18">
        <v>5</v>
      </c>
      <c r="G37" s="18">
        <v>59</v>
      </c>
      <c r="H37" s="19">
        <v>1</v>
      </c>
      <c r="I37" s="18">
        <v>60</v>
      </c>
      <c r="J37" s="18">
        <v>82</v>
      </c>
      <c r="K37" s="20">
        <v>158</v>
      </c>
      <c r="L37" s="18">
        <v>255</v>
      </c>
      <c r="M37" s="18">
        <v>248</v>
      </c>
      <c r="N37" s="18">
        <v>307</v>
      </c>
      <c r="O37" s="18">
        <v>94</v>
      </c>
      <c r="P37" s="18">
        <v>245</v>
      </c>
      <c r="Q37" s="17">
        <v>7</v>
      </c>
      <c r="R37" s="17">
        <v>8</v>
      </c>
      <c r="S37" s="17" t="s">
        <v>89</v>
      </c>
      <c r="T37" s="17" t="s">
        <v>89</v>
      </c>
      <c r="U37" s="17">
        <v>5</v>
      </c>
      <c r="V37" s="3">
        <v>8</v>
      </c>
      <c r="W37" s="20">
        <v>51</v>
      </c>
      <c r="X37" s="17">
        <v>8</v>
      </c>
      <c r="Y37" s="17">
        <v>7</v>
      </c>
      <c r="Z37" s="17">
        <v>6</v>
      </c>
      <c r="AA37" s="20">
        <v>114</v>
      </c>
      <c r="AB37" s="3"/>
      <c r="AC37" s="3"/>
      <c r="AD37" s="20"/>
      <c r="AE37" s="3"/>
      <c r="AF37" s="3"/>
      <c r="AG37" s="20"/>
      <c r="AH37" s="107" t="s">
        <v>196</v>
      </c>
      <c r="AI37" s="107"/>
      <c r="AJ37" s="107"/>
      <c r="AK37" s="107"/>
      <c r="AL37" s="108"/>
      <c r="AN37" s="67">
        <f t="shared" si="2"/>
        <v>-1.1143483943650949</v>
      </c>
      <c r="AO37" s="67">
        <f t="shared" si="2"/>
        <v>-0.43752610989831453</v>
      </c>
      <c r="AP37" s="67">
        <f t="shared" si="2"/>
        <v>-0.38021212614921751</v>
      </c>
      <c r="AY37" s="67">
        <f t="shared" si="0"/>
        <v>308.11434839436509</v>
      </c>
      <c r="AZ37" s="67">
        <f t="shared" si="1"/>
        <v>94.437526109898315</v>
      </c>
      <c r="BA37" s="67">
        <f t="shared" si="3"/>
        <v>245.38021212614922</v>
      </c>
      <c r="BC37">
        <f t="shared" si="4"/>
        <v>32.626262153014039</v>
      </c>
      <c r="BD37">
        <v>1013.2</v>
      </c>
      <c r="BE37">
        <f t="shared" si="5"/>
        <v>31.29288340580451</v>
      </c>
    </row>
    <row r="38" spans="1:57" x14ac:dyDescent="0.2">
      <c r="A38" s="13">
        <v>29</v>
      </c>
      <c r="B38" s="3">
        <v>13</v>
      </c>
      <c r="C38" s="17">
        <v>7</v>
      </c>
      <c r="D38" s="3">
        <v>4</v>
      </c>
      <c r="E38" s="18">
        <v>11</v>
      </c>
      <c r="F38" s="18">
        <v>18</v>
      </c>
      <c r="G38" s="18">
        <v>50</v>
      </c>
      <c r="H38" s="19">
        <v>1</v>
      </c>
      <c r="I38" s="18">
        <v>80</v>
      </c>
      <c r="J38" s="18">
        <v>62</v>
      </c>
      <c r="K38" s="20">
        <v>147</v>
      </c>
      <c r="L38" s="18">
        <v>263</v>
      </c>
      <c r="M38" s="18">
        <v>253</v>
      </c>
      <c r="N38" s="18">
        <v>315</v>
      </c>
      <c r="O38" s="18">
        <v>92</v>
      </c>
      <c r="P38" s="18">
        <v>249</v>
      </c>
      <c r="Q38" s="17">
        <v>7</v>
      </c>
      <c r="R38" s="17">
        <v>8</v>
      </c>
      <c r="S38" s="17">
        <v>4</v>
      </c>
      <c r="T38" s="17">
        <v>0</v>
      </c>
      <c r="U38" s="17">
        <v>6</v>
      </c>
      <c r="V38" s="3">
        <v>8</v>
      </c>
      <c r="W38" s="20">
        <v>42</v>
      </c>
      <c r="X38" s="17">
        <v>8</v>
      </c>
      <c r="Y38" s="17">
        <v>4</v>
      </c>
      <c r="Z38" s="17">
        <v>6</v>
      </c>
      <c r="AA38" s="20">
        <v>105</v>
      </c>
      <c r="AB38" s="3"/>
      <c r="AC38" s="3"/>
      <c r="AD38" s="20"/>
      <c r="AE38" s="3"/>
      <c r="AF38" s="3"/>
      <c r="AG38" s="20"/>
      <c r="AH38" s="107" t="s">
        <v>206</v>
      </c>
      <c r="AI38" s="107"/>
      <c r="AJ38" s="107"/>
      <c r="AK38" s="107"/>
      <c r="AL38" s="108"/>
      <c r="AN38" s="67">
        <f t="shared" si="2"/>
        <v>-0.52149515003549141</v>
      </c>
      <c r="AO38" s="67">
        <f t="shared" si="2"/>
        <v>-0.2287270267445507</v>
      </c>
      <c r="AP38" s="67">
        <f t="shared" si="2"/>
        <v>-0.35277498512360239</v>
      </c>
      <c r="AY38" s="67">
        <f t="shared" si="0"/>
        <v>315.52149515003549</v>
      </c>
      <c r="AZ38" s="67">
        <f t="shared" si="1"/>
        <v>92.228727026744551</v>
      </c>
      <c r="BA38" s="67">
        <f t="shared" si="3"/>
        <v>249.3527749851236</v>
      </c>
      <c r="BC38">
        <f t="shared" si="4"/>
        <v>34.210761150215198</v>
      </c>
      <c r="BD38">
        <v>1013.2</v>
      </c>
      <c r="BE38">
        <f t="shared" si="5"/>
        <v>32.24031769064355</v>
      </c>
    </row>
    <row r="39" spans="1:57" x14ac:dyDescent="0.2">
      <c r="A39" s="13">
        <v>30</v>
      </c>
      <c r="B39" s="3">
        <v>13</v>
      </c>
      <c r="C39" s="17">
        <v>7</v>
      </c>
      <c r="D39" s="3">
        <v>4</v>
      </c>
      <c r="E39" s="18">
        <v>10</v>
      </c>
      <c r="F39" s="18">
        <v>14</v>
      </c>
      <c r="G39" s="18">
        <v>68</v>
      </c>
      <c r="H39" s="19">
        <v>1</v>
      </c>
      <c r="I39" s="18">
        <v>5</v>
      </c>
      <c r="J39" s="18">
        <v>22</v>
      </c>
      <c r="K39" s="20">
        <v>128</v>
      </c>
      <c r="L39" s="18">
        <v>287</v>
      </c>
      <c r="M39" s="18">
        <v>244</v>
      </c>
      <c r="N39" s="18">
        <v>271</v>
      </c>
      <c r="O39" s="18">
        <v>69</v>
      </c>
      <c r="P39" s="18">
        <v>224</v>
      </c>
      <c r="Q39" s="17">
        <v>4</v>
      </c>
      <c r="R39" s="17">
        <v>8</v>
      </c>
      <c r="S39" s="17">
        <v>7</v>
      </c>
      <c r="T39" s="17">
        <v>2</v>
      </c>
      <c r="U39" s="17">
        <v>2</v>
      </c>
      <c r="V39" s="3">
        <v>8</v>
      </c>
      <c r="W39" s="20">
        <v>57</v>
      </c>
      <c r="X39" s="17">
        <v>8</v>
      </c>
      <c r="Y39" s="17">
        <v>4</v>
      </c>
      <c r="Z39" s="17">
        <v>6</v>
      </c>
      <c r="AA39" s="20">
        <v>105</v>
      </c>
      <c r="AB39" s="17">
        <v>5</v>
      </c>
      <c r="AC39" s="17">
        <v>4</v>
      </c>
      <c r="AD39" s="20">
        <v>300</v>
      </c>
      <c r="AE39" s="3"/>
      <c r="AF39" s="3"/>
      <c r="AG39" s="20"/>
      <c r="AH39" s="107" t="s">
        <v>85</v>
      </c>
      <c r="AI39" s="107"/>
      <c r="AJ39" s="107"/>
      <c r="AK39" s="107"/>
      <c r="AL39" s="108"/>
      <c r="AN39" s="67">
        <f t="shared" si="2"/>
        <v>-4.9642545377245142</v>
      </c>
      <c r="AO39" s="67">
        <f t="shared" si="2"/>
        <v>-1.0858285129103393</v>
      </c>
      <c r="AP39" s="67">
        <f t="shared" si="2"/>
        <v>-3.1048420168416726</v>
      </c>
      <c r="AY39" s="67">
        <f t="shared" si="0"/>
        <v>275.96425453772451</v>
      </c>
      <c r="AZ39" s="67">
        <f t="shared" si="1"/>
        <v>70.085828512910339</v>
      </c>
      <c r="BA39" s="67">
        <f t="shared" si="3"/>
        <v>227.10484201684167</v>
      </c>
      <c r="BC39">
        <f t="shared" si="4"/>
        <v>39.375186167184964</v>
      </c>
      <c r="BD39">
        <v>1013.2</v>
      </c>
      <c r="BE39">
        <f t="shared" si="5"/>
        <v>30.552572506268454</v>
      </c>
    </row>
    <row r="40" spans="1:57" x14ac:dyDescent="0.2">
      <c r="A40" s="13"/>
      <c r="B40" s="3"/>
      <c r="C40" s="17"/>
      <c r="D40" s="3"/>
      <c r="E40" s="18"/>
      <c r="F40" s="18"/>
      <c r="G40" s="18"/>
      <c r="H40" s="19"/>
      <c r="I40" s="18"/>
      <c r="J40" s="18"/>
      <c r="K40" s="20"/>
      <c r="L40" s="18"/>
      <c r="M40" s="18"/>
      <c r="N40" s="18"/>
      <c r="O40" s="18"/>
      <c r="P40" s="18"/>
      <c r="Q40" s="17"/>
      <c r="R40" s="17"/>
      <c r="S40" s="17"/>
      <c r="T40" s="17"/>
      <c r="U40" s="17"/>
      <c r="V40" s="3"/>
      <c r="W40" s="20"/>
      <c r="X40" s="17"/>
      <c r="Y40" s="3"/>
      <c r="Z40" s="3"/>
      <c r="AA40" s="20"/>
      <c r="AB40" s="3"/>
      <c r="AC40" s="3"/>
      <c r="AD40" s="20"/>
      <c r="AE40" s="3"/>
      <c r="AF40" s="3"/>
      <c r="AG40" s="20"/>
      <c r="AH40" s="107"/>
      <c r="AI40" s="107"/>
      <c r="AJ40" s="107"/>
      <c r="AK40" s="107"/>
      <c r="AL40" s="108"/>
      <c r="AN40" s="67"/>
      <c r="AO40" s="67"/>
      <c r="AP40" s="67"/>
      <c r="AY40" s="67">
        <f t="shared" si="0"/>
        <v>61.120000000000005</v>
      </c>
      <c r="AZ40" s="67">
        <f t="shared" si="1"/>
        <v>100</v>
      </c>
      <c r="BA40" s="67">
        <f t="shared" si="3"/>
        <v>0</v>
      </c>
      <c r="BC40">
        <f t="shared" si="4"/>
        <v>6.1120000000000001</v>
      </c>
      <c r="BD40">
        <v>1013.2</v>
      </c>
      <c r="BE40">
        <f t="shared" si="5"/>
        <v>6.1120000000000001</v>
      </c>
    </row>
    <row r="41" spans="1:57" x14ac:dyDescent="0.2">
      <c r="A41" s="18"/>
      <c r="B41" s="3"/>
      <c r="C41" s="17"/>
      <c r="D41" s="3"/>
      <c r="E41" s="18"/>
      <c r="F41" s="18"/>
      <c r="G41" s="18"/>
      <c r="H41" s="19"/>
      <c r="I41" s="18"/>
      <c r="J41" s="18"/>
      <c r="K41" s="20"/>
      <c r="L41" s="18"/>
      <c r="M41" s="18"/>
      <c r="N41" s="18"/>
      <c r="O41" s="18"/>
      <c r="P41" s="18"/>
      <c r="Q41" s="17"/>
      <c r="R41" s="17"/>
      <c r="S41" s="17"/>
      <c r="T41" s="17"/>
      <c r="U41" s="17"/>
      <c r="V41" s="3"/>
      <c r="W41" s="20"/>
      <c r="X41" s="3"/>
      <c r="Y41" s="3"/>
      <c r="Z41" s="3"/>
      <c r="AA41" s="20"/>
      <c r="AB41" s="3"/>
      <c r="AC41" s="3"/>
      <c r="AD41" s="20"/>
      <c r="AE41" s="3"/>
      <c r="AF41" s="3"/>
      <c r="AG41" s="20"/>
      <c r="AH41" s="109" t="s">
        <v>229</v>
      </c>
      <c r="AI41" s="107"/>
      <c r="AJ41" s="107"/>
      <c r="AK41" s="107"/>
      <c r="AL41" s="108"/>
      <c r="AN41" s="67"/>
      <c r="AO41" s="67"/>
      <c r="AP41" s="67"/>
    </row>
    <row r="42" spans="1:57" x14ac:dyDescent="0.2">
      <c r="A42" s="13" t="s">
        <v>9</v>
      </c>
      <c r="B42" s="1"/>
      <c r="C42" s="21">
        <f>SUM(C10:C40)</f>
        <v>165</v>
      </c>
      <c r="D42" s="1"/>
      <c r="E42" s="13"/>
      <c r="F42" s="13">
        <f>SUM(F10:F40)</f>
        <v>382</v>
      </c>
      <c r="G42" s="13"/>
      <c r="H42" s="2"/>
      <c r="I42" s="13"/>
      <c r="J42" s="13"/>
      <c r="K42" s="22">
        <f>SUM(K10:K40)</f>
        <v>3895</v>
      </c>
      <c r="L42" s="13">
        <f>SUM(L10:L40)</f>
        <v>8614</v>
      </c>
      <c r="M42" s="13">
        <f>SUM(M10:M40)</f>
        <v>7563</v>
      </c>
      <c r="N42" s="13">
        <f>SUM(N10:N40)</f>
        <v>8790</v>
      </c>
      <c r="O42" s="13">
        <f>SUM(O10:O40)</f>
        <v>2244</v>
      </c>
      <c r="P42" s="13">
        <f t="shared" ref="P42" si="6">SUM(P10:P40)</f>
        <v>7098</v>
      </c>
      <c r="Q42" s="21">
        <f>SUM(Q10:Q40)</f>
        <v>114</v>
      </c>
      <c r="R42" s="21"/>
      <c r="S42" s="21"/>
      <c r="T42" s="21"/>
      <c r="U42" s="21"/>
      <c r="V42" s="1"/>
      <c r="W42" s="22"/>
      <c r="X42" s="1"/>
      <c r="Y42" s="1"/>
      <c r="Z42" s="1"/>
      <c r="AA42" s="22"/>
      <c r="AB42" s="1"/>
      <c r="AC42" s="1"/>
      <c r="AD42" s="22"/>
      <c r="AE42" s="1"/>
      <c r="AF42" s="1"/>
      <c r="AG42" s="22"/>
      <c r="AH42" s="116"/>
      <c r="AI42" s="116"/>
      <c r="AJ42" s="116"/>
      <c r="AK42" s="116"/>
      <c r="AL42" s="117"/>
      <c r="AN42" s="67"/>
      <c r="AO42" s="67"/>
      <c r="AP42" s="67"/>
    </row>
    <row r="43" spans="1:57" ht="13.5" thickBot="1" x14ac:dyDescent="0.25">
      <c r="A43" s="23" t="s">
        <v>10</v>
      </c>
      <c r="B43" s="24"/>
      <c r="C43" s="25">
        <f>AVERAGE(C10:C40)</f>
        <v>5.5</v>
      </c>
      <c r="D43" s="24"/>
      <c r="E43" s="23">
        <f>MODE(E10:E40)</f>
        <v>12</v>
      </c>
      <c r="F43" s="23">
        <f>AVERAGE(F10:F40)</f>
        <v>12.733333333333333</v>
      </c>
      <c r="G43" s="23"/>
      <c r="H43" s="26"/>
      <c r="I43" s="23"/>
      <c r="J43" s="23"/>
      <c r="K43" s="27">
        <f>AVERAGE(K10:K40)</f>
        <v>129.83333333333334</v>
      </c>
      <c r="L43" s="23">
        <f t="shared" ref="L43:Q43" si="7">AVERAGE(L10:L40)</f>
        <v>287.13333333333333</v>
      </c>
      <c r="M43" s="23">
        <f t="shared" si="7"/>
        <v>252.1</v>
      </c>
      <c r="N43" s="23">
        <f t="shared" si="7"/>
        <v>293</v>
      </c>
      <c r="O43" s="23">
        <f t="shared" si="7"/>
        <v>74.8</v>
      </c>
      <c r="P43" s="23">
        <f>AVERAGE(P10:P40)</f>
        <v>236.6</v>
      </c>
      <c r="Q43" s="25">
        <f t="shared" si="7"/>
        <v>3.8</v>
      </c>
      <c r="R43" s="25"/>
      <c r="S43" s="25"/>
      <c r="T43" s="25"/>
      <c r="U43" s="25"/>
      <c r="V43" s="24"/>
      <c r="W43" s="27"/>
      <c r="X43" s="24"/>
      <c r="Y43" s="24"/>
      <c r="Z43" s="24"/>
      <c r="AA43" s="27"/>
      <c r="AB43" s="24"/>
      <c r="AC43" s="24"/>
      <c r="AD43" s="27"/>
      <c r="AE43" s="24"/>
      <c r="AF43" s="24"/>
      <c r="AG43" s="27"/>
      <c r="AH43" s="111"/>
      <c r="AI43" s="111"/>
      <c r="AJ43" s="111"/>
      <c r="AK43" s="111"/>
      <c r="AL43" s="112"/>
      <c r="AN43" s="67">
        <f>AVERAGE(AN10:AN40)</f>
        <v>-3.6793127398357059</v>
      </c>
      <c r="AO43" s="67">
        <f t="shared" ref="AO43:AP43" si="8">AVERAGE(AO10:AO40)</f>
        <v>-0.93936635640794364</v>
      </c>
      <c r="AP43" s="67">
        <f t="shared" si="8"/>
        <v>-2.3473728481664002</v>
      </c>
    </row>
    <row r="44" spans="1:57" x14ac:dyDescent="0.2">
      <c r="E44" s="11"/>
      <c r="G44" s="11"/>
      <c r="K44" s="4"/>
      <c r="M44" s="11"/>
      <c r="P44" s="11"/>
      <c r="Q44" s="11"/>
      <c r="W44" s="4"/>
      <c r="AA44" s="4"/>
      <c r="AD44" s="4"/>
    </row>
    <row r="45" spans="1:57" x14ac:dyDescent="0.2">
      <c r="E45" s="11"/>
      <c r="G45" s="11"/>
      <c r="K45" s="4"/>
      <c r="M45" s="11"/>
      <c r="P45" s="11"/>
      <c r="Q45" s="11"/>
      <c r="W45" s="4"/>
      <c r="AA45" s="4"/>
    </row>
    <row r="46" spans="1:57" x14ac:dyDescent="0.2">
      <c r="E46" s="11"/>
      <c r="G46" s="11"/>
      <c r="M46" s="11"/>
      <c r="P46" s="11"/>
      <c r="Q46" s="11"/>
      <c r="W46" s="4"/>
      <c r="AA46" s="4"/>
    </row>
    <row r="47" spans="1:57" x14ac:dyDescent="0.2">
      <c r="E47" s="11"/>
      <c r="G47" s="11"/>
      <c r="M47" s="11"/>
      <c r="P47" s="11"/>
      <c r="Q47" s="11"/>
    </row>
    <row r="48" spans="1:57" x14ac:dyDescent="0.2">
      <c r="E48" s="11"/>
      <c r="G48" s="11"/>
      <c r="M48" s="11"/>
      <c r="P48" s="11"/>
      <c r="Q48" s="11"/>
    </row>
    <row r="49" spans="5:17" x14ac:dyDescent="0.2">
      <c r="E49" s="11"/>
      <c r="G49" s="11"/>
      <c r="M49" s="11"/>
      <c r="P49" s="11"/>
      <c r="Q49" s="11"/>
    </row>
  </sheetData>
  <mergeCells count="72">
    <mergeCell ref="AH41:AL41"/>
    <mergeCell ref="AH42:AL42"/>
    <mergeCell ref="AH43:AL43"/>
    <mergeCell ref="AH36:AL36"/>
    <mergeCell ref="AH37:AL37"/>
    <mergeCell ref="AH38:AL38"/>
    <mergeCell ref="AH39:AL39"/>
    <mergeCell ref="AH40:AL40"/>
    <mergeCell ref="AH24:AL24"/>
    <mergeCell ref="AH25:AL25"/>
    <mergeCell ref="AH26:AL26"/>
    <mergeCell ref="AH27:AL27"/>
    <mergeCell ref="AH28:AL28"/>
    <mergeCell ref="AH35:AL35"/>
    <mergeCell ref="AH34:AL34"/>
    <mergeCell ref="AH29:AL29"/>
    <mergeCell ref="AH30:AL30"/>
    <mergeCell ref="AH31:AL31"/>
    <mergeCell ref="AH32:AL32"/>
    <mergeCell ref="AH33:AL33"/>
    <mergeCell ref="A8:A9"/>
    <mergeCell ref="B8:B9"/>
    <mergeCell ref="C8:C9"/>
    <mergeCell ref="D8:D9"/>
    <mergeCell ref="E8:E9"/>
    <mergeCell ref="E7:F7"/>
    <mergeCell ref="L7:P7"/>
    <mergeCell ref="Q7:T7"/>
    <mergeCell ref="U7:AG7"/>
    <mergeCell ref="AH7:AL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AH19:AL19"/>
    <mergeCell ref="AH20:AL20"/>
    <mergeCell ref="AH21:AL21"/>
    <mergeCell ref="AH22:AL22"/>
    <mergeCell ref="AH23:AL23"/>
    <mergeCell ref="AH14:AL14"/>
    <mergeCell ref="AH15:AL15"/>
    <mergeCell ref="AH16:AL16"/>
    <mergeCell ref="AH17:AL17"/>
    <mergeCell ref="AH18:AL18"/>
    <mergeCell ref="AH10:AL10"/>
    <mergeCell ref="AH11:AL11"/>
    <mergeCell ref="AH12:AL12"/>
    <mergeCell ref="AH13:AL13"/>
    <mergeCell ref="P3:T3"/>
    <mergeCell ref="Q8:Q9"/>
    <mergeCell ref="R8:R9"/>
    <mergeCell ref="S8:S9"/>
    <mergeCell ref="T8:T9"/>
    <mergeCell ref="U8:W8"/>
    <mergeCell ref="X8:AA8"/>
    <mergeCell ref="AB8:AD8"/>
    <mergeCell ref="AE8:AG8"/>
    <mergeCell ref="AN7:AP7"/>
    <mergeCell ref="AY7:BA7"/>
    <mergeCell ref="AN8:AN9"/>
    <mergeCell ref="AO8:AO9"/>
    <mergeCell ref="AP8:AP9"/>
    <mergeCell ref="AY8:AY9"/>
    <mergeCell ref="AZ8:AZ9"/>
    <mergeCell ref="BA8:BA9"/>
  </mergeCells>
  <phoneticPr fontId="2" type="noConversion"/>
  <dataValidations count="5">
    <dataValidation type="whole" allowBlank="1" showInputMessage="1" showErrorMessage="1" sqref="C10:C40" xr:uid="{00000000-0002-0000-0600-000000000000}">
      <formula1>0</formula1>
      <formula2>9</formula2>
    </dataValidation>
    <dataValidation type="whole" allowBlank="1" showInputMessage="1" showErrorMessage="1" sqref="AE10:AE40" xr:uid="{00000000-0002-0000-0600-000001000000}">
      <formula1>1</formula1>
      <formula2>9</formula2>
    </dataValidation>
    <dataValidation type="whole" allowBlank="1" showInputMessage="1" showErrorMessage="1" sqref="D10:D40" xr:uid="{00000000-0002-0000-0600-000002000000}">
      <formula1>0</formula1>
      <formula2>4</formula2>
    </dataValidation>
    <dataValidation type="whole" allowBlank="1" showInputMessage="1" showErrorMessage="1" sqref="AB10:AB40" xr:uid="{00000000-0002-0000-0600-000003000000}">
      <formula1>5</formula1>
      <formula2>9</formula2>
    </dataValidation>
    <dataValidation type="whole" allowBlank="1" showInputMessage="1" showErrorMessage="1" sqref="Y10:Y40" xr:uid="{00000000-0002-0000-0600-000004000000}">
      <formula1>3</formula1>
      <formula2>9</formula2>
    </dataValidation>
  </dataValidations>
  <pageMargins left="0.75" right="0.75" top="1" bottom="1" header="0.5" footer="0.5"/>
  <pageSetup orientation="portrait" horizont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E49"/>
  <sheetViews>
    <sheetView workbookViewId="0">
      <pane xSplit="2" ySplit="9" topLeftCell="C10" activePane="bottomRight" state="frozen"/>
      <selection activeCell="AM2" sqref="AM2"/>
      <selection pane="topRight" activeCell="AM2" sqref="AM2"/>
      <selection pane="bottomLeft" activeCell="AM2" sqref="AM2"/>
      <selection pane="bottomRight" activeCell="R24" sqref="R24"/>
    </sheetView>
  </sheetViews>
  <sheetFormatPr defaultRowHeight="12.75" x14ac:dyDescent="0.2"/>
  <cols>
    <col min="1" max="1" width="4.28515625" bestFit="1" customWidth="1"/>
    <col min="2" max="2" width="5.140625" bestFit="1" customWidth="1"/>
    <col min="3" max="3" width="4" bestFit="1" customWidth="1"/>
    <col min="4" max="5" width="3" bestFit="1" customWidth="1"/>
    <col min="6" max="6" width="4" bestFit="1" customWidth="1"/>
    <col min="7" max="10" width="3" bestFit="1" customWidth="1"/>
    <col min="11" max="11" width="8.5703125" bestFit="1" customWidth="1"/>
    <col min="12" max="16" width="5" bestFit="1" customWidth="1"/>
    <col min="17" max="17" width="4" bestFit="1" customWidth="1"/>
    <col min="18" max="22" width="3" bestFit="1" customWidth="1"/>
    <col min="23" max="23" width="5.28515625" bestFit="1" customWidth="1"/>
    <col min="24" max="26" width="3" bestFit="1" customWidth="1"/>
    <col min="27" max="27" width="5.28515625" bestFit="1" customWidth="1"/>
    <col min="28" max="29" width="3" bestFit="1" customWidth="1"/>
    <col min="30" max="30" width="5.28515625" bestFit="1" customWidth="1"/>
    <col min="31" max="32" width="3" bestFit="1" customWidth="1"/>
    <col min="33" max="33" width="5.28515625" bestFit="1" customWidth="1"/>
    <col min="34" max="34" width="5.42578125" customWidth="1"/>
    <col min="40" max="42" width="4.7109375" customWidth="1"/>
    <col min="50" max="58" width="0" hidden="1" customWidth="1"/>
  </cols>
  <sheetData>
    <row r="1" spans="1:5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  <c r="P1" s="1"/>
      <c r="Q1" s="1"/>
      <c r="R1" s="1"/>
    </row>
    <row r="2" spans="1:57" ht="36.75" customHeight="1" x14ac:dyDescent="0.2">
      <c r="A2" s="1"/>
      <c r="B2" s="1"/>
      <c r="C2" s="1"/>
      <c r="D2" s="1"/>
      <c r="E2" s="1"/>
      <c r="F2" s="1"/>
      <c r="G2" s="1"/>
      <c r="H2" s="1"/>
      <c r="I2" s="2"/>
      <c r="J2" s="2"/>
      <c r="K2" s="1"/>
      <c r="L2" s="1"/>
      <c r="M2" s="1"/>
      <c r="O2" s="2"/>
      <c r="P2" s="1"/>
      <c r="Q2" s="1"/>
      <c r="R2" s="1"/>
    </row>
    <row r="3" spans="1:5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80"/>
      <c r="Q3" s="80"/>
      <c r="R3" s="80"/>
      <c r="S3" s="80"/>
      <c r="T3" s="80"/>
    </row>
    <row r="4" spans="1:5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7" spans="1:57" ht="14.25" x14ac:dyDescent="0.25">
      <c r="A7" s="7"/>
      <c r="B7" s="7"/>
      <c r="C7" s="7"/>
      <c r="D7" s="7"/>
      <c r="E7" s="81" t="s">
        <v>20</v>
      </c>
      <c r="F7" s="81"/>
      <c r="G7" s="7"/>
      <c r="H7" s="7"/>
      <c r="I7" s="7"/>
      <c r="J7" s="7"/>
      <c r="K7" s="7"/>
      <c r="L7" s="82" t="s">
        <v>11</v>
      </c>
      <c r="M7" s="82"/>
      <c r="N7" s="82"/>
      <c r="O7" s="82"/>
      <c r="P7" s="82"/>
      <c r="Q7" s="83" t="s">
        <v>29</v>
      </c>
      <c r="R7" s="83"/>
      <c r="S7" s="83"/>
      <c r="T7" s="83"/>
      <c r="U7" s="84" t="s">
        <v>33</v>
      </c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98" t="s">
        <v>8</v>
      </c>
      <c r="AI7" s="99"/>
      <c r="AJ7" s="99"/>
      <c r="AK7" s="99"/>
      <c r="AL7" s="100"/>
      <c r="AN7" s="73" t="s">
        <v>80</v>
      </c>
      <c r="AO7" s="74"/>
      <c r="AP7" s="75"/>
      <c r="AY7" s="76" t="s">
        <v>81</v>
      </c>
      <c r="AZ7" s="77"/>
      <c r="BA7" s="78"/>
    </row>
    <row r="8" spans="1:57" ht="16.5" customHeight="1" x14ac:dyDescent="0.2">
      <c r="A8" s="85" t="s">
        <v>18</v>
      </c>
      <c r="B8" s="89" t="s">
        <v>19</v>
      </c>
      <c r="C8" s="90" t="s">
        <v>23</v>
      </c>
      <c r="D8" s="88" t="s">
        <v>24</v>
      </c>
      <c r="E8" s="91" t="s">
        <v>25</v>
      </c>
      <c r="F8" s="86" t="s">
        <v>26</v>
      </c>
      <c r="G8" s="88" t="s">
        <v>27</v>
      </c>
      <c r="H8" s="88" t="s">
        <v>0</v>
      </c>
      <c r="I8" s="88" t="s">
        <v>21</v>
      </c>
      <c r="J8" s="88" t="s">
        <v>22</v>
      </c>
      <c r="K8" s="85" t="s">
        <v>28</v>
      </c>
      <c r="L8" s="79" t="s">
        <v>1</v>
      </c>
      <c r="M8" s="79" t="s">
        <v>2</v>
      </c>
      <c r="N8" s="79" t="s">
        <v>3</v>
      </c>
      <c r="O8" s="79" t="s">
        <v>4</v>
      </c>
      <c r="P8" s="79" t="s">
        <v>5</v>
      </c>
      <c r="Q8" s="92" t="s">
        <v>34</v>
      </c>
      <c r="R8" s="92" t="s">
        <v>30</v>
      </c>
      <c r="S8" s="92" t="s">
        <v>31</v>
      </c>
      <c r="T8" s="92" t="s">
        <v>32</v>
      </c>
      <c r="U8" s="93" t="s">
        <v>38</v>
      </c>
      <c r="V8" s="93"/>
      <c r="W8" s="93"/>
      <c r="X8" s="93" t="s">
        <v>39</v>
      </c>
      <c r="Y8" s="93"/>
      <c r="Z8" s="93"/>
      <c r="AA8" s="93"/>
      <c r="AB8" s="93" t="s">
        <v>40</v>
      </c>
      <c r="AC8" s="93"/>
      <c r="AD8" s="93"/>
      <c r="AE8" s="93" t="s">
        <v>41</v>
      </c>
      <c r="AF8" s="94"/>
      <c r="AG8" s="95"/>
      <c r="AH8" s="101"/>
      <c r="AI8" s="102"/>
      <c r="AJ8" s="102"/>
      <c r="AK8" s="102"/>
      <c r="AL8" s="103"/>
      <c r="AN8" s="79" t="s">
        <v>3</v>
      </c>
      <c r="AO8" s="79" t="s">
        <v>4</v>
      </c>
      <c r="AP8" s="79" t="s">
        <v>5</v>
      </c>
      <c r="AY8" s="79" t="s">
        <v>3</v>
      </c>
      <c r="AZ8" s="79" t="s">
        <v>4</v>
      </c>
      <c r="BA8" s="79" t="s">
        <v>5</v>
      </c>
    </row>
    <row r="9" spans="1:57" s="3" customFormat="1" ht="72" customHeight="1" x14ac:dyDescent="0.2">
      <c r="A9" s="85"/>
      <c r="B9" s="89"/>
      <c r="C9" s="90"/>
      <c r="D9" s="88"/>
      <c r="E9" s="91"/>
      <c r="F9" s="87"/>
      <c r="G9" s="88"/>
      <c r="H9" s="88"/>
      <c r="I9" s="88"/>
      <c r="J9" s="88"/>
      <c r="K9" s="85"/>
      <c r="L9" s="79"/>
      <c r="M9" s="79"/>
      <c r="N9" s="79"/>
      <c r="O9" s="79"/>
      <c r="P9" s="79"/>
      <c r="Q9" s="92"/>
      <c r="R9" s="92"/>
      <c r="S9" s="92"/>
      <c r="T9" s="92"/>
      <c r="U9" s="8" t="s">
        <v>16</v>
      </c>
      <c r="V9" s="8" t="s">
        <v>6</v>
      </c>
      <c r="W9" s="9" t="s">
        <v>7</v>
      </c>
      <c r="X9" s="8" t="s">
        <v>17</v>
      </c>
      <c r="Y9" s="8" t="s">
        <v>16</v>
      </c>
      <c r="Z9" s="8" t="s">
        <v>6</v>
      </c>
      <c r="AA9" s="9" t="s">
        <v>7</v>
      </c>
      <c r="AB9" s="8" t="s">
        <v>16</v>
      </c>
      <c r="AC9" s="8" t="s">
        <v>6</v>
      </c>
      <c r="AD9" s="9" t="s">
        <v>7</v>
      </c>
      <c r="AE9" s="8" t="s">
        <v>16</v>
      </c>
      <c r="AF9" s="8" t="s">
        <v>6</v>
      </c>
      <c r="AG9" s="9" t="s">
        <v>7</v>
      </c>
      <c r="AH9" s="104"/>
      <c r="AI9" s="105"/>
      <c r="AJ9" s="105"/>
      <c r="AK9" s="105"/>
      <c r="AL9" s="106"/>
      <c r="AN9" s="79"/>
      <c r="AO9" s="79"/>
      <c r="AP9" s="79"/>
      <c r="AY9" s="79"/>
      <c r="AZ9" s="79"/>
      <c r="BA9" s="79"/>
      <c r="BC9" s="3" t="s">
        <v>82</v>
      </c>
      <c r="BD9" s="3" t="s">
        <v>83</v>
      </c>
      <c r="BE9" s="3" t="s">
        <v>84</v>
      </c>
    </row>
    <row r="10" spans="1:57" x14ac:dyDescent="0.2">
      <c r="A10" s="13">
        <v>1</v>
      </c>
      <c r="B10" s="3">
        <v>12</v>
      </c>
      <c r="C10" s="17">
        <v>6</v>
      </c>
      <c r="D10" s="3">
        <v>4</v>
      </c>
      <c r="E10" s="18">
        <v>12</v>
      </c>
      <c r="F10" s="18">
        <v>13</v>
      </c>
      <c r="G10" s="18">
        <v>74</v>
      </c>
      <c r="H10" s="19">
        <v>1</v>
      </c>
      <c r="I10" s="18">
        <v>6</v>
      </c>
      <c r="J10" s="18">
        <v>22</v>
      </c>
      <c r="K10" s="20">
        <v>142</v>
      </c>
      <c r="L10" s="18">
        <v>295</v>
      </c>
      <c r="M10" s="18">
        <v>255</v>
      </c>
      <c r="N10" s="18">
        <v>295</v>
      </c>
      <c r="O10" s="18">
        <v>72</v>
      </c>
      <c r="P10" s="18">
        <v>238</v>
      </c>
      <c r="Q10" s="17">
        <v>2</v>
      </c>
      <c r="R10" s="17">
        <v>2</v>
      </c>
      <c r="S10" s="17">
        <v>0</v>
      </c>
      <c r="T10" s="17">
        <v>1</v>
      </c>
      <c r="U10" s="17">
        <v>2</v>
      </c>
      <c r="V10" s="3">
        <v>8</v>
      </c>
      <c r="W10" s="20">
        <v>63</v>
      </c>
      <c r="X10" s="17">
        <v>8</v>
      </c>
      <c r="Y10" s="17">
        <v>5</v>
      </c>
      <c r="Z10" s="17">
        <v>0</v>
      </c>
      <c r="AA10" s="20">
        <v>840</v>
      </c>
      <c r="AB10" s="3"/>
      <c r="AC10" s="3"/>
      <c r="AD10" s="20"/>
      <c r="AE10" s="3"/>
      <c r="AF10" s="3"/>
      <c r="AG10" s="20"/>
      <c r="AH10" s="96" t="s">
        <v>85</v>
      </c>
      <c r="AI10" s="96"/>
      <c r="AJ10" s="96"/>
      <c r="AK10" s="96"/>
      <c r="AL10" s="97"/>
      <c r="AN10" s="67">
        <f>N10-AY10</f>
        <v>-3.7297423541403987</v>
      </c>
      <c r="AO10" s="67">
        <f>O10-AZ10</f>
        <v>-0.43377556614127855</v>
      </c>
      <c r="AP10" s="67">
        <f>P10-BA10</f>
        <v>-2.2252582565346302</v>
      </c>
      <c r="AY10" s="67">
        <f t="shared" ref="AY10:AY40" si="0">10*(BE10-BD10*((L10/10)-(M10/10))*0.00066*(1+(0.00115*(M10/10))))</f>
        <v>298.7297423541404</v>
      </c>
      <c r="AZ10" s="67">
        <f t="shared" ref="AZ10:AZ40" si="1">((AY10/10)*100)/BC10</f>
        <v>72.433775566141279</v>
      </c>
      <c r="BA10" s="67">
        <f>(243.5*LN((AY10/10)/6.112))/(17.67-LN((AY10/10)/6.112))*10</f>
        <v>240.22525825653463</v>
      </c>
      <c r="BC10">
        <f>6.112*2.718^((17.67*(L10/10))/((L10/10)+243.5))</f>
        <v>41.241774299251048</v>
      </c>
      <c r="BD10">
        <v>1013.2</v>
      </c>
      <c r="BE10">
        <f>6.112*2.718^((17.67*(M10/10))/((M10/10)+243.5))</f>
        <v>32.626262153014039</v>
      </c>
    </row>
    <row r="11" spans="1:57" x14ac:dyDescent="0.2">
      <c r="A11" s="13">
        <v>2</v>
      </c>
      <c r="B11" s="3">
        <v>12</v>
      </c>
      <c r="C11" s="17">
        <v>2</v>
      </c>
      <c r="D11" s="3">
        <v>4</v>
      </c>
      <c r="E11" s="18">
        <v>11</v>
      </c>
      <c r="F11" s="18">
        <v>14</v>
      </c>
      <c r="G11" s="18">
        <v>72</v>
      </c>
      <c r="H11" s="19">
        <v>1</v>
      </c>
      <c r="I11" s="18">
        <v>15</v>
      </c>
      <c r="J11" s="18">
        <v>0</v>
      </c>
      <c r="K11" s="20">
        <v>141</v>
      </c>
      <c r="L11" s="18">
        <v>295</v>
      </c>
      <c r="M11" s="18">
        <v>255</v>
      </c>
      <c r="N11" s="18">
        <v>295</v>
      </c>
      <c r="O11" s="18">
        <v>71</v>
      </c>
      <c r="P11" s="18">
        <v>238</v>
      </c>
      <c r="Q11" s="17">
        <v>2</v>
      </c>
      <c r="R11" s="17">
        <v>8</v>
      </c>
      <c r="S11" s="17">
        <v>0</v>
      </c>
      <c r="T11" s="17">
        <v>0</v>
      </c>
      <c r="U11" s="17">
        <v>2</v>
      </c>
      <c r="V11" s="3">
        <v>8</v>
      </c>
      <c r="W11" s="20">
        <v>63</v>
      </c>
      <c r="X11" s="17">
        <v>8</v>
      </c>
      <c r="Y11" s="3"/>
      <c r="Z11" s="3"/>
      <c r="AA11" s="20"/>
      <c r="AB11" s="3"/>
      <c r="AC11" s="3"/>
      <c r="AD11" s="20"/>
      <c r="AE11" s="3"/>
      <c r="AF11" s="3"/>
      <c r="AG11" s="20"/>
      <c r="AH11" s="107" t="s">
        <v>226</v>
      </c>
      <c r="AI11" s="107"/>
      <c r="AJ11" s="107"/>
      <c r="AK11" s="107"/>
      <c r="AL11" s="108"/>
      <c r="AN11" s="67">
        <f t="shared" ref="AN11:AP39" si="2">N11-AY11</f>
        <v>-3.7297423541403987</v>
      </c>
      <c r="AO11" s="67">
        <f t="shared" si="2"/>
        <v>-1.4337755661412785</v>
      </c>
      <c r="AP11" s="67">
        <f t="shared" si="2"/>
        <v>-2.2252582565346302</v>
      </c>
      <c r="AY11" s="67">
        <f t="shared" si="0"/>
        <v>298.7297423541404</v>
      </c>
      <c r="AZ11" s="67">
        <f t="shared" si="1"/>
        <v>72.433775566141279</v>
      </c>
      <c r="BA11" s="67">
        <f t="shared" ref="BA11:BA40" si="3">(243.5*LN((AY11/10)/6.112))/(17.67-LN((AY11/10)/6.112))*10</f>
        <v>240.22525825653463</v>
      </c>
      <c r="BC11">
        <f t="shared" ref="BC11:BC40" si="4">6.112*2.718^((17.67*(L11/10))/((L11/10)+243.5))</f>
        <v>41.241774299251048</v>
      </c>
      <c r="BD11">
        <v>1013.2</v>
      </c>
      <c r="BE11">
        <f t="shared" ref="BE11:BE40" si="5">6.112*2.718^((17.67*(M11/10))/((M11/10)+243.5))</f>
        <v>32.626262153014039</v>
      </c>
    </row>
    <row r="12" spans="1:57" x14ac:dyDescent="0.2">
      <c r="A12" s="13">
        <v>3</v>
      </c>
      <c r="B12" s="3">
        <v>12</v>
      </c>
      <c r="C12" s="17">
        <v>2</v>
      </c>
      <c r="D12" s="3">
        <v>4</v>
      </c>
      <c r="E12" s="18">
        <v>11</v>
      </c>
      <c r="F12" s="18">
        <v>14</v>
      </c>
      <c r="G12" s="18">
        <v>74</v>
      </c>
      <c r="H12" s="19">
        <v>1</v>
      </c>
      <c r="I12" s="18">
        <v>5</v>
      </c>
      <c r="J12" s="18">
        <v>0</v>
      </c>
      <c r="K12" s="20">
        <v>138</v>
      </c>
      <c r="L12" s="18">
        <v>294</v>
      </c>
      <c r="M12" s="18">
        <v>252</v>
      </c>
      <c r="N12" s="69">
        <v>287</v>
      </c>
      <c r="O12" s="69">
        <v>71</v>
      </c>
      <c r="P12" s="69">
        <v>234</v>
      </c>
      <c r="Q12" s="17">
        <v>1</v>
      </c>
      <c r="R12" s="17">
        <v>1</v>
      </c>
      <c r="S12" s="17">
        <v>0</v>
      </c>
      <c r="T12" s="17">
        <v>1</v>
      </c>
      <c r="U12" s="17">
        <v>1</v>
      </c>
      <c r="V12" s="3">
        <v>8</v>
      </c>
      <c r="W12" s="20">
        <v>66</v>
      </c>
      <c r="X12" s="17">
        <v>8</v>
      </c>
      <c r="Y12" s="3"/>
      <c r="Z12" s="3"/>
      <c r="AA12" s="20"/>
      <c r="AB12" s="3"/>
      <c r="AC12" s="3"/>
      <c r="AD12" s="20"/>
      <c r="AE12" s="3"/>
      <c r="AF12" s="3"/>
      <c r="AG12" s="20"/>
      <c r="AH12" s="107" t="s">
        <v>85</v>
      </c>
      <c r="AI12" s="107"/>
      <c r="AJ12" s="107"/>
      <c r="AK12" s="107"/>
      <c r="AL12" s="108"/>
      <c r="AN12" s="67">
        <f t="shared" si="2"/>
        <v>-4.5886463841458749</v>
      </c>
      <c r="AO12" s="67">
        <f t="shared" si="2"/>
        <v>-0.11171610098091378</v>
      </c>
      <c r="AP12" s="67">
        <f t="shared" si="2"/>
        <v>-2.2067756942090568</v>
      </c>
      <c r="AY12" s="67">
        <f t="shared" si="0"/>
        <v>291.58864638414587</v>
      </c>
      <c r="AZ12" s="67">
        <f t="shared" si="1"/>
        <v>71.111716100980914</v>
      </c>
      <c r="BA12" s="67">
        <f t="shared" si="3"/>
        <v>236.20677569420906</v>
      </c>
      <c r="BC12">
        <f t="shared" si="4"/>
        <v>41.004304546677048</v>
      </c>
      <c r="BD12">
        <v>1013.2</v>
      </c>
      <c r="BE12">
        <f t="shared" si="5"/>
        <v>32.048847988206589</v>
      </c>
    </row>
    <row r="13" spans="1:57" x14ac:dyDescent="0.2">
      <c r="A13" s="13">
        <v>4</v>
      </c>
      <c r="B13" s="3">
        <v>12</v>
      </c>
      <c r="C13" s="17">
        <v>6</v>
      </c>
      <c r="D13" s="3">
        <v>4</v>
      </c>
      <c r="E13" s="18">
        <v>12</v>
      </c>
      <c r="F13" s="18">
        <v>12</v>
      </c>
      <c r="G13" s="18">
        <v>75</v>
      </c>
      <c r="H13" s="19">
        <v>2</v>
      </c>
      <c r="I13" s="18"/>
      <c r="J13" s="18"/>
      <c r="K13" s="20">
        <v>143</v>
      </c>
      <c r="L13" s="18">
        <v>294</v>
      </c>
      <c r="M13" s="18">
        <v>260</v>
      </c>
      <c r="N13" s="18">
        <v>310</v>
      </c>
      <c r="O13" s="18">
        <v>76</v>
      </c>
      <c r="P13" s="18">
        <v>246</v>
      </c>
      <c r="Q13" s="17">
        <v>2</v>
      </c>
      <c r="R13" s="17">
        <v>2</v>
      </c>
      <c r="S13" s="17">
        <v>0</v>
      </c>
      <c r="T13" s="17">
        <v>8</v>
      </c>
      <c r="U13" s="17">
        <v>2</v>
      </c>
      <c r="V13" s="3">
        <v>8</v>
      </c>
      <c r="W13" s="20">
        <v>66</v>
      </c>
      <c r="X13" s="17">
        <v>8</v>
      </c>
      <c r="Y13" s="17">
        <v>5</v>
      </c>
      <c r="Z13" s="17">
        <v>2</v>
      </c>
      <c r="AA13" s="20">
        <v>780</v>
      </c>
      <c r="AB13" s="3"/>
      <c r="AC13" s="3"/>
      <c r="AD13" s="20"/>
      <c r="AE13" s="3"/>
      <c r="AF13" s="3"/>
      <c r="AG13" s="20"/>
      <c r="AH13" s="107"/>
      <c r="AI13" s="107"/>
      <c r="AJ13" s="107"/>
      <c r="AK13" s="107"/>
      <c r="AL13" s="108"/>
      <c r="AN13" s="67">
        <f t="shared" si="2"/>
        <v>-2.6725819821643881</v>
      </c>
      <c r="AO13" s="67">
        <f t="shared" si="2"/>
        <v>-0.25359957665789068</v>
      </c>
      <c r="AP13" s="67">
        <f t="shared" si="2"/>
        <v>-1.8346192490211024</v>
      </c>
      <c r="AY13" s="67">
        <f t="shared" si="0"/>
        <v>312.67258198216439</v>
      </c>
      <c r="AZ13" s="67">
        <f t="shared" si="1"/>
        <v>76.253599576657891</v>
      </c>
      <c r="BA13" s="67">
        <f t="shared" si="3"/>
        <v>247.8346192490211</v>
      </c>
      <c r="BC13">
        <f t="shared" si="4"/>
        <v>41.004304546677048</v>
      </c>
      <c r="BD13">
        <v>1013.2</v>
      </c>
      <c r="BE13">
        <f t="shared" si="5"/>
        <v>33.608860260136439</v>
      </c>
    </row>
    <row r="14" spans="1:57" x14ac:dyDescent="0.2">
      <c r="A14" s="13">
        <v>5</v>
      </c>
      <c r="B14" s="3">
        <v>12</v>
      </c>
      <c r="C14" s="17">
        <v>2</v>
      </c>
      <c r="D14" s="3">
        <v>4</v>
      </c>
      <c r="E14" s="18">
        <v>12</v>
      </c>
      <c r="F14" s="18">
        <v>13</v>
      </c>
      <c r="G14" s="18">
        <v>75</v>
      </c>
      <c r="H14" s="19">
        <v>2</v>
      </c>
      <c r="I14" s="18"/>
      <c r="J14" s="18"/>
      <c r="K14" s="20">
        <v>149</v>
      </c>
      <c r="L14" s="18">
        <v>294</v>
      </c>
      <c r="M14" s="18">
        <v>260</v>
      </c>
      <c r="N14" s="18">
        <v>309</v>
      </c>
      <c r="O14" s="18">
        <v>75</v>
      </c>
      <c r="P14" s="18">
        <v>246</v>
      </c>
      <c r="Q14" s="17">
        <v>2</v>
      </c>
      <c r="R14" s="17">
        <v>2</v>
      </c>
      <c r="S14" s="17">
        <v>0</v>
      </c>
      <c r="T14" s="17">
        <v>1</v>
      </c>
      <c r="U14" s="17">
        <v>2</v>
      </c>
      <c r="V14" s="3">
        <v>8</v>
      </c>
      <c r="W14" s="20">
        <v>75</v>
      </c>
      <c r="X14" s="17">
        <v>8</v>
      </c>
      <c r="Y14" s="3"/>
      <c r="Z14" s="3"/>
      <c r="AA14" s="20"/>
      <c r="AB14" s="3"/>
      <c r="AC14" s="3"/>
      <c r="AD14" s="20"/>
      <c r="AE14" s="3"/>
      <c r="AF14" s="3"/>
      <c r="AG14" s="20"/>
      <c r="AH14" s="107"/>
      <c r="AI14" s="107"/>
      <c r="AJ14" s="107"/>
      <c r="AK14" s="107"/>
      <c r="AL14" s="108"/>
      <c r="AN14" s="67">
        <f t="shared" si="2"/>
        <v>-3.6725819821643881</v>
      </c>
      <c r="AO14" s="67">
        <f t="shared" si="2"/>
        <v>-1.2535995766578907</v>
      </c>
      <c r="AP14" s="67">
        <f t="shared" si="2"/>
        <v>-1.8346192490211024</v>
      </c>
      <c r="AY14" s="67">
        <f t="shared" si="0"/>
        <v>312.67258198216439</v>
      </c>
      <c r="AZ14" s="67">
        <f t="shared" si="1"/>
        <v>76.253599576657891</v>
      </c>
      <c r="BA14" s="67">
        <f t="shared" si="3"/>
        <v>247.8346192490211</v>
      </c>
      <c r="BC14">
        <f t="shared" si="4"/>
        <v>41.004304546677048</v>
      </c>
      <c r="BD14">
        <v>1013.2</v>
      </c>
      <c r="BE14">
        <f t="shared" si="5"/>
        <v>33.608860260136439</v>
      </c>
    </row>
    <row r="15" spans="1:57" x14ac:dyDescent="0.2">
      <c r="A15" s="13">
        <v>6</v>
      </c>
      <c r="B15" s="3">
        <v>12</v>
      </c>
      <c r="C15" s="17">
        <v>2</v>
      </c>
      <c r="D15" s="3">
        <v>4</v>
      </c>
      <c r="E15" s="18">
        <v>12</v>
      </c>
      <c r="F15" s="18">
        <v>15</v>
      </c>
      <c r="G15" s="18">
        <v>78</v>
      </c>
      <c r="H15" s="19">
        <v>2</v>
      </c>
      <c r="I15" s="18"/>
      <c r="J15" s="18"/>
      <c r="K15" s="20">
        <v>146</v>
      </c>
      <c r="L15" s="18">
        <v>298</v>
      </c>
      <c r="M15" s="18">
        <v>258</v>
      </c>
      <c r="N15" s="18">
        <v>300</v>
      </c>
      <c r="O15" s="18">
        <v>71</v>
      </c>
      <c r="P15" s="18">
        <v>241</v>
      </c>
      <c r="Q15" s="17">
        <v>2</v>
      </c>
      <c r="R15" s="17">
        <v>2</v>
      </c>
      <c r="S15" s="17">
        <v>0</v>
      </c>
      <c r="T15" s="17">
        <v>0</v>
      </c>
      <c r="U15" s="17">
        <v>2</v>
      </c>
      <c r="V15" s="3">
        <v>8</v>
      </c>
      <c r="W15" s="20">
        <v>69</v>
      </c>
      <c r="X15" s="17">
        <v>8</v>
      </c>
      <c r="Y15" s="3"/>
      <c r="Z15" s="3"/>
      <c r="AA15" s="20"/>
      <c r="AB15" s="3"/>
      <c r="AC15" s="3"/>
      <c r="AD15" s="20"/>
      <c r="AE15" s="3"/>
      <c r="AF15" s="3"/>
      <c r="AG15" s="20"/>
      <c r="AH15" s="107"/>
      <c r="AI15" s="107"/>
      <c r="AJ15" s="107"/>
      <c r="AK15" s="107"/>
      <c r="AL15" s="108"/>
      <c r="AN15" s="67">
        <f t="shared" si="2"/>
        <v>-4.5854731247139284</v>
      </c>
      <c r="AO15" s="67">
        <f t="shared" si="2"/>
        <v>-1.5870563207544706</v>
      </c>
      <c r="AP15" s="67">
        <f t="shared" si="2"/>
        <v>-2.4581425510179713</v>
      </c>
      <c r="AY15" s="67">
        <f t="shared" si="0"/>
        <v>304.58547312471393</v>
      </c>
      <c r="AZ15" s="67">
        <f t="shared" si="1"/>
        <v>72.587056320754471</v>
      </c>
      <c r="BA15" s="67">
        <f t="shared" si="3"/>
        <v>243.45814255101797</v>
      </c>
      <c r="BC15">
        <f t="shared" si="4"/>
        <v>41.961403115561424</v>
      </c>
      <c r="BD15">
        <v>1013.2</v>
      </c>
      <c r="BE15">
        <f t="shared" si="5"/>
        <v>33.212758052631393</v>
      </c>
    </row>
    <row r="16" spans="1:57" x14ac:dyDescent="0.2">
      <c r="A16" s="13">
        <v>7</v>
      </c>
      <c r="B16" s="3">
        <v>12</v>
      </c>
      <c r="C16" s="17">
        <v>6</v>
      </c>
      <c r="D16" s="3">
        <v>4</v>
      </c>
      <c r="E16" s="18">
        <v>11</v>
      </c>
      <c r="F16" s="18">
        <v>17</v>
      </c>
      <c r="G16" s="18">
        <v>70</v>
      </c>
      <c r="H16" s="19">
        <v>1</v>
      </c>
      <c r="I16" s="18">
        <v>5</v>
      </c>
      <c r="J16" s="18">
        <v>22</v>
      </c>
      <c r="K16" s="20">
        <v>133</v>
      </c>
      <c r="L16" s="18">
        <v>294</v>
      </c>
      <c r="M16" s="18">
        <v>248</v>
      </c>
      <c r="N16" s="18">
        <v>276</v>
      </c>
      <c r="O16" s="18">
        <v>67</v>
      </c>
      <c r="P16" s="18">
        <v>227</v>
      </c>
      <c r="Q16" s="17">
        <v>1</v>
      </c>
      <c r="R16" s="17">
        <v>2</v>
      </c>
      <c r="S16" s="17">
        <v>0</v>
      </c>
      <c r="T16" s="17">
        <v>2</v>
      </c>
      <c r="U16" s="17">
        <v>1</v>
      </c>
      <c r="V16" s="3">
        <v>8</v>
      </c>
      <c r="W16" s="20">
        <v>66</v>
      </c>
      <c r="X16" s="17">
        <v>8</v>
      </c>
      <c r="Y16" s="17">
        <v>6</v>
      </c>
      <c r="Z16" s="17">
        <v>0</v>
      </c>
      <c r="AA16" s="20">
        <v>840</v>
      </c>
      <c r="AB16" s="3"/>
      <c r="AC16" s="3"/>
      <c r="AD16" s="20"/>
      <c r="AE16" s="3"/>
      <c r="AF16" s="3"/>
      <c r="AG16" s="20"/>
      <c r="AH16" s="107" t="s">
        <v>85</v>
      </c>
      <c r="AI16" s="107"/>
      <c r="AJ16" s="107"/>
      <c r="AK16" s="107"/>
      <c r="AL16" s="108"/>
      <c r="AN16" s="67">
        <f t="shared" si="2"/>
        <v>-5.2907854110051176</v>
      </c>
      <c r="AO16" s="67">
        <f t="shared" si="2"/>
        <v>-1.6003063631524697</v>
      </c>
      <c r="AP16" s="67">
        <f t="shared" si="2"/>
        <v>-3.2573955034851849</v>
      </c>
      <c r="AY16" s="67">
        <f t="shared" si="0"/>
        <v>281.29078541100512</v>
      </c>
      <c r="AZ16" s="67">
        <f t="shared" si="1"/>
        <v>68.60030636315247</v>
      </c>
      <c r="BA16" s="67">
        <f t="shared" si="3"/>
        <v>230.25739550348518</v>
      </c>
      <c r="BC16">
        <f t="shared" si="4"/>
        <v>41.004304546677048</v>
      </c>
      <c r="BD16">
        <v>1013.2</v>
      </c>
      <c r="BE16">
        <f t="shared" si="5"/>
        <v>31.29288340580451</v>
      </c>
    </row>
    <row r="17" spans="1:57" x14ac:dyDescent="0.2">
      <c r="A17" s="13">
        <v>8</v>
      </c>
      <c r="B17" s="3">
        <v>12</v>
      </c>
      <c r="C17" s="17">
        <v>1</v>
      </c>
      <c r="D17" s="3">
        <v>4</v>
      </c>
      <c r="E17" s="18">
        <v>12</v>
      </c>
      <c r="F17" s="18">
        <v>13</v>
      </c>
      <c r="G17" s="18">
        <v>75</v>
      </c>
      <c r="H17" s="19">
        <v>2</v>
      </c>
      <c r="I17" s="18"/>
      <c r="J17" s="18"/>
      <c r="K17" s="20">
        <v>136</v>
      </c>
      <c r="L17" s="18">
        <v>292</v>
      </c>
      <c r="M17" s="18">
        <v>251</v>
      </c>
      <c r="N17" s="18">
        <v>286</v>
      </c>
      <c r="O17" s="18">
        <v>71</v>
      </c>
      <c r="P17" s="18">
        <v>233</v>
      </c>
      <c r="Q17" s="17">
        <v>1</v>
      </c>
      <c r="R17" s="17">
        <v>2</v>
      </c>
      <c r="S17" s="17">
        <v>0</v>
      </c>
      <c r="T17" s="17">
        <v>0</v>
      </c>
      <c r="U17" s="17">
        <v>1</v>
      </c>
      <c r="V17" s="3">
        <v>8</v>
      </c>
      <c r="W17" s="20">
        <f>24*3</f>
        <v>72</v>
      </c>
      <c r="X17" s="17">
        <v>8</v>
      </c>
      <c r="Y17" s="3"/>
      <c r="Z17" s="3"/>
      <c r="AA17" s="20"/>
      <c r="AB17" s="3"/>
      <c r="AC17" s="3"/>
      <c r="AD17" s="20"/>
      <c r="AE17" s="3"/>
      <c r="AF17" s="3"/>
      <c r="AG17" s="20"/>
      <c r="AH17" s="107"/>
      <c r="AI17" s="107"/>
      <c r="AJ17" s="107"/>
      <c r="AK17" s="107"/>
      <c r="AL17" s="108"/>
      <c r="AN17" s="67">
        <f t="shared" si="2"/>
        <v>-4.3751516671429727</v>
      </c>
      <c r="AO17" s="67">
        <f t="shared" si="2"/>
        <v>-0.63929422010031089</v>
      </c>
      <c r="AP17" s="67">
        <f t="shared" si="2"/>
        <v>-2.5153593869971758</v>
      </c>
      <c r="AY17" s="67">
        <f t="shared" si="0"/>
        <v>290.37515166714297</v>
      </c>
      <c r="AZ17" s="67">
        <f t="shared" si="1"/>
        <v>71.639294220100311</v>
      </c>
      <c r="BA17" s="67">
        <f t="shared" si="3"/>
        <v>235.51535938699718</v>
      </c>
      <c r="BC17">
        <f t="shared" si="4"/>
        <v>40.532944221227474</v>
      </c>
      <c r="BD17">
        <v>1013.2</v>
      </c>
      <c r="BE17">
        <f t="shared" si="5"/>
        <v>31.858374091422295</v>
      </c>
    </row>
    <row r="18" spans="1:57" x14ac:dyDescent="0.2">
      <c r="A18" s="13">
        <v>9</v>
      </c>
      <c r="B18" s="3">
        <v>12</v>
      </c>
      <c r="C18" s="17">
        <v>4</v>
      </c>
      <c r="D18" s="3">
        <v>4</v>
      </c>
      <c r="E18" s="18">
        <v>11</v>
      </c>
      <c r="F18" s="18">
        <v>16</v>
      </c>
      <c r="G18" s="18">
        <v>76</v>
      </c>
      <c r="H18" s="19">
        <v>2</v>
      </c>
      <c r="I18" s="18"/>
      <c r="J18" s="18"/>
      <c r="K18" s="20">
        <v>138</v>
      </c>
      <c r="L18" s="18">
        <v>290</v>
      </c>
      <c r="M18" s="18">
        <v>255</v>
      </c>
      <c r="N18" s="18">
        <v>299</v>
      </c>
      <c r="O18" s="18">
        <v>74</v>
      </c>
      <c r="P18" s="18">
        <v>240</v>
      </c>
      <c r="Q18" s="17">
        <v>3</v>
      </c>
      <c r="R18" s="17">
        <v>2</v>
      </c>
      <c r="S18" s="17">
        <v>0</v>
      </c>
      <c r="T18" s="17">
        <v>1</v>
      </c>
      <c r="U18" s="17">
        <v>3</v>
      </c>
      <c r="V18" s="3">
        <v>8</v>
      </c>
      <c r="W18" s="20">
        <v>66</v>
      </c>
      <c r="X18" s="17">
        <v>8</v>
      </c>
      <c r="Y18" s="17">
        <v>3</v>
      </c>
      <c r="Z18" s="17">
        <v>0</v>
      </c>
      <c r="AA18" s="20">
        <v>900</v>
      </c>
      <c r="AB18" s="3"/>
      <c r="AC18" s="3"/>
      <c r="AD18" s="20"/>
      <c r="AE18" s="3"/>
      <c r="AF18" s="3"/>
      <c r="AG18" s="20"/>
      <c r="AH18" s="107"/>
      <c r="AI18" s="107"/>
      <c r="AJ18" s="107"/>
      <c r="AK18" s="107"/>
      <c r="AL18" s="108"/>
      <c r="AN18" s="67">
        <f t="shared" si="2"/>
        <v>-3.1713522511403767</v>
      </c>
      <c r="AO18" s="67">
        <f t="shared" si="2"/>
        <v>-1.4177909053042868</v>
      </c>
      <c r="AP18" s="67">
        <f t="shared" si="2"/>
        <v>-2.1319830549777521</v>
      </c>
      <c r="AY18" s="67">
        <f t="shared" si="0"/>
        <v>302.17135225114038</v>
      </c>
      <c r="AZ18" s="67">
        <f t="shared" si="1"/>
        <v>75.417790905304287</v>
      </c>
      <c r="BA18" s="67">
        <f t="shared" si="3"/>
        <v>242.13198305497775</v>
      </c>
      <c r="BC18">
        <f t="shared" si="4"/>
        <v>40.066322365574365</v>
      </c>
      <c r="BD18">
        <v>1013.2</v>
      </c>
      <c r="BE18">
        <f t="shared" si="5"/>
        <v>32.626262153014039</v>
      </c>
    </row>
    <row r="19" spans="1:57" x14ac:dyDescent="0.2">
      <c r="A19" s="13">
        <v>10</v>
      </c>
      <c r="B19" s="3">
        <v>12</v>
      </c>
      <c r="C19" s="17">
        <v>7</v>
      </c>
      <c r="D19" s="3">
        <v>4</v>
      </c>
      <c r="E19" s="18">
        <v>10</v>
      </c>
      <c r="F19" s="18">
        <v>16</v>
      </c>
      <c r="G19" s="18">
        <v>70</v>
      </c>
      <c r="H19" s="19">
        <v>1</v>
      </c>
      <c r="I19" s="18">
        <v>5</v>
      </c>
      <c r="J19" s="18">
        <v>22</v>
      </c>
      <c r="K19" s="20">
        <v>114</v>
      </c>
      <c r="L19" s="18">
        <v>298</v>
      </c>
      <c r="M19" s="18">
        <v>260</v>
      </c>
      <c r="N19" s="18">
        <v>308</v>
      </c>
      <c r="O19" s="18">
        <v>74</v>
      </c>
      <c r="P19" s="18">
        <v>244</v>
      </c>
      <c r="Q19" s="17">
        <v>2</v>
      </c>
      <c r="R19" s="17">
        <v>2</v>
      </c>
      <c r="S19" s="17">
        <v>0</v>
      </c>
      <c r="T19" s="17">
        <v>8</v>
      </c>
      <c r="U19" s="17">
        <v>2</v>
      </c>
      <c r="V19" s="3">
        <v>8</v>
      </c>
      <c r="W19" s="20">
        <v>69</v>
      </c>
      <c r="X19" s="17">
        <v>8</v>
      </c>
      <c r="Y19" s="17">
        <v>7</v>
      </c>
      <c r="Z19" s="17">
        <v>2</v>
      </c>
      <c r="AA19" s="20">
        <v>840</v>
      </c>
      <c r="AB19" s="3"/>
      <c r="AC19" s="3"/>
      <c r="AD19" s="20"/>
      <c r="AE19" s="3"/>
      <c r="AF19" s="3"/>
      <c r="AG19" s="20"/>
      <c r="AH19" s="107" t="s">
        <v>85</v>
      </c>
      <c r="AI19" s="107"/>
      <c r="AJ19" s="107"/>
      <c r="AK19" s="107"/>
      <c r="AL19" s="108"/>
      <c r="AN19" s="67">
        <f t="shared" si="2"/>
        <v>-1.9177560269644118</v>
      </c>
      <c r="AO19" s="67">
        <f t="shared" si="2"/>
        <v>0.14218471831053137</v>
      </c>
      <c r="AP19" s="67">
        <f t="shared" si="2"/>
        <v>-2.3550430726578782</v>
      </c>
      <c r="AY19" s="67">
        <f t="shared" si="0"/>
        <v>309.91775602696441</v>
      </c>
      <c r="AZ19" s="67">
        <f t="shared" si="1"/>
        <v>73.857815281689469</v>
      </c>
      <c r="BA19" s="67">
        <f t="shared" si="3"/>
        <v>246.35504307265788</v>
      </c>
      <c r="BC19">
        <f t="shared" si="4"/>
        <v>41.961403115561424</v>
      </c>
      <c r="BD19">
        <v>1013.2</v>
      </c>
      <c r="BE19">
        <f t="shared" si="5"/>
        <v>33.608860260136439</v>
      </c>
    </row>
    <row r="20" spans="1:57" x14ac:dyDescent="0.2">
      <c r="A20" s="13">
        <v>11</v>
      </c>
      <c r="B20" s="3">
        <v>12</v>
      </c>
      <c r="C20" s="17">
        <v>4</v>
      </c>
      <c r="D20" s="3">
        <v>4</v>
      </c>
      <c r="E20" s="18">
        <v>14</v>
      </c>
      <c r="F20" s="18">
        <v>12</v>
      </c>
      <c r="G20" s="18">
        <v>70</v>
      </c>
      <c r="H20" s="19">
        <v>1</v>
      </c>
      <c r="I20" s="18">
        <v>5</v>
      </c>
      <c r="J20" s="18">
        <v>11</v>
      </c>
      <c r="K20" s="20">
        <v>106</v>
      </c>
      <c r="L20" s="18">
        <v>298</v>
      </c>
      <c r="M20" s="18">
        <v>256</v>
      </c>
      <c r="N20" s="18">
        <v>295</v>
      </c>
      <c r="O20" s="18">
        <v>70</v>
      </c>
      <c r="P20" s="18">
        <v>238</v>
      </c>
      <c r="Q20" s="17">
        <v>2</v>
      </c>
      <c r="R20" s="17">
        <v>2</v>
      </c>
      <c r="S20" s="17">
        <v>0</v>
      </c>
      <c r="T20" s="17">
        <v>1</v>
      </c>
      <c r="U20" s="17">
        <v>2</v>
      </c>
      <c r="V20" s="3">
        <v>8</v>
      </c>
      <c r="W20" s="20">
        <v>60</v>
      </c>
      <c r="X20" s="17">
        <v>8</v>
      </c>
      <c r="Y20" s="17">
        <v>4</v>
      </c>
      <c r="Z20" s="17">
        <v>0</v>
      </c>
      <c r="AA20" s="20">
        <v>840</v>
      </c>
      <c r="AB20" s="3"/>
      <c r="AC20" s="3"/>
      <c r="AD20" s="20"/>
      <c r="AE20" s="3"/>
      <c r="AF20" s="3"/>
      <c r="AG20" s="20"/>
      <c r="AH20" s="107" t="s">
        <v>85</v>
      </c>
      <c r="AI20" s="107"/>
      <c r="AJ20" s="107"/>
      <c r="AK20" s="107"/>
      <c r="AL20" s="108"/>
      <c r="AN20" s="67">
        <f t="shared" si="2"/>
        <v>-4.2947047087789656</v>
      </c>
      <c r="AO20" s="67">
        <f t="shared" si="2"/>
        <v>-1.3261908531808047</v>
      </c>
      <c r="AP20" s="67">
        <f t="shared" si="2"/>
        <v>-2.5395745664458502</v>
      </c>
      <c r="AY20" s="67">
        <f t="shared" si="0"/>
        <v>299.29470470877897</v>
      </c>
      <c r="AZ20" s="67">
        <f t="shared" si="1"/>
        <v>71.326190853180805</v>
      </c>
      <c r="BA20" s="67">
        <f t="shared" si="3"/>
        <v>240.53957456644585</v>
      </c>
      <c r="BC20">
        <f t="shared" si="4"/>
        <v>41.961403115561424</v>
      </c>
      <c r="BD20">
        <v>1013.2</v>
      </c>
      <c r="BE20">
        <f t="shared" si="5"/>
        <v>32.820745772253893</v>
      </c>
    </row>
    <row r="21" spans="1:57" x14ac:dyDescent="0.2">
      <c r="A21" s="13">
        <v>12</v>
      </c>
      <c r="B21" s="3">
        <v>12</v>
      </c>
      <c r="C21" s="17">
        <v>7</v>
      </c>
      <c r="D21" s="3">
        <v>4</v>
      </c>
      <c r="E21" s="18">
        <v>6</v>
      </c>
      <c r="F21" s="18">
        <v>11</v>
      </c>
      <c r="G21" s="18">
        <v>75</v>
      </c>
      <c r="H21" s="19">
        <v>2</v>
      </c>
      <c r="I21" s="18"/>
      <c r="J21" s="18"/>
      <c r="K21" s="20">
        <v>122</v>
      </c>
      <c r="L21" s="18">
        <v>294</v>
      </c>
      <c r="M21" s="18">
        <v>250</v>
      </c>
      <c r="N21" s="18">
        <v>284</v>
      </c>
      <c r="O21" s="18">
        <v>69</v>
      </c>
      <c r="P21" s="18">
        <v>231</v>
      </c>
      <c r="Q21" s="17">
        <v>6</v>
      </c>
      <c r="R21" s="17">
        <v>8</v>
      </c>
      <c r="S21" s="17">
        <v>0</v>
      </c>
      <c r="T21" s="17">
        <v>2</v>
      </c>
      <c r="U21" s="17">
        <v>5</v>
      </c>
      <c r="V21" s="3">
        <v>8</v>
      </c>
      <c r="W21" s="20">
        <v>60</v>
      </c>
      <c r="X21" s="17">
        <v>8</v>
      </c>
      <c r="Y21" s="17">
        <v>5</v>
      </c>
      <c r="Z21" s="17">
        <v>0</v>
      </c>
      <c r="AA21" s="20">
        <v>840</v>
      </c>
      <c r="AB21" s="3"/>
      <c r="AC21" s="3"/>
      <c r="AD21" s="20"/>
      <c r="AE21" s="3"/>
      <c r="AF21" s="3"/>
      <c r="AG21" s="20"/>
      <c r="AH21" s="107"/>
      <c r="AI21" s="107"/>
      <c r="AJ21" s="107"/>
      <c r="AK21" s="107"/>
      <c r="AL21" s="108"/>
      <c r="AN21" s="67">
        <f t="shared" si="2"/>
        <v>-2.4196674161599958</v>
      </c>
      <c r="AO21" s="67">
        <f t="shared" si="2"/>
        <v>-0.85112187187947086</v>
      </c>
      <c r="AP21" s="67">
        <f t="shared" si="2"/>
        <v>-2.2439249432579516</v>
      </c>
      <c r="AY21" s="67">
        <f t="shared" si="0"/>
        <v>286.41966741616</v>
      </c>
      <c r="AZ21" s="67">
        <f t="shared" si="1"/>
        <v>69.851121871879471</v>
      </c>
      <c r="BA21" s="67">
        <f t="shared" si="3"/>
        <v>233.24392494325795</v>
      </c>
      <c r="BC21">
        <f t="shared" si="4"/>
        <v>41.004304546677048</v>
      </c>
      <c r="BD21">
        <v>1013.2</v>
      </c>
      <c r="BE21">
        <f t="shared" si="5"/>
        <v>31.668891609615997</v>
      </c>
    </row>
    <row r="22" spans="1:57" x14ac:dyDescent="0.2">
      <c r="A22" s="13">
        <v>13</v>
      </c>
      <c r="B22" s="3">
        <v>12</v>
      </c>
      <c r="C22" s="17">
        <v>2</v>
      </c>
      <c r="D22" s="3">
        <v>4</v>
      </c>
      <c r="E22" s="18">
        <v>9</v>
      </c>
      <c r="F22" s="18">
        <v>16</v>
      </c>
      <c r="G22" s="18">
        <v>80</v>
      </c>
      <c r="H22" s="19">
        <v>2</v>
      </c>
      <c r="I22" s="18"/>
      <c r="J22" s="18"/>
      <c r="K22" s="20">
        <v>136</v>
      </c>
      <c r="L22" s="18">
        <v>312</v>
      </c>
      <c r="M22" s="18">
        <v>248</v>
      </c>
      <c r="N22" s="18">
        <v>264</v>
      </c>
      <c r="O22" s="18">
        <v>58</v>
      </c>
      <c r="P22" s="18">
        <v>219</v>
      </c>
      <c r="Q22" s="17">
        <v>2</v>
      </c>
      <c r="R22" s="17">
        <v>8</v>
      </c>
      <c r="S22" s="17">
        <v>0</v>
      </c>
      <c r="T22" s="17">
        <v>2</v>
      </c>
      <c r="U22" s="17">
        <v>1</v>
      </c>
      <c r="V22" s="3">
        <v>8</v>
      </c>
      <c r="W22" s="20">
        <v>69</v>
      </c>
      <c r="X22" s="17">
        <v>8</v>
      </c>
      <c r="Y22" s="3"/>
      <c r="Z22" s="3"/>
      <c r="AA22" s="20"/>
      <c r="AB22" s="3"/>
      <c r="AC22" s="3"/>
      <c r="AD22" s="20"/>
      <c r="AE22" s="3"/>
      <c r="AF22" s="3"/>
      <c r="AG22" s="20"/>
      <c r="AH22" s="107"/>
      <c r="AI22" s="107"/>
      <c r="AJ22" s="107"/>
      <c r="AK22" s="107"/>
      <c r="AL22" s="108"/>
      <c r="AN22" s="67">
        <f t="shared" si="2"/>
        <v>-4.9106794186851062</v>
      </c>
      <c r="AO22" s="67">
        <f t="shared" si="2"/>
        <v>-1.1447132865321308</v>
      </c>
      <c r="AP22" s="67">
        <f t="shared" si="2"/>
        <v>-3.8470313451802838</v>
      </c>
      <c r="AY22" s="67">
        <f t="shared" si="0"/>
        <v>268.91067941868511</v>
      </c>
      <c r="AZ22" s="67">
        <f t="shared" si="1"/>
        <v>59.144713286532131</v>
      </c>
      <c r="BA22" s="67">
        <f t="shared" si="3"/>
        <v>222.84703134518028</v>
      </c>
      <c r="BC22">
        <f t="shared" si="4"/>
        <v>45.466562347833523</v>
      </c>
      <c r="BD22">
        <v>1013.2</v>
      </c>
      <c r="BE22">
        <f t="shared" si="5"/>
        <v>31.29288340580451</v>
      </c>
    </row>
    <row r="23" spans="1:57" x14ac:dyDescent="0.2">
      <c r="A23" s="13">
        <v>14</v>
      </c>
      <c r="B23" s="3">
        <v>12</v>
      </c>
      <c r="C23" s="17">
        <v>6</v>
      </c>
      <c r="D23" s="3">
        <v>4</v>
      </c>
      <c r="E23" s="18">
        <v>99</v>
      </c>
      <c r="F23" s="18">
        <v>5</v>
      </c>
      <c r="G23" s="18">
        <v>80</v>
      </c>
      <c r="H23" s="19">
        <v>2</v>
      </c>
      <c r="I23" s="18"/>
      <c r="J23" s="18"/>
      <c r="K23" s="20">
        <v>135</v>
      </c>
      <c r="L23" s="18">
        <v>291</v>
      </c>
      <c r="M23" s="18">
        <v>241</v>
      </c>
      <c r="N23" s="18">
        <v>260</v>
      </c>
      <c r="O23" s="18">
        <v>64</v>
      </c>
      <c r="P23" s="18">
        <v>217</v>
      </c>
      <c r="Q23" s="17">
        <v>2</v>
      </c>
      <c r="R23" s="17">
        <v>2</v>
      </c>
      <c r="S23" s="17">
        <v>0</v>
      </c>
      <c r="T23" s="17">
        <v>8</v>
      </c>
      <c r="U23" s="17">
        <v>2</v>
      </c>
      <c r="V23" s="3">
        <v>8</v>
      </c>
      <c r="W23" s="20">
        <v>66</v>
      </c>
      <c r="X23" s="17">
        <v>8</v>
      </c>
      <c r="Y23" s="17">
        <v>5</v>
      </c>
      <c r="Z23" s="17">
        <v>0</v>
      </c>
      <c r="AA23" s="20">
        <v>900</v>
      </c>
      <c r="AB23" s="3"/>
      <c r="AC23" s="3"/>
      <c r="AD23" s="20"/>
      <c r="AE23" s="3"/>
      <c r="AF23" s="3"/>
      <c r="AG23" s="20"/>
      <c r="AH23" s="107"/>
      <c r="AI23" s="107"/>
      <c r="AJ23" s="107"/>
      <c r="AK23" s="107"/>
      <c r="AL23" s="108"/>
      <c r="AN23" s="67">
        <f t="shared" si="2"/>
        <v>-5.7121937268912006</v>
      </c>
      <c r="AO23" s="67">
        <f t="shared" si="2"/>
        <v>-1.9351117523935955</v>
      </c>
      <c r="AP23" s="67">
        <f t="shared" si="2"/>
        <v>-3.8839621076587605</v>
      </c>
      <c r="AY23" s="67">
        <f t="shared" si="0"/>
        <v>265.7121937268912</v>
      </c>
      <c r="AZ23" s="67">
        <f t="shared" si="1"/>
        <v>65.935111752393595</v>
      </c>
      <c r="BA23" s="67">
        <f t="shared" si="3"/>
        <v>220.88396210765876</v>
      </c>
      <c r="BC23">
        <f t="shared" si="4"/>
        <v>40.299043508824454</v>
      </c>
      <c r="BD23">
        <v>1013.2</v>
      </c>
      <c r="BE23">
        <f t="shared" si="5"/>
        <v>30.007446138089119</v>
      </c>
    </row>
    <row r="24" spans="1:57" x14ac:dyDescent="0.2">
      <c r="A24" s="13">
        <v>15</v>
      </c>
      <c r="B24" s="3">
        <v>12</v>
      </c>
      <c r="C24" s="17">
        <v>6</v>
      </c>
      <c r="D24" s="3">
        <v>4</v>
      </c>
      <c r="E24" s="18">
        <v>99</v>
      </c>
      <c r="F24" s="18">
        <v>2</v>
      </c>
      <c r="G24" s="18">
        <v>72</v>
      </c>
      <c r="H24" s="19">
        <v>1</v>
      </c>
      <c r="I24" s="18">
        <v>5</v>
      </c>
      <c r="J24" s="18">
        <v>22</v>
      </c>
      <c r="K24" s="20">
        <v>130</v>
      </c>
      <c r="L24" s="18">
        <v>284</v>
      </c>
      <c r="M24" s="18">
        <v>244</v>
      </c>
      <c r="N24" s="18">
        <v>275</v>
      </c>
      <c r="O24" s="18">
        <v>71</v>
      </c>
      <c r="P24" s="18">
        <v>226</v>
      </c>
      <c r="Q24" s="17">
        <v>6</v>
      </c>
      <c r="R24" s="17">
        <v>8</v>
      </c>
      <c r="S24" s="17">
        <v>0</v>
      </c>
      <c r="T24" s="17">
        <v>1</v>
      </c>
      <c r="U24" s="17">
        <v>6</v>
      </c>
      <c r="V24" s="3">
        <v>8</v>
      </c>
      <c r="W24" s="20">
        <v>63</v>
      </c>
      <c r="X24" s="17">
        <v>8</v>
      </c>
      <c r="Y24" s="3"/>
      <c r="Z24" s="3"/>
      <c r="AA24" s="20"/>
      <c r="AB24" s="3"/>
      <c r="AC24" s="3"/>
      <c r="AD24" s="20"/>
      <c r="AE24" s="3"/>
      <c r="AF24" s="3"/>
      <c r="AG24" s="20"/>
      <c r="AH24" s="107" t="s">
        <v>85</v>
      </c>
      <c r="AI24" s="107"/>
      <c r="AJ24" s="107"/>
      <c r="AK24" s="107"/>
      <c r="AL24" s="108"/>
      <c r="AN24" s="67">
        <f t="shared" si="2"/>
        <v>-3.0266827138845542</v>
      </c>
      <c r="AO24" s="67">
        <f t="shared" si="2"/>
        <v>-0.85175729386453725</v>
      </c>
      <c r="AP24" s="67">
        <f t="shared" si="2"/>
        <v>-2.3317813434368873</v>
      </c>
      <c r="AY24" s="67">
        <f t="shared" si="0"/>
        <v>278.02668271388455</v>
      </c>
      <c r="AZ24" s="67">
        <f t="shared" si="1"/>
        <v>71.851757293864537</v>
      </c>
      <c r="BA24" s="67">
        <f t="shared" si="3"/>
        <v>228.33178134343689</v>
      </c>
      <c r="BC24">
        <f t="shared" si="4"/>
        <v>38.694486145521928</v>
      </c>
      <c r="BD24">
        <v>1013.2</v>
      </c>
      <c r="BE24">
        <f t="shared" si="5"/>
        <v>30.552572506268454</v>
      </c>
    </row>
    <row r="25" spans="1:57" x14ac:dyDescent="0.2">
      <c r="A25" s="13">
        <v>16</v>
      </c>
      <c r="B25" s="3">
        <v>12</v>
      </c>
      <c r="C25" s="17">
        <v>6</v>
      </c>
      <c r="D25" s="3">
        <v>4</v>
      </c>
      <c r="E25" s="18">
        <v>12</v>
      </c>
      <c r="F25" s="18">
        <v>10</v>
      </c>
      <c r="G25" s="18">
        <v>75</v>
      </c>
      <c r="H25" s="19">
        <v>2</v>
      </c>
      <c r="I25" s="18"/>
      <c r="J25" s="18"/>
      <c r="K25" s="20">
        <v>139</v>
      </c>
      <c r="L25" s="18">
        <v>310</v>
      </c>
      <c r="M25" s="18">
        <v>248</v>
      </c>
      <c r="N25" s="18">
        <v>268</v>
      </c>
      <c r="O25" s="18">
        <v>59</v>
      </c>
      <c r="P25" s="18">
        <v>221</v>
      </c>
      <c r="Q25" s="17">
        <v>2</v>
      </c>
      <c r="R25" s="17">
        <v>8</v>
      </c>
      <c r="S25" s="17">
        <v>4</v>
      </c>
      <c r="T25" s="17">
        <v>2</v>
      </c>
      <c r="U25" s="17">
        <v>1</v>
      </c>
      <c r="V25" s="3">
        <v>8</v>
      </c>
      <c r="W25" s="20">
        <v>69</v>
      </c>
      <c r="X25" s="17">
        <v>8</v>
      </c>
      <c r="Y25" s="17">
        <v>5</v>
      </c>
      <c r="Z25" s="17">
        <v>0</v>
      </c>
      <c r="AA25" s="20">
        <v>840</v>
      </c>
      <c r="AB25" s="3"/>
      <c r="AC25" s="3"/>
      <c r="AD25" s="20"/>
      <c r="AE25" s="3"/>
      <c r="AF25" s="3"/>
      <c r="AG25" s="20"/>
      <c r="AH25" s="107"/>
      <c r="AI25" s="107"/>
      <c r="AJ25" s="107"/>
      <c r="AK25" s="107"/>
      <c r="AL25" s="108"/>
      <c r="AN25" s="67">
        <f t="shared" si="2"/>
        <v>-2.2862467511650948</v>
      </c>
      <c r="AO25" s="67">
        <f t="shared" si="2"/>
        <v>-1.1294891921291708</v>
      </c>
      <c r="AP25" s="67">
        <f t="shared" si="2"/>
        <v>-2.6849979971951541</v>
      </c>
      <c r="AY25" s="67">
        <f t="shared" si="0"/>
        <v>270.28624675116509</v>
      </c>
      <c r="AZ25" s="67">
        <f t="shared" si="1"/>
        <v>60.129489192129171</v>
      </c>
      <c r="BA25" s="67">
        <f t="shared" si="3"/>
        <v>223.68499799719515</v>
      </c>
      <c r="BC25">
        <f t="shared" si="4"/>
        <v>44.950697300542686</v>
      </c>
      <c r="BD25">
        <v>1013.2</v>
      </c>
      <c r="BE25">
        <f t="shared" si="5"/>
        <v>31.29288340580451</v>
      </c>
    </row>
    <row r="26" spans="1:57" x14ac:dyDescent="0.2">
      <c r="A26" s="13">
        <v>17</v>
      </c>
      <c r="B26" s="3">
        <v>12</v>
      </c>
      <c r="C26" s="17">
        <v>7</v>
      </c>
      <c r="D26" s="3">
        <v>4</v>
      </c>
      <c r="E26" s="18">
        <v>12</v>
      </c>
      <c r="F26" s="18">
        <v>7</v>
      </c>
      <c r="G26" s="18">
        <v>70</v>
      </c>
      <c r="H26" s="19">
        <v>1</v>
      </c>
      <c r="I26" s="18">
        <v>5</v>
      </c>
      <c r="J26" s="18">
        <v>22</v>
      </c>
      <c r="K26" s="20">
        <v>157</v>
      </c>
      <c r="L26" s="18">
        <v>271</v>
      </c>
      <c r="M26" s="18">
        <v>252</v>
      </c>
      <c r="N26" s="18">
        <v>306</v>
      </c>
      <c r="O26" s="18">
        <v>85</v>
      </c>
      <c r="P26" s="18">
        <v>244</v>
      </c>
      <c r="Q26" s="17">
        <v>7</v>
      </c>
      <c r="R26" s="17">
        <v>8</v>
      </c>
      <c r="S26" s="17">
        <v>4</v>
      </c>
      <c r="T26" s="17">
        <v>0</v>
      </c>
      <c r="U26" s="17">
        <v>1</v>
      </c>
      <c r="V26" s="3">
        <v>8</v>
      </c>
      <c r="W26" s="20">
        <v>48</v>
      </c>
      <c r="X26" s="17">
        <v>8</v>
      </c>
      <c r="Y26" s="17">
        <v>6</v>
      </c>
      <c r="Z26" s="17">
        <v>6</v>
      </c>
      <c r="AA26" s="20">
        <v>120</v>
      </c>
      <c r="AB26" s="3"/>
      <c r="AC26" s="3"/>
      <c r="AD26" s="20"/>
      <c r="AE26" s="3"/>
      <c r="AF26" s="3"/>
      <c r="AG26" s="20"/>
      <c r="AH26" s="107" t="s">
        <v>85</v>
      </c>
      <c r="AI26" s="107"/>
      <c r="AJ26" s="107"/>
      <c r="AK26" s="107"/>
      <c r="AL26" s="108"/>
      <c r="AN26" s="67">
        <f t="shared" si="2"/>
        <v>-1.414745680625856</v>
      </c>
      <c r="AO26" s="67">
        <f t="shared" si="2"/>
        <v>-0.72121526500789912</v>
      </c>
      <c r="AP26" s="67">
        <f t="shared" si="2"/>
        <v>-1.0006971855543441</v>
      </c>
      <c r="AY26" s="67">
        <f t="shared" si="0"/>
        <v>307.41474568062586</v>
      </c>
      <c r="AZ26" s="67">
        <f t="shared" si="1"/>
        <v>85.721215265007899</v>
      </c>
      <c r="BA26" s="67">
        <f t="shared" si="3"/>
        <v>245.00069718555434</v>
      </c>
      <c r="BC26">
        <f t="shared" si="4"/>
        <v>35.862154395530958</v>
      </c>
      <c r="BD26">
        <v>1013.2</v>
      </c>
      <c r="BE26">
        <f t="shared" si="5"/>
        <v>32.048847988206589</v>
      </c>
    </row>
    <row r="27" spans="1:57" x14ac:dyDescent="0.2">
      <c r="A27" s="13">
        <v>18</v>
      </c>
      <c r="B27" s="3">
        <v>12</v>
      </c>
      <c r="C27" s="17">
        <v>7</v>
      </c>
      <c r="D27" s="3">
        <v>4</v>
      </c>
      <c r="E27" s="18">
        <v>10</v>
      </c>
      <c r="F27" s="18">
        <v>12</v>
      </c>
      <c r="G27" s="18">
        <v>62</v>
      </c>
      <c r="H27" s="19">
        <v>1</v>
      </c>
      <c r="I27" s="18">
        <v>15</v>
      </c>
      <c r="J27" s="18">
        <v>22</v>
      </c>
      <c r="K27" s="20">
        <v>154</v>
      </c>
      <c r="L27" s="18">
        <v>296</v>
      </c>
      <c r="M27" s="18">
        <v>261</v>
      </c>
      <c r="N27" s="18">
        <v>311</v>
      </c>
      <c r="O27" s="18">
        <v>75</v>
      </c>
      <c r="P27" s="18">
        <v>247</v>
      </c>
      <c r="Q27" s="17">
        <v>5</v>
      </c>
      <c r="R27" s="17">
        <v>4</v>
      </c>
      <c r="S27" s="17">
        <v>6</v>
      </c>
      <c r="T27" s="17">
        <v>0</v>
      </c>
      <c r="U27" s="17">
        <v>3</v>
      </c>
      <c r="V27" s="3">
        <v>8</v>
      </c>
      <c r="W27" s="20">
        <v>48</v>
      </c>
      <c r="X27" s="17">
        <v>8</v>
      </c>
      <c r="Y27" s="17">
        <v>3</v>
      </c>
      <c r="Z27" s="17">
        <v>6</v>
      </c>
      <c r="AA27" s="20">
        <v>120</v>
      </c>
      <c r="AB27" s="17">
        <v>5</v>
      </c>
      <c r="AC27" s="17">
        <v>3</v>
      </c>
      <c r="AD27" s="20">
        <v>210</v>
      </c>
      <c r="AE27" s="3"/>
      <c r="AF27" s="3"/>
      <c r="AG27" s="20"/>
      <c r="AH27" s="107" t="s">
        <v>119</v>
      </c>
      <c r="AI27" s="107"/>
      <c r="AJ27" s="107"/>
      <c r="AK27" s="107"/>
      <c r="AL27" s="108"/>
      <c r="AN27" s="67">
        <f t="shared" si="2"/>
        <v>-2.9771448013835879</v>
      </c>
      <c r="AO27" s="67">
        <f t="shared" si="2"/>
        <v>-0.69281214961078774</v>
      </c>
      <c r="AP27" s="67">
        <f t="shared" si="2"/>
        <v>-1.5313032183930204</v>
      </c>
      <c r="AY27" s="67">
        <f t="shared" si="0"/>
        <v>313.97714480138359</v>
      </c>
      <c r="AZ27" s="67">
        <f t="shared" si="1"/>
        <v>75.692812149610788</v>
      </c>
      <c r="BA27" s="67">
        <f t="shared" si="3"/>
        <v>248.53130321839302</v>
      </c>
      <c r="BC27">
        <f t="shared" si="4"/>
        <v>41.480443900114501</v>
      </c>
      <c r="BD27">
        <v>1013.2</v>
      </c>
      <c r="BE27">
        <f t="shared" si="5"/>
        <v>33.808456347518359</v>
      </c>
    </row>
    <row r="28" spans="1:57" x14ac:dyDescent="0.2">
      <c r="A28" s="13">
        <v>19</v>
      </c>
      <c r="B28" s="3">
        <v>12</v>
      </c>
      <c r="C28" s="17">
        <v>6</v>
      </c>
      <c r="D28" s="3">
        <v>4</v>
      </c>
      <c r="E28" s="18">
        <v>8</v>
      </c>
      <c r="F28" s="18">
        <v>19</v>
      </c>
      <c r="G28" s="18">
        <v>65</v>
      </c>
      <c r="H28" s="19">
        <v>1</v>
      </c>
      <c r="I28" s="18">
        <v>5</v>
      </c>
      <c r="J28" s="18">
        <v>82</v>
      </c>
      <c r="K28" s="20">
        <v>138</v>
      </c>
      <c r="L28" s="18">
        <v>293</v>
      </c>
      <c r="M28" s="18">
        <v>255</v>
      </c>
      <c r="N28" s="18">
        <v>296</v>
      </c>
      <c r="O28" s="18">
        <v>73</v>
      </c>
      <c r="P28" s="18">
        <v>239</v>
      </c>
      <c r="Q28" s="17">
        <v>4</v>
      </c>
      <c r="R28" s="17">
        <v>8</v>
      </c>
      <c r="S28" s="17">
        <v>0</v>
      </c>
      <c r="T28" s="17">
        <v>1</v>
      </c>
      <c r="U28" s="17">
        <v>3</v>
      </c>
      <c r="V28" s="3">
        <v>8</v>
      </c>
      <c r="W28" s="20">
        <v>57</v>
      </c>
      <c r="X28" s="17">
        <v>8</v>
      </c>
      <c r="Y28" s="17">
        <v>3</v>
      </c>
      <c r="Z28" s="17">
        <v>6</v>
      </c>
      <c r="AA28" s="20">
        <v>120</v>
      </c>
      <c r="AB28" s="3"/>
      <c r="AC28" s="3"/>
      <c r="AD28" s="20"/>
      <c r="AE28" s="3"/>
      <c r="AF28" s="3"/>
      <c r="AG28" s="20"/>
      <c r="AH28" s="107" t="s">
        <v>117</v>
      </c>
      <c r="AI28" s="107"/>
      <c r="AJ28" s="107"/>
      <c r="AK28" s="107"/>
      <c r="AL28" s="108"/>
      <c r="AN28" s="67">
        <f t="shared" si="2"/>
        <v>-4.1063863129404012</v>
      </c>
      <c r="AO28" s="67">
        <f t="shared" si="2"/>
        <v>-0.61316935087653235</v>
      </c>
      <c r="AP28" s="67">
        <f t="shared" si="2"/>
        <v>-1.9902447492295323</v>
      </c>
      <c r="AY28" s="67">
        <f t="shared" si="0"/>
        <v>300.1063863129404</v>
      </c>
      <c r="AZ28" s="67">
        <f t="shared" si="1"/>
        <v>73.613169350876532</v>
      </c>
      <c r="BA28" s="67">
        <f t="shared" si="3"/>
        <v>240.99024474922953</v>
      </c>
      <c r="BC28">
        <f t="shared" si="4"/>
        <v>40.768029546790189</v>
      </c>
      <c r="BD28">
        <v>1013.2</v>
      </c>
      <c r="BE28">
        <f t="shared" si="5"/>
        <v>32.626262153014039</v>
      </c>
    </row>
    <row r="29" spans="1:57" x14ac:dyDescent="0.2">
      <c r="A29" s="13">
        <v>20</v>
      </c>
      <c r="B29" s="3">
        <v>12</v>
      </c>
      <c r="C29" s="17">
        <v>7</v>
      </c>
      <c r="D29" s="3">
        <v>4</v>
      </c>
      <c r="E29" s="18">
        <v>10</v>
      </c>
      <c r="F29" s="18">
        <v>12</v>
      </c>
      <c r="G29" s="18">
        <v>68</v>
      </c>
      <c r="H29" s="19">
        <v>1</v>
      </c>
      <c r="I29" s="18">
        <v>5</v>
      </c>
      <c r="J29" s="18">
        <v>22</v>
      </c>
      <c r="K29" s="20">
        <v>131</v>
      </c>
      <c r="L29" s="18">
        <v>292</v>
      </c>
      <c r="M29" s="18">
        <v>250</v>
      </c>
      <c r="N29" s="18">
        <v>283</v>
      </c>
      <c r="O29" s="18">
        <v>70</v>
      </c>
      <c r="P29" s="18">
        <v>231</v>
      </c>
      <c r="Q29" s="17">
        <v>5</v>
      </c>
      <c r="R29" s="17">
        <v>8</v>
      </c>
      <c r="S29" s="17">
        <v>7</v>
      </c>
      <c r="T29" s="17">
        <v>8</v>
      </c>
      <c r="U29" s="17">
        <v>2</v>
      </c>
      <c r="V29" s="3">
        <v>8</v>
      </c>
      <c r="W29" s="20">
        <v>54</v>
      </c>
      <c r="X29" s="17">
        <v>8</v>
      </c>
      <c r="Y29" s="17">
        <v>4</v>
      </c>
      <c r="Z29" s="17">
        <v>6</v>
      </c>
      <c r="AA29" s="20">
        <v>120</v>
      </c>
      <c r="AB29" s="17">
        <v>7</v>
      </c>
      <c r="AC29" s="17">
        <v>2</v>
      </c>
      <c r="AD29" s="20">
        <v>780</v>
      </c>
      <c r="AE29" s="3"/>
      <c r="AF29" s="3"/>
      <c r="AG29" s="20"/>
      <c r="AH29" s="107" t="s">
        <v>85</v>
      </c>
      <c r="AI29" s="107"/>
      <c r="AJ29" s="107"/>
      <c r="AK29" s="107"/>
      <c r="AL29" s="108"/>
      <c r="AN29" s="67">
        <f t="shared" si="2"/>
        <v>-4.7955423561599559</v>
      </c>
      <c r="AO29" s="67">
        <f t="shared" si="2"/>
        <v>-1.0028713397628763</v>
      </c>
      <c r="AP29" s="67">
        <f t="shared" si="2"/>
        <v>-3.0371194968038253</v>
      </c>
      <c r="AY29" s="67">
        <f t="shared" si="0"/>
        <v>287.79554235615996</v>
      </c>
      <c r="AZ29" s="67">
        <f t="shared" si="1"/>
        <v>71.002871339762876</v>
      </c>
      <c r="BA29" s="67">
        <f t="shared" si="3"/>
        <v>234.03711949680383</v>
      </c>
      <c r="BC29">
        <f t="shared" si="4"/>
        <v>40.532944221227474</v>
      </c>
      <c r="BD29">
        <v>1013.2</v>
      </c>
      <c r="BE29">
        <f t="shared" si="5"/>
        <v>31.668891609615997</v>
      </c>
    </row>
    <row r="30" spans="1:57" x14ac:dyDescent="0.2">
      <c r="A30" s="13">
        <v>21</v>
      </c>
      <c r="B30" s="3">
        <v>12</v>
      </c>
      <c r="C30" s="17">
        <v>2</v>
      </c>
      <c r="D30" s="3">
        <v>4</v>
      </c>
      <c r="E30" s="18">
        <v>10</v>
      </c>
      <c r="F30" s="18">
        <v>14</v>
      </c>
      <c r="G30" s="18">
        <v>75</v>
      </c>
      <c r="H30" s="19">
        <v>2</v>
      </c>
      <c r="I30" s="18"/>
      <c r="J30" s="18"/>
      <c r="K30" s="20">
        <v>131</v>
      </c>
      <c r="L30" s="18">
        <v>292</v>
      </c>
      <c r="M30" s="18">
        <v>257</v>
      </c>
      <c r="N30" s="18">
        <v>301</v>
      </c>
      <c r="O30" s="18">
        <v>75</v>
      </c>
      <c r="P30" s="18">
        <v>242</v>
      </c>
      <c r="Q30" s="17">
        <v>1</v>
      </c>
      <c r="R30" s="17">
        <v>8</v>
      </c>
      <c r="S30" s="17">
        <v>0</v>
      </c>
      <c r="T30" s="17">
        <v>2</v>
      </c>
      <c r="U30" s="17">
        <v>1</v>
      </c>
      <c r="V30" s="3">
        <v>8</v>
      </c>
      <c r="W30" s="20">
        <v>69</v>
      </c>
      <c r="X30" s="17">
        <v>8</v>
      </c>
      <c r="Y30" s="3"/>
      <c r="Z30" s="3"/>
      <c r="AA30" s="20"/>
      <c r="AB30" s="3"/>
      <c r="AC30" s="3"/>
      <c r="AD30" s="20"/>
      <c r="AE30" s="3"/>
      <c r="AF30" s="3"/>
      <c r="AG30" s="20"/>
      <c r="AH30" s="107"/>
      <c r="AI30" s="107"/>
      <c r="AJ30" s="107"/>
      <c r="AK30" s="107"/>
      <c r="AL30" s="108"/>
      <c r="AN30" s="67">
        <f t="shared" si="2"/>
        <v>-5.0657767477746347</v>
      </c>
      <c r="AO30" s="67">
        <f t="shared" si="2"/>
        <v>-0.51037375357627468</v>
      </c>
      <c r="AP30" s="67">
        <f t="shared" si="2"/>
        <v>-2.2667797319293186</v>
      </c>
      <c r="AY30" s="67">
        <f t="shared" si="0"/>
        <v>306.06577674777463</v>
      </c>
      <c r="AZ30" s="67">
        <f t="shared" si="1"/>
        <v>75.510373753576275</v>
      </c>
      <c r="BA30" s="67">
        <f t="shared" si="3"/>
        <v>244.26677973192932</v>
      </c>
      <c r="BC30">
        <f t="shared" si="4"/>
        <v>40.532944221227474</v>
      </c>
      <c r="BD30">
        <v>1013.2</v>
      </c>
      <c r="BE30">
        <f t="shared" si="5"/>
        <v>33.016242915837466</v>
      </c>
    </row>
    <row r="31" spans="1:57" x14ac:dyDescent="0.2">
      <c r="A31" s="13">
        <v>22</v>
      </c>
      <c r="B31" s="3">
        <v>12</v>
      </c>
      <c r="C31" s="17">
        <v>7</v>
      </c>
      <c r="D31" s="3">
        <v>4</v>
      </c>
      <c r="E31" s="18">
        <v>9</v>
      </c>
      <c r="F31" s="18">
        <v>16</v>
      </c>
      <c r="G31" s="18">
        <v>68</v>
      </c>
      <c r="H31" s="19">
        <v>1</v>
      </c>
      <c r="I31" s="18">
        <v>80</v>
      </c>
      <c r="J31" s="18">
        <v>22</v>
      </c>
      <c r="K31" s="20">
        <v>139</v>
      </c>
      <c r="L31" s="18">
        <v>291</v>
      </c>
      <c r="M31" s="18">
        <v>258</v>
      </c>
      <c r="N31" s="18">
        <v>306</v>
      </c>
      <c r="O31" s="18">
        <v>76</v>
      </c>
      <c r="P31" s="18">
        <v>244</v>
      </c>
      <c r="Q31" s="17">
        <v>7</v>
      </c>
      <c r="R31" s="17">
        <v>8</v>
      </c>
      <c r="S31" s="17" t="s">
        <v>89</v>
      </c>
      <c r="T31" s="17" t="s">
        <v>89</v>
      </c>
      <c r="U31" s="17">
        <v>5</v>
      </c>
      <c r="V31" s="3">
        <v>8</v>
      </c>
      <c r="W31" s="20">
        <v>57</v>
      </c>
      <c r="X31" s="17">
        <v>8</v>
      </c>
      <c r="Y31" s="17">
        <v>6</v>
      </c>
      <c r="Z31" s="17">
        <v>6</v>
      </c>
      <c r="AA31" s="20">
        <v>108</v>
      </c>
      <c r="AB31" s="3"/>
      <c r="AC31" s="3"/>
      <c r="AD31" s="20"/>
      <c r="AE31" s="3"/>
      <c r="AF31" s="3"/>
      <c r="AG31" s="20"/>
      <c r="AH31" s="107" t="s">
        <v>138</v>
      </c>
      <c r="AI31" s="107"/>
      <c r="AJ31" s="107"/>
      <c r="AK31" s="107"/>
      <c r="AL31" s="108"/>
      <c r="AN31" s="67">
        <f t="shared" si="2"/>
        <v>-3.4053419199939299</v>
      </c>
      <c r="AO31" s="67">
        <f t="shared" si="2"/>
        <v>-0.77734134117653753</v>
      </c>
      <c r="AP31" s="67">
        <f t="shared" si="2"/>
        <v>-2.078564013076317</v>
      </c>
      <c r="AY31" s="67">
        <f t="shared" si="0"/>
        <v>309.40534191999393</v>
      </c>
      <c r="AZ31" s="67">
        <f t="shared" si="1"/>
        <v>76.777341341176538</v>
      </c>
      <c r="BA31" s="67">
        <f t="shared" si="3"/>
        <v>246.07856401307632</v>
      </c>
      <c r="BC31">
        <f t="shared" si="4"/>
        <v>40.299043508824454</v>
      </c>
      <c r="BD31">
        <v>1013.2</v>
      </c>
      <c r="BE31">
        <f t="shared" si="5"/>
        <v>33.212758052631393</v>
      </c>
    </row>
    <row r="32" spans="1:57" x14ac:dyDescent="0.2">
      <c r="A32" s="13">
        <v>23</v>
      </c>
      <c r="B32" s="3">
        <v>12</v>
      </c>
      <c r="C32" s="17">
        <v>7</v>
      </c>
      <c r="D32" s="3">
        <v>4</v>
      </c>
      <c r="E32" s="18">
        <v>11</v>
      </c>
      <c r="F32" s="18">
        <v>12</v>
      </c>
      <c r="G32" s="18">
        <v>72</v>
      </c>
      <c r="H32" s="19">
        <v>1</v>
      </c>
      <c r="I32" s="18">
        <v>6</v>
      </c>
      <c r="J32" s="18">
        <v>22</v>
      </c>
      <c r="K32" s="20">
        <v>126</v>
      </c>
      <c r="L32" s="18">
        <v>290</v>
      </c>
      <c r="M32" s="18">
        <v>255</v>
      </c>
      <c r="N32" s="18">
        <v>299</v>
      </c>
      <c r="O32" s="18">
        <v>74</v>
      </c>
      <c r="P32" s="18">
        <v>240</v>
      </c>
      <c r="Q32" s="17">
        <v>3</v>
      </c>
      <c r="R32" s="17">
        <v>8</v>
      </c>
      <c r="S32" s="17">
        <v>3</v>
      </c>
      <c r="T32" s="17">
        <v>2</v>
      </c>
      <c r="U32" s="17">
        <v>3</v>
      </c>
      <c r="V32" s="3">
        <v>8</v>
      </c>
      <c r="W32" s="20">
        <v>60</v>
      </c>
      <c r="X32" s="17">
        <v>8</v>
      </c>
      <c r="Y32" s="17">
        <v>6</v>
      </c>
      <c r="Z32" s="17">
        <v>0</v>
      </c>
      <c r="AA32" s="20">
        <v>840</v>
      </c>
      <c r="AB32" s="3"/>
      <c r="AC32" s="3"/>
      <c r="AD32" s="20"/>
      <c r="AE32" s="3"/>
      <c r="AF32" s="3"/>
      <c r="AG32" s="20"/>
      <c r="AH32" s="107" t="s">
        <v>85</v>
      </c>
      <c r="AI32" s="107"/>
      <c r="AJ32" s="107"/>
      <c r="AK32" s="107"/>
      <c r="AL32" s="108"/>
      <c r="AN32" s="67">
        <f t="shared" si="2"/>
        <v>-3.1713522511403767</v>
      </c>
      <c r="AO32" s="67">
        <f t="shared" si="2"/>
        <v>-1.4177909053042868</v>
      </c>
      <c r="AP32" s="67">
        <f t="shared" si="2"/>
        <v>-2.1319830549777521</v>
      </c>
      <c r="AY32" s="67">
        <f t="shared" si="0"/>
        <v>302.17135225114038</v>
      </c>
      <c r="AZ32" s="67">
        <f t="shared" si="1"/>
        <v>75.417790905304287</v>
      </c>
      <c r="BA32" s="67">
        <f t="shared" si="3"/>
        <v>242.13198305497775</v>
      </c>
      <c r="BC32">
        <f t="shared" si="4"/>
        <v>40.066322365574365</v>
      </c>
      <c r="BD32">
        <v>1013.2</v>
      </c>
      <c r="BE32">
        <f t="shared" si="5"/>
        <v>32.626262153014039</v>
      </c>
    </row>
    <row r="33" spans="1:57" x14ac:dyDescent="0.2">
      <c r="A33" s="13">
        <v>24</v>
      </c>
      <c r="B33" s="3">
        <v>12</v>
      </c>
      <c r="C33" s="17">
        <v>7</v>
      </c>
      <c r="D33" s="3">
        <v>4</v>
      </c>
      <c r="E33" s="18">
        <v>11</v>
      </c>
      <c r="F33" s="18">
        <v>12</v>
      </c>
      <c r="G33" s="18">
        <v>65</v>
      </c>
      <c r="H33" s="19">
        <v>1</v>
      </c>
      <c r="I33" s="18">
        <v>15</v>
      </c>
      <c r="J33" s="18">
        <v>22</v>
      </c>
      <c r="K33" s="20">
        <v>122</v>
      </c>
      <c r="L33" s="18">
        <v>282</v>
      </c>
      <c r="M33" s="18">
        <v>255</v>
      </c>
      <c r="N33" s="18">
        <v>304</v>
      </c>
      <c r="O33" s="18">
        <v>79</v>
      </c>
      <c r="P33" s="18">
        <v>243</v>
      </c>
      <c r="Q33" s="17">
        <v>7</v>
      </c>
      <c r="R33" s="17">
        <v>8</v>
      </c>
      <c r="S33" s="17">
        <v>0</v>
      </c>
      <c r="T33" s="17">
        <v>2</v>
      </c>
      <c r="U33" s="17">
        <v>5</v>
      </c>
      <c r="V33" s="3">
        <v>8</v>
      </c>
      <c r="W33" s="20">
        <v>48</v>
      </c>
      <c r="X33" s="17">
        <v>8</v>
      </c>
      <c r="Y33" s="17">
        <v>5</v>
      </c>
      <c r="Z33" s="17">
        <v>6</v>
      </c>
      <c r="AA33" s="20">
        <v>105</v>
      </c>
      <c r="AB33" s="3"/>
      <c r="AC33" s="3"/>
      <c r="AD33" s="20"/>
      <c r="AE33" s="3"/>
      <c r="AF33" s="3"/>
      <c r="AG33" s="20"/>
      <c r="AH33" s="107" t="s">
        <v>151</v>
      </c>
      <c r="AI33" s="107"/>
      <c r="AJ33" s="107"/>
      <c r="AK33" s="107"/>
      <c r="AL33" s="108"/>
      <c r="AN33" s="67">
        <f t="shared" si="2"/>
        <v>-3.6779280863403869</v>
      </c>
      <c r="AO33" s="67">
        <f t="shared" si="2"/>
        <v>-1.44620743805865</v>
      </c>
      <c r="AP33" s="67">
        <f t="shared" si="2"/>
        <v>-2.1435549234014104</v>
      </c>
      <c r="AY33" s="67">
        <f t="shared" si="0"/>
        <v>307.67792808634039</v>
      </c>
      <c r="AZ33" s="67">
        <f t="shared" si="1"/>
        <v>80.44620743805865</v>
      </c>
      <c r="BA33" s="67">
        <f t="shared" si="3"/>
        <v>245.14355492340141</v>
      </c>
      <c r="BC33">
        <f t="shared" si="4"/>
        <v>38.246418058084821</v>
      </c>
      <c r="BD33">
        <v>1013.2</v>
      </c>
      <c r="BE33">
        <f t="shared" si="5"/>
        <v>32.626262153014039</v>
      </c>
    </row>
    <row r="34" spans="1:57" x14ac:dyDescent="0.2">
      <c r="A34" s="13">
        <v>25</v>
      </c>
      <c r="B34" s="3">
        <v>12</v>
      </c>
      <c r="C34" s="17">
        <v>8</v>
      </c>
      <c r="D34" s="3">
        <v>4</v>
      </c>
      <c r="E34" s="18">
        <v>7</v>
      </c>
      <c r="F34" s="18">
        <v>10</v>
      </c>
      <c r="G34" s="18">
        <v>66</v>
      </c>
      <c r="H34" s="19">
        <v>1</v>
      </c>
      <c r="I34" s="18">
        <v>60</v>
      </c>
      <c r="J34" s="18">
        <v>82</v>
      </c>
      <c r="K34" s="20">
        <v>141</v>
      </c>
      <c r="L34" s="18">
        <v>250</v>
      </c>
      <c r="M34" s="18">
        <v>240</v>
      </c>
      <c r="N34" s="18">
        <v>291</v>
      </c>
      <c r="O34" s="18">
        <v>92</v>
      </c>
      <c r="P34" s="18">
        <v>236</v>
      </c>
      <c r="Q34" s="17">
        <v>8</v>
      </c>
      <c r="R34" s="17">
        <v>8</v>
      </c>
      <c r="S34" s="17" t="s">
        <v>89</v>
      </c>
      <c r="T34" s="17" t="s">
        <v>89</v>
      </c>
      <c r="U34" s="17">
        <v>5</v>
      </c>
      <c r="V34" s="3">
        <v>8</v>
      </c>
      <c r="W34" s="20">
        <v>36</v>
      </c>
      <c r="X34" s="17">
        <v>8</v>
      </c>
      <c r="Y34" s="17">
        <v>8</v>
      </c>
      <c r="Z34" s="17">
        <v>6</v>
      </c>
      <c r="AA34" s="20">
        <v>105</v>
      </c>
      <c r="AB34" s="3"/>
      <c r="AC34" s="3"/>
      <c r="AD34" s="20"/>
      <c r="AE34" s="3"/>
      <c r="AF34" s="3"/>
      <c r="AG34" s="20"/>
      <c r="AH34" s="107" t="s">
        <v>165</v>
      </c>
      <c r="AI34" s="107"/>
      <c r="AJ34" s="107"/>
      <c r="AK34" s="107"/>
      <c r="AL34" s="108"/>
      <c r="AN34" s="67">
        <f t="shared" si="2"/>
        <v>-0.40471263102062949</v>
      </c>
      <c r="AO34" s="67">
        <f t="shared" si="2"/>
        <v>-1.607565657208454E-2</v>
      </c>
      <c r="AP34" s="67">
        <f t="shared" si="2"/>
        <v>-0.10213747920968785</v>
      </c>
      <c r="AY34" s="67">
        <f t="shared" si="0"/>
        <v>291.40471263102063</v>
      </c>
      <c r="AZ34" s="67">
        <f t="shared" si="1"/>
        <v>92.016075656572085</v>
      </c>
      <c r="BA34" s="67">
        <f t="shared" si="3"/>
        <v>236.10213747920969</v>
      </c>
      <c r="BC34">
        <f t="shared" si="4"/>
        <v>31.668891609615997</v>
      </c>
      <c r="BD34">
        <v>1013.2</v>
      </c>
      <c r="BE34">
        <f t="shared" si="5"/>
        <v>29.827639714302066</v>
      </c>
    </row>
    <row r="35" spans="1:57" x14ac:dyDescent="0.2">
      <c r="A35" s="13">
        <v>26</v>
      </c>
      <c r="B35" s="3">
        <v>12</v>
      </c>
      <c r="C35" s="17">
        <v>6</v>
      </c>
      <c r="D35" s="3">
        <v>4</v>
      </c>
      <c r="E35" s="18">
        <v>11</v>
      </c>
      <c r="F35" s="18">
        <v>12</v>
      </c>
      <c r="G35" s="18">
        <v>59</v>
      </c>
      <c r="H35" s="19">
        <v>1</v>
      </c>
      <c r="I35" s="18">
        <v>15</v>
      </c>
      <c r="J35" s="18">
        <v>81</v>
      </c>
      <c r="K35" s="20">
        <v>145</v>
      </c>
      <c r="L35" s="18">
        <v>280</v>
      </c>
      <c r="M35" s="18">
        <v>254</v>
      </c>
      <c r="N35" s="18">
        <v>304</v>
      </c>
      <c r="O35" s="18">
        <v>80</v>
      </c>
      <c r="P35" s="18">
        <v>243</v>
      </c>
      <c r="Q35" s="17">
        <v>6</v>
      </c>
      <c r="R35" s="17">
        <v>4</v>
      </c>
      <c r="S35" s="17">
        <v>0</v>
      </c>
      <c r="T35" s="17">
        <v>0</v>
      </c>
      <c r="U35" s="17">
        <v>6</v>
      </c>
      <c r="V35" s="3">
        <v>8</v>
      </c>
      <c r="W35" s="20">
        <v>54</v>
      </c>
      <c r="X35" s="17">
        <v>8</v>
      </c>
      <c r="Y35" s="3"/>
      <c r="Z35" s="3"/>
      <c r="AA35" s="20"/>
      <c r="AB35" s="3"/>
      <c r="AC35" s="3"/>
      <c r="AD35" s="20"/>
      <c r="AE35" s="3"/>
      <c r="AF35" s="3"/>
      <c r="AG35" s="20"/>
      <c r="AH35" s="107" t="s">
        <v>172</v>
      </c>
      <c r="AI35" s="107"/>
      <c r="AJ35" s="107"/>
      <c r="AK35" s="107"/>
      <c r="AL35" s="108"/>
      <c r="AN35" s="67">
        <f t="shared" si="2"/>
        <v>-2.433504034160535</v>
      </c>
      <c r="AO35" s="67">
        <f t="shared" si="2"/>
        <v>-1.0608676032612294</v>
      </c>
      <c r="AP35" s="67">
        <f t="shared" si="2"/>
        <v>-1.467125050535742</v>
      </c>
      <c r="AY35" s="67">
        <f t="shared" si="0"/>
        <v>306.43350403416053</v>
      </c>
      <c r="AZ35" s="67">
        <f t="shared" si="1"/>
        <v>81.060867603261229</v>
      </c>
      <c r="BA35" s="67">
        <f t="shared" si="3"/>
        <v>244.46712505053574</v>
      </c>
      <c r="BC35">
        <f t="shared" si="4"/>
        <v>37.802889741317315</v>
      </c>
      <c r="BD35">
        <v>1013.2</v>
      </c>
      <c r="BE35">
        <f t="shared" si="5"/>
        <v>32.432787604968055</v>
      </c>
    </row>
    <row r="36" spans="1:57" x14ac:dyDescent="0.2">
      <c r="A36" s="13">
        <v>27</v>
      </c>
      <c r="B36" s="3">
        <v>12</v>
      </c>
      <c r="C36" s="17">
        <v>5</v>
      </c>
      <c r="D36" s="3">
        <v>4</v>
      </c>
      <c r="E36" s="18">
        <v>9</v>
      </c>
      <c r="F36" s="18">
        <v>17</v>
      </c>
      <c r="G36" s="18">
        <v>68</v>
      </c>
      <c r="H36" s="19">
        <v>1</v>
      </c>
      <c r="I36" s="18">
        <v>5</v>
      </c>
      <c r="J36" s="18">
        <v>22</v>
      </c>
      <c r="K36" s="20">
        <v>137</v>
      </c>
      <c r="L36" s="18">
        <v>296</v>
      </c>
      <c r="M36" s="18">
        <v>259</v>
      </c>
      <c r="N36" s="18">
        <v>304</v>
      </c>
      <c r="O36" s="18">
        <v>73</v>
      </c>
      <c r="P36" s="18">
        <v>243</v>
      </c>
      <c r="Q36" s="17">
        <v>3</v>
      </c>
      <c r="R36" s="17">
        <v>8</v>
      </c>
      <c r="S36" s="17">
        <v>4</v>
      </c>
      <c r="T36" s="17">
        <v>1</v>
      </c>
      <c r="U36" s="17">
        <v>2</v>
      </c>
      <c r="V36" s="3">
        <v>8</v>
      </c>
      <c r="W36" s="20">
        <v>57</v>
      </c>
      <c r="X36" s="17">
        <v>8</v>
      </c>
      <c r="Y36" s="3"/>
      <c r="Z36" s="3"/>
      <c r="AA36" s="20"/>
      <c r="AB36" s="3"/>
      <c r="AC36" s="3"/>
      <c r="AD36" s="20"/>
      <c r="AE36" s="3"/>
      <c r="AF36" s="3"/>
      <c r="AG36" s="20"/>
      <c r="AH36" s="107" t="s">
        <v>85</v>
      </c>
      <c r="AI36" s="107"/>
      <c r="AJ36" s="107"/>
      <c r="AK36" s="107"/>
      <c r="AL36" s="108"/>
      <c r="AN36" s="67">
        <f t="shared" si="2"/>
        <v>-4.6236619565436854</v>
      </c>
      <c r="AO36" s="67">
        <f t="shared" si="2"/>
        <v>-1.4022081103360051</v>
      </c>
      <c r="AP36" s="67">
        <f t="shared" si="2"/>
        <v>-2.6560263112451992</v>
      </c>
      <c r="AY36" s="67">
        <f t="shared" si="0"/>
        <v>308.62366195654369</v>
      </c>
      <c r="AZ36" s="67">
        <f t="shared" si="1"/>
        <v>74.402208110336005</v>
      </c>
      <c r="BA36" s="67">
        <f t="shared" si="3"/>
        <v>245.6560263112452</v>
      </c>
      <c r="BC36">
        <f t="shared" si="4"/>
        <v>41.480443900114501</v>
      </c>
      <c r="BD36">
        <v>1013.2</v>
      </c>
      <c r="BE36">
        <f t="shared" si="5"/>
        <v>33.410295667258367</v>
      </c>
    </row>
    <row r="37" spans="1:57" x14ac:dyDescent="0.2">
      <c r="A37" s="13">
        <v>28</v>
      </c>
      <c r="B37" s="3">
        <v>12</v>
      </c>
      <c r="C37" s="17">
        <v>8</v>
      </c>
      <c r="D37" s="3">
        <v>4</v>
      </c>
      <c r="E37" s="18">
        <v>8</v>
      </c>
      <c r="F37" s="18">
        <v>10</v>
      </c>
      <c r="G37" s="18">
        <v>56</v>
      </c>
      <c r="H37" s="19">
        <v>1</v>
      </c>
      <c r="I37" s="18">
        <v>60</v>
      </c>
      <c r="J37" s="18">
        <v>82</v>
      </c>
      <c r="K37" s="20">
        <v>168</v>
      </c>
      <c r="L37" s="18">
        <v>257</v>
      </c>
      <c r="M37" s="18">
        <v>245</v>
      </c>
      <c r="N37" s="18">
        <v>300</v>
      </c>
      <c r="O37" s="18">
        <v>90</v>
      </c>
      <c r="P37" s="18">
        <v>240</v>
      </c>
      <c r="Q37" s="17">
        <v>8</v>
      </c>
      <c r="R37" s="17">
        <v>8</v>
      </c>
      <c r="S37" s="17" t="s">
        <v>89</v>
      </c>
      <c r="T37" s="17" t="s">
        <v>89</v>
      </c>
      <c r="U37" s="17">
        <v>4</v>
      </c>
      <c r="V37" s="3">
        <v>8</v>
      </c>
      <c r="W37" s="20">
        <v>51</v>
      </c>
      <c r="X37" s="17">
        <v>8</v>
      </c>
      <c r="Y37" s="17">
        <v>8</v>
      </c>
      <c r="Z37" s="17">
        <v>6</v>
      </c>
      <c r="AA37" s="20">
        <v>114</v>
      </c>
      <c r="AB37" s="3"/>
      <c r="AC37" s="3"/>
      <c r="AD37" s="20"/>
      <c r="AE37" s="3"/>
      <c r="AF37" s="3"/>
      <c r="AG37" s="20"/>
      <c r="AH37" s="107" t="s">
        <v>195</v>
      </c>
      <c r="AI37" s="107"/>
      <c r="AJ37" s="107"/>
      <c r="AK37" s="107"/>
      <c r="AL37" s="108"/>
      <c r="AN37" s="67">
        <f t="shared" si="2"/>
        <v>0.88865716792929561</v>
      </c>
      <c r="AO37" s="67">
        <f t="shared" si="2"/>
        <v>-0.59520902924749919</v>
      </c>
      <c r="AP37" s="67">
        <f t="shared" si="2"/>
        <v>-0.43761833512576231</v>
      </c>
      <c r="AY37" s="67">
        <f t="shared" si="0"/>
        <v>299.1113428320707</v>
      </c>
      <c r="AZ37" s="67">
        <f t="shared" si="1"/>
        <v>90.595209029247499</v>
      </c>
      <c r="BA37" s="67">
        <f t="shared" si="3"/>
        <v>240.43761833512576</v>
      </c>
      <c r="BC37">
        <f t="shared" si="4"/>
        <v>33.016242915837466</v>
      </c>
      <c r="BD37">
        <v>1013.2</v>
      </c>
      <c r="BE37">
        <f t="shared" si="5"/>
        <v>30.736197835927069</v>
      </c>
    </row>
    <row r="38" spans="1:57" x14ac:dyDescent="0.2">
      <c r="A38" s="13">
        <v>29</v>
      </c>
      <c r="B38" s="3">
        <v>12</v>
      </c>
      <c r="C38" s="17">
        <v>7</v>
      </c>
      <c r="D38" s="3">
        <v>4</v>
      </c>
      <c r="E38" s="18">
        <v>6</v>
      </c>
      <c r="F38" s="18">
        <v>15</v>
      </c>
      <c r="G38" s="18">
        <v>64</v>
      </c>
      <c r="H38" s="19">
        <v>1</v>
      </c>
      <c r="I38" s="18">
        <v>60</v>
      </c>
      <c r="J38" s="18">
        <v>62</v>
      </c>
      <c r="K38" s="20">
        <v>152</v>
      </c>
      <c r="L38" s="18">
        <v>274</v>
      </c>
      <c r="M38" s="18">
        <v>248</v>
      </c>
      <c r="N38" s="18">
        <v>294</v>
      </c>
      <c r="O38" s="18">
        <v>80</v>
      </c>
      <c r="P38" s="18">
        <v>237</v>
      </c>
      <c r="Q38" s="17">
        <v>7</v>
      </c>
      <c r="R38" s="17">
        <v>8</v>
      </c>
      <c r="S38" s="17">
        <v>7</v>
      </c>
      <c r="T38" s="17">
        <v>0</v>
      </c>
      <c r="U38" s="17">
        <v>3</v>
      </c>
      <c r="V38" s="3">
        <v>8</v>
      </c>
      <c r="W38" s="20">
        <v>45</v>
      </c>
      <c r="X38" s="17">
        <v>8</v>
      </c>
      <c r="Y38" s="17">
        <v>7</v>
      </c>
      <c r="Z38" s="17">
        <v>6</v>
      </c>
      <c r="AA38" s="20">
        <v>105</v>
      </c>
      <c r="AB38" s="3"/>
      <c r="AC38" s="3"/>
      <c r="AD38" s="20"/>
      <c r="AE38" s="3"/>
      <c r="AF38" s="3"/>
      <c r="AG38" s="20"/>
      <c r="AH38" s="107" t="s">
        <v>205</v>
      </c>
      <c r="AI38" s="107"/>
      <c r="AJ38" s="107"/>
      <c r="AK38" s="107"/>
      <c r="AL38" s="108"/>
      <c r="AN38" s="67">
        <f t="shared" si="2"/>
        <v>-1.0464587358051176</v>
      </c>
      <c r="AO38" s="67">
        <f t="shared" si="2"/>
        <v>-0.83651667085327119</v>
      </c>
      <c r="AP38" s="67">
        <f t="shared" si="2"/>
        <v>-1.1632126908172893</v>
      </c>
      <c r="AY38" s="67">
        <f t="shared" si="0"/>
        <v>295.04645873580512</v>
      </c>
      <c r="AZ38" s="67">
        <f t="shared" si="1"/>
        <v>80.836516670853271</v>
      </c>
      <c r="BA38" s="67">
        <f t="shared" si="3"/>
        <v>238.16321269081729</v>
      </c>
      <c r="BC38">
        <f t="shared" si="4"/>
        <v>36.499155441984577</v>
      </c>
      <c r="BD38">
        <v>1013.2</v>
      </c>
      <c r="BE38">
        <f t="shared" si="5"/>
        <v>31.29288340580451</v>
      </c>
    </row>
    <row r="39" spans="1:57" x14ac:dyDescent="0.2">
      <c r="A39" s="13">
        <v>30</v>
      </c>
      <c r="B39" s="3">
        <v>12</v>
      </c>
      <c r="C39" s="17">
        <v>7</v>
      </c>
      <c r="D39" s="3">
        <v>4</v>
      </c>
      <c r="E39" s="18">
        <v>8</v>
      </c>
      <c r="F39" s="18">
        <v>12</v>
      </c>
      <c r="G39" s="18">
        <v>68</v>
      </c>
      <c r="H39" s="19">
        <v>1</v>
      </c>
      <c r="I39" s="18">
        <v>5</v>
      </c>
      <c r="J39" s="18">
        <v>22</v>
      </c>
      <c r="K39" s="20">
        <v>137</v>
      </c>
      <c r="L39" s="18">
        <v>288</v>
      </c>
      <c r="M39" s="18">
        <v>245</v>
      </c>
      <c r="N39" s="18">
        <v>272</v>
      </c>
      <c r="O39" s="18">
        <v>69</v>
      </c>
      <c r="P39" s="18">
        <v>225</v>
      </c>
      <c r="Q39" s="17">
        <v>4</v>
      </c>
      <c r="R39" s="17">
        <v>8</v>
      </c>
      <c r="S39" s="17">
        <v>7</v>
      </c>
      <c r="T39" s="17">
        <v>2</v>
      </c>
      <c r="U39" s="17">
        <v>2</v>
      </c>
      <c r="V39" s="3">
        <v>8</v>
      </c>
      <c r="W39" s="20">
        <v>57</v>
      </c>
      <c r="X39" s="17">
        <v>8</v>
      </c>
      <c r="Y39" s="17">
        <v>4</v>
      </c>
      <c r="Z39" s="17">
        <v>6</v>
      </c>
      <c r="AA39" s="20">
        <v>105</v>
      </c>
      <c r="AB39" s="17">
        <v>5</v>
      </c>
      <c r="AC39" s="17">
        <v>4</v>
      </c>
      <c r="AD39" s="20">
        <v>300</v>
      </c>
      <c r="AE39" s="3"/>
      <c r="AF39" s="3"/>
      <c r="AG39" s="20"/>
      <c r="AH39" s="107" t="s">
        <v>85</v>
      </c>
      <c r="AI39" s="107"/>
      <c r="AJ39" s="107"/>
      <c r="AK39" s="107"/>
      <c r="AL39" s="108"/>
      <c r="AN39" s="67">
        <f t="shared" si="2"/>
        <v>-5.7972010534706442</v>
      </c>
      <c r="AO39" s="67">
        <f t="shared" si="2"/>
        <v>-1.1430169879526488</v>
      </c>
      <c r="AP39" s="67">
        <f t="shared" si="2"/>
        <v>-3.1956576795770104</v>
      </c>
      <c r="AY39" s="67">
        <f t="shared" si="0"/>
        <v>277.79720105347064</v>
      </c>
      <c r="AZ39" s="67">
        <f t="shared" si="1"/>
        <v>70.143016987952649</v>
      </c>
      <c r="BA39" s="67">
        <f t="shared" si="3"/>
        <v>228.19565767957701</v>
      </c>
      <c r="BC39">
        <f t="shared" si="4"/>
        <v>39.60439869605031</v>
      </c>
      <c r="BD39">
        <v>1013.2</v>
      </c>
      <c r="BE39">
        <f t="shared" si="5"/>
        <v>30.736197835927069</v>
      </c>
    </row>
    <row r="40" spans="1:57" x14ac:dyDescent="0.2">
      <c r="A40" s="13"/>
      <c r="B40" s="3"/>
      <c r="C40" s="17"/>
      <c r="D40" s="3"/>
      <c r="E40" s="18"/>
      <c r="F40" s="18"/>
      <c r="G40" s="18"/>
      <c r="H40" s="19"/>
      <c r="I40" s="18"/>
      <c r="J40" s="18"/>
      <c r="K40" s="20"/>
      <c r="L40" s="18"/>
      <c r="M40" s="18"/>
      <c r="N40" s="18"/>
      <c r="O40" s="18"/>
      <c r="P40" s="18"/>
      <c r="Q40" s="17"/>
      <c r="R40" s="17"/>
      <c r="S40" s="17"/>
      <c r="T40" s="17"/>
      <c r="U40" s="17"/>
      <c r="V40" s="3"/>
      <c r="W40" s="20"/>
      <c r="X40" s="17"/>
      <c r="Y40" s="3"/>
      <c r="Z40" s="3"/>
      <c r="AA40" s="20"/>
      <c r="AB40" s="3"/>
      <c r="AC40" s="3"/>
      <c r="AD40" s="20"/>
      <c r="AE40" s="3"/>
      <c r="AF40" s="3"/>
      <c r="AG40" s="20"/>
      <c r="AH40" s="107"/>
      <c r="AI40" s="107"/>
      <c r="AJ40" s="107"/>
      <c r="AK40" s="107"/>
      <c r="AL40" s="108"/>
      <c r="AN40" s="67"/>
      <c r="AO40" s="67"/>
      <c r="AP40" s="67"/>
      <c r="AY40" s="67">
        <f t="shared" si="0"/>
        <v>61.120000000000005</v>
      </c>
      <c r="AZ40" s="67">
        <f t="shared" si="1"/>
        <v>100</v>
      </c>
      <c r="BA40" s="67">
        <f t="shared" si="3"/>
        <v>0</v>
      </c>
      <c r="BC40">
        <f t="shared" si="4"/>
        <v>6.1120000000000001</v>
      </c>
      <c r="BD40">
        <v>1013.2</v>
      </c>
      <c r="BE40">
        <f t="shared" si="5"/>
        <v>6.1120000000000001</v>
      </c>
    </row>
    <row r="41" spans="1:57" x14ac:dyDescent="0.2">
      <c r="A41" s="18"/>
      <c r="B41" s="3"/>
      <c r="C41" s="17"/>
      <c r="D41" s="3"/>
      <c r="E41" s="18"/>
      <c r="F41" s="18"/>
      <c r="G41" s="18"/>
      <c r="H41" s="19"/>
      <c r="I41" s="18"/>
      <c r="J41" s="18"/>
      <c r="K41" s="20"/>
      <c r="L41" s="18"/>
      <c r="M41" s="18"/>
      <c r="N41" s="18"/>
      <c r="O41" s="18"/>
      <c r="P41" s="18"/>
      <c r="Q41" s="17"/>
      <c r="R41" s="17"/>
      <c r="S41" s="17"/>
      <c r="T41" s="17"/>
      <c r="U41" s="17"/>
      <c r="V41" s="3"/>
      <c r="W41" s="20"/>
      <c r="X41" s="3"/>
      <c r="Y41" s="3"/>
      <c r="Z41" s="3"/>
      <c r="AA41" s="20"/>
      <c r="AB41" s="3"/>
      <c r="AC41" s="3"/>
      <c r="AD41" s="20"/>
      <c r="AE41" s="3"/>
      <c r="AF41" s="3"/>
      <c r="AG41" s="20"/>
      <c r="AH41" s="109" t="s">
        <v>230</v>
      </c>
      <c r="AI41" s="107"/>
      <c r="AJ41" s="107"/>
      <c r="AK41" s="107"/>
      <c r="AL41" s="108"/>
      <c r="AN41" s="67"/>
      <c r="AO41" s="67"/>
      <c r="AP41" s="67"/>
    </row>
    <row r="42" spans="1:57" x14ac:dyDescent="0.2">
      <c r="A42" s="13" t="s">
        <v>9</v>
      </c>
      <c r="B42" s="1"/>
      <c r="C42" s="21">
        <f>SUM(C10:C40)</f>
        <v>160</v>
      </c>
      <c r="D42" s="1"/>
      <c r="E42" s="13"/>
      <c r="F42" s="13">
        <f>SUM(F10:F40)</f>
        <v>379</v>
      </c>
      <c r="G42" s="13"/>
      <c r="H42" s="2"/>
      <c r="I42" s="13"/>
      <c r="J42" s="13"/>
      <c r="K42" s="22">
        <f>SUM(K10:K40)</f>
        <v>4126</v>
      </c>
      <c r="L42" s="13">
        <f>SUM(L10:L40)</f>
        <v>8685</v>
      </c>
      <c r="M42" s="13">
        <f>SUM(M10:M40)</f>
        <v>7575</v>
      </c>
      <c r="N42" s="13">
        <f>SUM(N10:N40)</f>
        <v>8782</v>
      </c>
      <c r="O42" s="13">
        <f>SUM(O10:O40)</f>
        <v>2204</v>
      </c>
      <c r="P42" s="13">
        <f t="shared" ref="P42" si="6">SUM(P10:P40)</f>
        <v>7093</v>
      </c>
      <c r="Q42" s="21">
        <f>SUM(Q10:Q40)</f>
        <v>113</v>
      </c>
      <c r="R42" s="21"/>
      <c r="S42" s="21"/>
      <c r="T42" s="21"/>
      <c r="U42" s="21"/>
      <c r="V42" s="1"/>
      <c r="W42" s="22"/>
      <c r="X42" s="1"/>
      <c r="Y42" s="1"/>
      <c r="Z42" s="1"/>
      <c r="AA42" s="22"/>
      <c r="AB42" s="1"/>
      <c r="AC42" s="1"/>
      <c r="AD42" s="22"/>
      <c r="AE42" s="1"/>
      <c r="AF42" s="1"/>
      <c r="AG42" s="22"/>
      <c r="AH42" s="116"/>
      <c r="AI42" s="116"/>
      <c r="AJ42" s="116"/>
      <c r="AK42" s="116"/>
      <c r="AL42" s="117"/>
      <c r="AN42" s="67"/>
      <c r="AO42" s="67"/>
      <c r="AP42" s="67"/>
    </row>
    <row r="43" spans="1:57" ht="13.5" thickBot="1" x14ac:dyDescent="0.25">
      <c r="A43" s="23" t="s">
        <v>10</v>
      </c>
      <c r="B43" s="24"/>
      <c r="C43" s="25">
        <f>AVERAGE(C10:C40)</f>
        <v>5.333333333333333</v>
      </c>
      <c r="D43" s="24"/>
      <c r="E43" s="23">
        <f>MODE(E10:E40)</f>
        <v>12</v>
      </c>
      <c r="F43" s="23">
        <f>AVERAGE(F10:F40)</f>
        <v>12.633333333333333</v>
      </c>
      <c r="G43" s="23"/>
      <c r="H43" s="26"/>
      <c r="I43" s="23"/>
      <c r="J43" s="23"/>
      <c r="K43" s="27">
        <f>AVERAGE(K10:K40)</f>
        <v>137.53333333333333</v>
      </c>
      <c r="L43" s="23">
        <f t="shared" ref="L43:Q43" si="7">AVERAGE(L10:L40)</f>
        <v>289.5</v>
      </c>
      <c r="M43" s="23">
        <f t="shared" si="7"/>
        <v>252.5</v>
      </c>
      <c r="N43" s="23">
        <f t="shared" si="7"/>
        <v>292.73333333333335</v>
      </c>
      <c r="O43" s="23">
        <f t="shared" si="7"/>
        <v>73.466666666666669</v>
      </c>
      <c r="P43" s="23">
        <f>AVERAGE(P10:P40)</f>
        <v>236.43333333333334</v>
      </c>
      <c r="Q43" s="25">
        <f t="shared" si="7"/>
        <v>3.7666666666666666</v>
      </c>
      <c r="R43" s="25"/>
      <c r="S43" s="25"/>
      <c r="T43" s="25"/>
      <c r="U43" s="25"/>
      <c r="V43" s="24"/>
      <c r="W43" s="27"/>
      <c r="X43" s="24"/>
      <c r="Y43" s="24"/>
      <c r="Z43" s="24"/>
      <c r="AA43" s="27"/>
      <c r="AB43" s="24"/>
      <c r="AC43" s="24"/>
      <c r="AD43" s="27"/>
      <c r="AE43" s="24"/>
      <c r="AF43" s="24"/>
      <c r="AG43" s="27"/>
      <c r="AH43" s="111"/>
      <c r="AI43" s="111"/>
      <c r="AJ43" s="111"/>
      <c r="AK43" s="111"/>
      <c r="AL43" s="112"/>
      <c r="AN43" s="67">
        <f>AVERAGE(AN10:AN40)</f>
        <v>-3.4138362557572539</v>
      </c>
      <c r="AO43" s="67">
        <f t="shared" ref="AO43:AP43" si="8">AVERAGE(AO10:AO40)</f>
        <v>-0.935426310971885</v>
      </c>
      <c r="AP43" s="67">
        <f t="shared" si="8"/>
        <v>-2.1925916832502526</v>
      </c>
    </row>
    <row r="44" spans="1:57" x14ac:dyDescent="0.2">
      <c r="E44" s="11"/>
      <c r="G44" s="11"/>
      <c r="K44" s="4"/>
      <c r="M44" s="11"/>
      <c r="P44" s="11"/>
      <c r="Q44" s="11"/>
      <c r="W44" s="4"/>
      <c r="AA44" s="4"/>
      <c r="AD44" s="4"/>
    </row>
    <row r="45" spans="1:57" x14ac:dyDescent="0.2">
      <c r="E45" s="11"/>
      <c r="G45" s="11"/>
      <c r="K45" s="4"/>
      <c r="M45" s="11"/>
      <c r="P45" s="11"/>
      <c r="Q45" s="11"/>
      <c r="W45" s="4"/>
      <c r="AA45" s="4"/>
    </row>
    <row r="46" spans="1:57" x14ac:dyDescent="0.2">
      <c r="E46" s="11"/>
      <c r="G46" s="11"/>
      <c r="M46" s="11"/>
      <c r="P46" s="11"/>
      <c r="Q46" s="11"/>
      <c r="W46" s="4"/>
      <c r="AA46" s="4"/>
    </row>
    <row r="47" spans="1:57" x14ac:dyDescent="0.2">
      <c r="E47" s="11"/>
      <c r="G47" s="11"/>
      <c r="M47" s="11"/>
      <c r="P47" s="11"/>
      <c r="Q47" s="11"/>
    </row>
    <row r="48" spans="1:57" x14ac:dyDescent="0.2">
      <c r="E48" s="11"/>
      <c r="G48" s="11"/>
      <c r="M48" s="11"/>
      <c r="P48" s="11"/>
      <c r="Q48" s="11"/>
    </row>
    <row r="49" spans="5:17" x14ac:dyDescent="0.2">
      <c r="E49" s="11"/>
      <c r="G49" s="11"/>
      <c r="M49" s="11"/>
      <c r="P49" s="11"/>
      <c r="Q49" s="11"/>
    </row>
  </sheetData>
  <mergeCells count="72">
    <mergeCell ref="AH41:AL41"/>
    <mergeCell ref="AH42:AL42"/>
    <mergeCell ref="AH43:AL43"/>
    <mergeCell ref="AH36:AL36"/>
    <mergeCell ref="AH37:AL37"/>
    <mergeCell ref="AH38:AL38"/>
    <mergeCell ref="AH39:AL39"/>
    <mergeCell ref="AH40:AL40"/>
    <mergeCell ref="AH31:AL31"/>
    <mergeCell ref="AH32:AL32"/>
    <mergeCell ref="AH33:AL33"/>
    <mergeCell ref="AH34:AL34"/>
    <mergeCell ref="AH35:AL35"/>
    <mergeCell ref="AH26:AL26"/>
    <mergeCell ref="AH27:AL27"/>
    <mergeCell ref="AH28:AL28"/>
    <mergeCell ref="AH29:AL29"/>
    <mergeCell ref="AH30:AL30"/>
    <mergeCell ref="AH21:AL21"/>
    <mergeCell ref="AH22:AL22"/>
    <mergeCell ref="AH23:AL23"/>
    <mergeCell ref="AH24:AL24"/>
    <mergeCell ref="AH25:AL25"/>
    <mergeCell ref="AH16:AL16"/>
    <mergeCell ref="AH17:AL17"/>
    <mergeCell ref="AH18:AL18"/>
    <mergeCell ref="AH19:AL19"/>
    <mergeCell ref="AH20:AL20"/>
    <mergeCell ref="AH11:AL11"/>
    <mergeCell ref="AH12:AL12"/>
    <mergeCell ref="AH13:AL13"/>
    <mergeCell ref="AH14:AL14"/>
    <mergeCell ref="AH15:AL15"/>
    <mergeCell ref="U8:W8"/>
    <mergeCell ref="X8:AA8"/>
    <mergeCell ref="AB8:AD8"/>
    <mergeCell ref="AE8:AG8"/>
    <mergeCell ref="AH10:AL10"/>
    <mergeCell ref="AH7:AL9"/>
    <mergeCell ref="P8:P9"/>
    <mergeCell ref="Q8:Q9"/>
    <mergeCell ref="R8:R9"/>
    <mergeCell ref="S8:S9"/>
    <mergeCell ref="T8:T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3:T3"/>
    <mergeCell ref="E7:F7"/>
    <mergeCell ref="L7:P7"/>
    <mergeCell ref="Q7:T7"/>
    <mergeCell ref="U7:AG7"/>
    <mergeCell ref="AN7:AP7"/>
    <mergeCell ref="AY7:BA7"/>
    <mergeCell ref="AN8:AN9"/>
    <mergeCell ref="AO8:AO9"/>
    <mergeCell ref="AP8:AP9"/>
    <mergeCell ref="AY8:AY9"/>
    <mergeCell ref="AZ8:AZ9"/>
    <mergeCell ref="BA8:BA9"/>
  </mergeCells>
  <phoneticPr fontId="2" type="noConversion"/>
  <dataValidations count="5">
    <dataValidation type="whole" allowBlank="1" showInputMessage="1" showErrorMessage="1" sqref="C10:C40" xr:uid="{00000000-0002-0000-0700-000000000000}">
      <formula1>0</formula1>
      <formula2>9</formula2>
    </dataValidation>
    <dataValidation type="whole" allowBlank="1" showInputMessage="1" showErrorMessage="1" sqref="Y10:Y40" xr:uid="{00000000-0002-0000-0700-000001000000}">
      <formula1>3</formula1>
      <formula2>9</formula2>
    </dataValidation>
    <dataValidation type="whole" allowBlank="1" showInputMessage="1" showErrorMessage="1" sqref="AB10:AB40" xr:uid="{00000000-0002-0000-0700-000002000000}">
      <formula1>5</formula1>
      <formula2>9</formula2>
    </dataValidation>
    <dataValidation type="whole" allowBlank="1" showInputMessage="1" showErrorMessage="1" sqref="D10:D40" xr:uid="{00000000-0002-0000-0700-000003000000}">
      <formula1>0</formula1>
      <formula2>4</formula2>
    </dataValidation>
    <dataValidation type="whole" allowBlank="1" showInputMessage="1" showErrorMessage="1" sqref="AE10:AE40" xr:uid="{00000000-0002-0000-0700-000004000000}">
      <formula1>1</formula1>
      <formula2>9</formula2>
    </dataValidation>
  </dataValidations>
  <pageMargins left="0.75" right="0.75" top="1" bottom="1" header="0.5" footer="0.5"/>
  <pageSetup orientation="portrait" horizont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49"/>
  <sheetViews>
    <sheetView workbookViewId="0">
      <pane xSplit="2" ySplit="9" topLeftCell="C10" activePane="bottomRight" state="frozen"/>
      <selection activeCell="AM2" sqref="AM2"/>
      <selection pane="topRight" activeCell="AM2" sqref="AM2"/>
      <selection pane="bottomLeft" activeCell="AM2" sqref="AM2"/>
      <selection pane="bottomRight" activeCell="AA42" sqref="AA42"/>
    </sheetView>
  </sheetViews>
  <sheetFormatPr defaultRowHeight="12.75" x14ac:dyDescent="0.2"/>
  <cols>
    <col min="1" max="1" width="4.28515625" bestFit="1" customWidth="1"/>
    <col min="2" max="2" width="5.140625" bestFit="1" customWidth="1"/>
    <col min="3" max="3" width="4" bestFit="1" customWidth="1"/>
    <col min="4" max="5" width="3" bestFit="1" customWidth="1"/>
    <col min="6" max="6" width="4" bestFit="1" customWidth="1"/>
    <col min="7" max="10" width="3" bestFit="1" customWidth="1"/>
    <col min="11" max="11" width="8.5703125" bestFit="1" customWidth="1"/>
    <col min="12" max="16" width="5" bestFit="1" customWidth="1"/>
    <col min="17" max="17" width="4" bestFit="1" customWidth="1"/>
    <col min="18" max="22" width="3" bestFit="1" customWidth="1"/>
    <col min="23" max="23" width="5.28515625" bestFit="1" customWidth="1"/>
    <col min="24" max="26" width="3" bestFit="1" customWidth="1"/>
    <col min="27" max="27" width="5.28515625" bestFit="1" customWidth="1"/>
    <col min="28" max="29" width="3" bestFit="1" customWidth="1"/>
    <col min="30" max="30" width="5.28515625" bestFit="1" customWidth="1"/>
    <col min="31" max="32" width="3" bestFit="1" customWidth="1"/>
    <col min="33" max="33" width="5.28515625" bestFit="1" customWidth="1"/>
    <col min="34" max="34" width="5.42578125" customWidth="1"/>
    <col min="40" max="42" width="4.7109375" customWidth="1"/>
    <col min="50" max="58" width="0" hidden="1" customWidth="1"/>
  </cols>
  <sheetData>
    <row r="1" spans="1:5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  <c r="P1" s="1"/>
      <c r="Q1" s="1"/>
      <c r="R1" s="1"/>
    </row>
    <row r="2" spans="1:57" ht="36.75" customHeight="1" x14ac:dyDescent="0.2">
      <c r="A2" s="1"/>
      <c r="B2" s="1"/>
      <c r="C2" s="1"/>
      <c r="D2" s="1"/>
      <c r="E2" s="1"/>
      <c r="F2" s="1"/>
      <c r="G2" s="1"/>
      <c r="H2" s="1"/>
      <c r="I2" s="2"/>
      <c r="J2" s="2"/>
      <c r="K2" s="1"/>
      <c r="L2" s="1"/>
      <c r="M2" s="1"/>
      <c r="O2" s="2"/>
      <c r="P2" s="1"/>
      <c r="Q2" s="1"/>
      <c r="R2" s="1"/>
    </row>
    <row r="3" spans="1:5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80"/>
      <c r="Q3" s="80"/>
      <c r="R3" s="80"/>
      <c r="S3" s="80"/>
      <c r="T3" s="80"/>
    </row>
    <row r="4" spans="1:5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7" spans="1:57" ht="14.25" x14ac:dyDescent="0.25">
      <c r="A7" s="7"/>
      <c r="B7" s="7"/>
      <c r="C7" s="7"/>
      <c r="D7" s="7"/>
      <c r="E7" s="81" t="s">
        <v>20</v>
      </c>
      <c r="F7" s="81"/>
      <c r="G7" s="7"/>
      <c r="H7" s="7"/>
      <c r="I7" s="7"/>
      <c r="J7" s="7"/>
      <c r="K7" s="7"/>
      <c r="L7" s="82" t="s">
        <v>11</v>
      </c>
      <c r="M7" s="82"/>
      <c r="N7" s="82"/>
      <c r="O7" s="82"/>
      <c r="P7" s="82"/>
      <c r="Q7" s="83" t="s">
        <v>29</v>
      </c>
      <c r="R7" s="83"/>
      <c r="S7" s="83"/>
      <c r="T7" s="83"/>
      <c r="U7" s="84" t="s">
        <v>33</v>
      </c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98" t="s">
        <v>8</v>
      </c>
      <c r="AI7" s="99"/>
      <c r="AJ7" s="99"/>
      <c r="AK7" s="99"/>
      <c r="AL7" s="100"/>
      <c r="AN7" s="73" t="s">
        <v>80</v>
      </c>
      <c r="AO7" s="74"/>
      <c r="AP7" s="75"/>
      <c r="AY7" s="76" t="s">
        <v>81</v>
      </c>
      <c r="AZ7" s="77"/>
      <c r="BA7" s="78"/>
    </row>
    <row r="8" spans="1:57" ht="16.5" customHeight="1" x14ac:dyDescent="0.2">
      <c r="A8" s="85" t="s">
        <v>18</v>
      </c>
      <c r="B8" s="89" t="s">
        <v>19</v>
      </c>
      <c r="C8" s="90" t="s">
        <v>23</v>
      </c>
      <c r="D8" s="88" t="s">
        <v>24</v>
      </c>
      <c r="E8" s="91" t="s">
        <v>25</v>
      </c>
      <c r="F8" s="86" t="s">
        <v>26</v>
      </c>
      <c r="G8" s="88" t="s">
        <v>27</v>
      </c>
      <c r="H8" s="88" t="s">
        <v>0</v>
      </c>
      <c r="I8" s="88" t="s">
        <v>21</v>
      </c>
      <c r="J8" s="88" t="s">
        <v>22</v>
      </c>
      <c r="K8" s="85" t="s">
        <v>28</v>
      </c>
      <c r="L8" s="79" t="s">
        <v>1</v>
      </c>
      <c r="M8" s="79" t="s">
        <v>2</v>
      </c>
      <c r="N8" s="79" t="s">
        <v>3</v>
      </c>
      <c r="O8" s="79" t="s">
        <v>4</v>
      </c>
      <c r="P8" s="79" t="s">
        <v>5</v>
      </c>
      <c r="Q8" s="92" t="s">
        <v>34</v>
      </c>
      <c r="R8" s="92" t="s">
        <v>30</v>
      </c>
      <c r="S8" s="92" t="s">
        <v>31</v>
      </c>
      <c r="T8" s="92" t="s">
        <v>32</v>
      </c>
      <c r="U8" s="93" t="s">
        <v>38</v>
      </c>
      <c r="V8" s="93"/>
      <c r="W8" s="93"/>
      <c r="X8" s="93" t="s">
        <v>39</v>
      </c>
      <c r="Y8" s="93"/>
      <c r="Z8" s="93"/>
      <c r="AA8" s="93"/>
      <c r="AB8" s="93" t="s">
        <v>40</v>
      </c>
      <c r="AC8" s="93"/>
      <c r="AD8" s="93"/>
      <c r="AE8" s="93" t="s">
        <v>41</v>
      </c>
      <c r="AF8" s="94"/>
      <c r="AG8" s="95"/>
      <c r="AH8" s="101"/>
      <c r="AI8" s="102"/>
      <c r="AJ8" s="102"/>
      <c r="AK8" s="102"/>
      <c r="AL8" s="103"/>
      <c r="AN8" s="79" t="s">
        <v>3</v>
      </c>
      <c r="AO8" s="79" t="s">
        <v>4</v>
      </c>
      <c r="AP8" s="79" t="s">
        <v>5</v>
      </c>
      <c r="AY8" s="79" t="s">
        <v>3</v>
      </c>
      <c r="AZ8" s="79" t="s">
        <v>4</v>
      </c>
      <c r="BA8" s="79" t="s">
        <v>5</v>
      </c>
    </row>
    <row r="9" spans="1:57" s="3" customFormat="1" ht="72" customHeight="1" x14ac:dyDescent="0.2">
      <c r="A9" s="85"/>
      <c r="B9" s="89"/>
      <c r="C9" s="90"/>
      <c r="D9" s="88"/>
      <c r="E9" s="91"/>
      <c r="F9" s="87"/>
      <c r="G9" s="88"/>
      <c r="H9" s="88"/>
      <c r="I9" s="88"/>
      <c r="J9" s="88"/>
      <c r="K9" s="85"/>
      <c r="L9" s="79"/>
      <c r="M9" s="79"/>
      <c r="N9" s="79"/>
      <c r="O9" s="79"/>
      <c r="P9" s="79"/>
      <c r="Q9" s="92"/>
      <c r="R9" s="92"/>
      <c r="S9" s="92"/>
      <c r="T9" s="92"/>
      <c r="U9" s="8" t="s">
        <v>16</v>
      </c>
      <c r="V9" s="8" t="s">
        <v>6</v>
      </c>
      <c r="W9" s="9" t="s">
        <v>7</v>
      </c>
      <c r="X9" s="8" t="s">
        <v>17</v>
      </c>
      <c r="Y9" s="8" t="s">
        <v>16</v>
      </c>
      <c r="Z9" s="8" t="s">
        <v>6</v>
      </c>
      <c r="AA9" s="9" t="s">
        <v>7</v>
      </c>
      <c r="AB9" s="8" t="s">
        <v>16</v>
      </c>
      <c r="AC9" s="8" t="s">
        <v>6</v>
      </c>
      <c r="AD9" s="9" t="s">
        <v>7</v>
      </c>
      <c r="AE9" s="8" t="s">
        <v>16</v>
      </c>
      <c r="AF9" s="8" t="s">
        <v>6</v>
      </c>
      <c r="AG9" s="9" t="s">
        <v>7</v>
      </c>
      <c r="AH9" s="104"/>
      <c r="AI9" s="105"/>
      <c r="AJ9" s="105"/>
      <c r="AK9" s="105"/>
      <c r="AL9" s="106"/>
      <c r="AN9" s="79"/>
      <c r="AO9" s="79"/>
      <c r="AP9" s="79"/>
      <c r="AY9" s="79"/>
      <c r="AZ9" s="79"/>
      <c r="BA9" s="79"/>
      <c r="BC9" s="3" t="s">
        <v>82</v>
      </c>
      <c r="BD9" s="3" t="s">
        <v>83</v>
      </c>
      <c r="BE9" s="3" t="s">
        <v>84</v>
      </c>
    </row>
    <row r="10" spans="1:57" x14ac:dyDescent="0.2">
      <c r="A10" s="13">
        <v>1</v>
      </c>
      <c r="B10" s="3">
        <v>11</v>
      </c>
      <c r="C10" s="17">
        <v>7</v>
      </c>
      <c r="D10" s="3">
        <v>4</v>
      </c>
      <c r="E10" s="18">
        <v>12</v>
      </c>
      <c r="F10" s="18">
        <v>16</v>
      </c>
      <c r="G10" s="18">
        <v>74</v>
      </c>
      <c r="H10" s="19">
        <v>1</v>
      </c>
      <c r="I10" s="18">
        <v>6</v>
      </c>
      <c r="J10" s="18">
        <v>22</v>
      </c>
      <c r="K10" s="20">
        <v>147</v>
      </c>
      <c r="L10" s="18">
        <v>296</v>
      </c>
      <c r="M10" s="18">
        <v>262</v>
      </c>
      <c r="N10" s="18">
        <v>313</v>
      </c>
      <c r="O10" s="18">
        <v>76</v>
      </c>
      <c r="P10" s="18">
        <v>248</v>
      </c>
      <c r="Q10" s="17">
        <v>4</v>
      </c>
      <c r="R10" s="17">
        <v>2</v>
      </c>
      <c r="S10" s="17">
        <v>0</v>
      </c>
      <c r="T10" s="17">
        <v>8</v>
      </c>
      <c r="U10" s="17">
        <v>4</v>
      </c>
      <c r="V10" s="3">
        <v>8</v>
      </c>
      <c r="W10" s="20">
        <v>66</v>
      </c>
      <c r="X10" s="3">
        <v>8</v>
      </c>
      <c r="Y10" s="3">
        <v>6</v>
      </c>
      <c r="Z10" s="3">
        <v>2</v>
      </c>
      <c r="AA10" s="20">
        <v>840</v>
      </c>
      <c r="AB10" s="3"/>
      <c r="AC10" s="3"/>
      <c r="AD10" s="20"/>
      <c r="AE10" s="3"/>
      <c r="AF10" s="3"/>
      <c r="AG10" s="20"/>
      <c r="AH10" s="96" t="s">
        <v>85</v>
      </c>
      <c r="AI10" s="96"/>
      <c r="AJ10" s="96"/>
      <c r="AK10" s="96"/>
      <c r="AL10" s="97"/>
      <c r="AN10" s="67">
        <f>N10-AY10</f>
        <v>-3.6696346682710441</v>
      </c>
      <c r="AO10" s="67">
        <f>O10-AZ10</f>
        <v>-0.34191076421844002</v>
      </c>
      <c r="AP10" s="67">
        <f>P10-BA10</f>
        <v>-1.9612164902901554</v>
      </c>
      <c r="AY10" s="67">
        <f t="shared" ref="AY10:AY40" si="0">10*(BE10-BD10*((L10/10)-(M10/10))*0.00066*(1+(0.00115*(M10/10))))</f>
        <v>316.66963466827104</v>
      </c>
      <c r="AZ10" s="67">
        <f t="shared" ref="AZ10:AZ40" si="1">((AY10/10)*100)/BC10</f>
        <v>76.34191076421844</v>
      </c>
      <c r="BA10" s="67">
        <f>(243.5*LN((AY10/10)/6.112))/(17.67-LN((AY10/10)/6.112))*10</f>
        <v>249.96121649029016</v>
      </c>
      <c r="BC10">
        <f>6.112*2.718^((17.67*(L10/10))/((L10/10)+243.5))</f>
        <v>41.480443900114501</v>
      </c>
      <c r="BD10">
        <v>1013.2</v>
      </c>
      <c r="BE10">
        <f>6.112*2.718^((17.67*(M10/10))/((M10/10)+243.5))</f>
        <v>34.009088461531107</v>
      </c>
    </row>
    <row r="11" spans="1:57" x14ac:dyDescent="0.2">
      <c r="A11" s="13">
        <v>2</v>
      </c>
      <c r="B11" s="3">
        <v>11</v>
      </c>
      <c r="C11" s="17">
        <v>2</v>
      </c>
      <c r="D11" s="3">
        <v>4</v>
      </c>
      <c r="E11" s="18">
        <v>11</v>
      </c>
      <c r="F11" s="18">
        <v>15</v>
      </c>
      <c r="G11" s="18">
        <v>72</v>
      </c>
      <c r="H11" s="19">
        <v>1</v>
      </c>
      <c r="I11" s="18">
        <v>6</v>
      </c>
      <c r="J11" s="18">
        <v>11</v>
      </c>
      <c r="K11" s="20">
        <v>147</v>
      </c>
      <c r="L11" s="18">
        <v>295</v>
      </c>
      <c r="M11" s="18">
        <v>249</v>
      </c>
      <c r="N11" s="18">
        <v>278</v>
      </c>
      <c r="O11" s="18">
        <v>67</v>
      </c>
      <c r="P11" s="18">
        <v>228</v>
      </c>
      <c r="Q11" s="17">
        <v>2</v>
      </c>
      <c r="R11" s="17">
        <v>8</v>
      </c>
      <c r="S11" s="17">
        <v>0</v>
      </c>
      <c r="T11" s="17">
        <v>0</v>
      </c>
      <c r="U11" s="17">
        <v>2</v>
      </c>
      <c r="V11" s="3">
        <v>8</v>
      </c>
      <c r="W11" s="20">
        <v>63</v>
      </c>
      <c r="X11" s="3">
        <v>8</v>
      </c>
      <c r="Y11" s="3"/>
      <c r="Z11" s="3"/>
      <c r="AA11" s="20"/>
      <c r="AB11" s="3"/>
      <c r="AC11" s="3"/>
      <c r="AD11" s="20"/>
      <c r="AE11" s="3"/>
      <c r="AF11" s="3"/>
      <c r="AG11" s="20"/>
      <c r="AH11" s="107" t="s">
        <v>85</v>
      </c>
      <c r="AI11" s="107"/>
      <c r="AJ11" s="107"/>
      <c r="AK11" s="107"/>
      <c r="AL11" s="108"/>
      <c r="AN11" s="67">
        <f t="shared" ref="AN11:AP39" si="2">N11-AY11</f>
        <v>-5.1623755428195182</v>
      </c>
      <c r="AO11" s="67">
        <f t="shared" si="2"/>
        <v>-1.6591157519529247</v>
      </c>
      <c r="AP11" s="67">
        <f t="shared" si="2"/>
        <v>-3.3527019994108969</v>
      </c>
      <c r="AY11" s="67">
        <f t="shared" si="0"/>
        <v>283.16237554281952</v>
      </c>
      <c r="AZ11" s="67">
        <f t="shared" si="1"/>
        <v>68.659115751952925</v>
      </c>
      <c r="BA11" s="67">
        <f t="shared" ref="BA11:BA40" si="3">(243.5*LN((AY11/10)/6.112))/(17.67-LN((AY11/10)/6.112))*10</f>
        <v>231.3527019994109</v>
      </c>
      <c r="BC11">
        <f t="shared" ref="BC11:BC40" si="4">6.112*2.718^((17.67*(L11/10))/((L11/10)+243.5))</f>
        <v>41.241774299251048</v>
      </c>
      <c r="BD11">
        <v>1013.2</v>
      </c>
      <c r="BE11">
        <f t="shared" ref="BE11:BE40" si="5">6.112*2.718^((17.67*(M11/10))/((M11/10)+243.5))</f>
        <v>31.480396167633955</v>
      </c>
    </row>
    <row r="12" spans="1:57" x14ac:dyDescent="0.2">
      <c r="A12" s="13">
        <v>3</v>
      </c>
      <c r="B12" s="3">
        <v>11</v>
      </c>
      <c r="C12" s="17">
        <v>2</v>
      </c>
      <c r="D12" s="3">
        <v>4</v>
      </c>
      <c r="E12" s="18">
        <v>11</v>
      </c>
      <c r="F12" s="18">
        <v>15</v>
      </c>
      <c r="G12" s="18">
        <v>74</v>
      </c>
      <c r="H12" s="19">
        <v>1</v>
      </c>
      <c r="I12" s="18">
        <v>5</v>
      </c>
      <c r="J12" s="18">
        <v>0</v>
      </c>
      <c r="K12" s="20">
        <v>145</v>
      </c>
      <c r="L12" s="18">
        <v>295</v>
      </c>
      <c r="M12" s="18">
        <v>251</v>
      </c>
      <c r="N12" s="18">
        <v>285</v>
      </c>
      <c r="O12" s="18">
        <v>69</v>
      </c>
      <c r="P12" s="18">
        <v>232</v>
      </c>
      <c r="Q12" s="17">
        <v>1</v>
      </c>
      <c r="R12" s="17">
        <v>2</v>
      </c>
      <c r="S12" s="17">
        <v>0</v>
      </c>
      <c r="T12" s="17">
        <v>1</v>
      </c>
      <c r="U12" s="17">
        <v>1</v>
      </c>
      <c r="V12" s="3">
        <v>8</v>
      </c>
      <c r="W12" s="20">
        <v>66</v>
      </c>
      <c r="X12" s="3">
        <v>8</v>
      </c>
      <c r="Y12" s="3"/>
      <c r="Z12" s="3"/>
      <c r="AA12" s="20"/>
      <c r="AB12" s="3"/>
      <c r="AC12" s="3"/>
      <c r="AD12" s="20"/>
      <c r="AE12" s="3"/>
      <c r="AF12" s="3"/>
      <c r="AG12" s="20"/>
      <c r="AH12" s="107" t="s">
        <v>85</v>
      </c>
      <c r="AI12" s="107"/>
      <c r="AJ12" s="107"/>
      <c r="AK12" s="107"/>
      <c r="AL12" s="108"/>
      <c r="AN12" s="67">
        <f t="shared" si="2"/>
        <v>-3.3111085515029686</v>
      </c>
      <c r="AO12" s="67">
        <f t="shared" si="2"/>
        <v>-0.90754240094338456</v>
      </c>
      <c r="AP12" s="67">
        <f t="shared" si="2"/>
        <v>-2.333489053246609</v>
      </c>
      <c r="AY12" s="67">
        <f t="shared" si="0"/>
        <v>288.31110855150297</v>
      </c>
      <c r="AZ12" s="67">
        <f t="shared" si="1"/>
        <v>69.907542400943385</v>
      </c>
      <c r="BA12" s="67">
        <f t="shared" si="3"/>
        <v>234.33348905324661</v>
      </c>
      <c r="BC12">
        <f t="shared" si="4"/>
        <v>41.241774299251048</v>
      </c>
      <c r="BD12">
        <v>1013.2</v>
      </c>
      <c r="BE12">
        <f t="shared" si="5"/>
        <v>31.858374091422295</v>
      </c>
    </row>
    <row r="13" spans="1:57" x14ac:dyDescent="0.2">
      <c r="A13" s="13">
        <v>4</v>
      </c>
      <c r="B13" s="3">
        <v>11</v>
      </c>
      <c r="C13" s="17">
        <v>7</v>
      </c>
      <c r="D13" s="3">
        <v>4</v>
      </c>
      <c r="E13" s="18">
        <v>11</v>
      </c>
      <c r="F13" s="18">
        <v>15</v>
      </c>
      <c r="G13" s="18">
        <v>75</v>
      </c>
      <c r="H13" s="19">
        <v>2</v>
      </c>
      <c r="I13" s="18"/>
      <c r="J13" s="18"/>
      <c r="K13" s="20">
        <v>145</v>
      </c>
      <c r="L13" s="18">
        <v>294</v>
      </c>
      <c r="M13" s="18">
        <v>254</v>
      </c>
      <c r="N13" s="18">
        <v>294</v>
      </c>
      <c r="O13" s="18">
        <v>71</v>
      </c>
      <c r="P13" s="18">
        <v>237</v>
      </c>
      <c r="Q13" s="17">
        <v>2</v>
      </c>
      <c r="R13" s="17">
        <v>2</v>
      </c>
      <c r="S13" s="17">
        <v>0</v>
      </c>
      <c r="T13" s="17">
        <v>8</v>
      </c>
      <c r="U13" s="17">
        <v>2</v>
      </c>
      <c r="V13" s="3">
        <v>8</v>
      </c>
      <c r="W13" s="20">
        <v>66</v>
      </c>
      <c r="X13" s="3">
        <v>8</v>
      </c>
      <c r="Y13" s="3">
        <v>6</v>
      </c>
      <c r="Z13" s="3">
        <v>2</v>
      </c>
      <c r="AA13" s="20">
        <v>780</v>
      </c>
      <c r="AB13" s="3"/>
      <c r="AC13" s="3"/>
      <c r="AD13" s="20"/>
      <c r="AE13" s="3"/>
      <c r="AF13" s="3"/>
      <c r="AG13" s="20"/>
      <c r="AH13" s="107"/>
      <c r="AI13" s="107"/>
      <c r="AJ13" s="107"/>
      <c r="AK13" s="107"/>
      <c r="AL13" s="108"/>
      <c r="AN13" s="67">
        <f t="shared" si="2"/>
        <v>-2.7980729488805878</v>
      </c>
      <c r="AO13" s="67">
        <f t="shared" si="2"/>
        <v>-1.3821745619467691</v>
      </c>
      <c r="AP13" s="67">
        <f t="shared" si="2"/>
        <v>-2.1466286739776308</v>
      </c>
      <c r="AY13" s="67">
        <f t="shared" si="0"/>
        <v>296.79807294888059</v>
      </c>
      <c r="AZ13" s="67">
        <f t="shared" si="1"/>
        <v>72.382174561946769</v>
      </c>
      <c r="BA13" s="67">
        <f t="shared" si="3"/>
        <v>239.14662867397763</v>
      </c>
      <c r="BC13">
        <f t="shared" si="4"/>
        <v>41.004304546677048</v>
      </c>
      <c r="BD13">
        <v>1013.2</v>
      </c>
      <c r="BE13">
        <f t="shared" si="5"/>
        <v>32.432787604968055</v>
      </c>
    </row>
    <row r="14" spans="1:57" x14ac:dyDescent="0.2">
      <c r="A14" s="13">
        <v>5</v>
      </c>
      <c r="B14" s="3">
        <v>11</v>
      </c>
      <c r="C14" s="17">
        <v>1</v>
      </c>
      <c r="D14" s="3">
        <v>4</v>
      </c>
      <c r="E14" s="18">
        <v>12</v>
      </c>
      <c r="F14" s="18">
        <v>15</v>
      </c>
      <c r="G14" s="18">
        <v>75</v>
      </c>
      <c r="H14" s="19">
        <v>2</v>
      </c>
      <c r="I14" s="18"/>
      <c r="J14" s="18"/>
      <c r="K14" s="20">
        <v>153</v>
      </c>
      <c r="L14" s="18">
        <v>290</v>
      </c>
      <c r="M14" s="18">
        <v>259</v>
      </c>
      <c r="N14" s="18">
        <v>309</v>
      </c>
      <c r="O14" s="18">
        <v>77</v>
      </c>
      <c r="P14" s="18">
        <v>246</v>
      </c>
      <c r="Q14" s="17">
        <v>1</v>
      </c>
      <c r="R14" s="17">
        <v>2</v>
      </c>
      <c r="S14" s="17">
        <v>0</v>
      </c>
      <c r="T14" s="17">
        <v>1</v>
      </c>
      <c r="U14" s="17">
        <v>1</v>
      </c>
      <c r="V14" s="3">
        <v>8</v>
      </c>
      <c r="W14" s="20">
        <v>69</v>
      </c>
      <c r="X14" s="3">
        <v>8</v>
      </c>
      <c r="Y14" s="3"/>
      <c r="Z14" s="3"/>
      <c r="AA14" s="20"/>
      <c r="AB14" s="3"/>
      <c r="AC14" s="3"/>
      <c r="AD14" s="20"/>
      <c r="AE14" s="3"/>
      <c r="AF14" s="3"/>
      <c r="AG14" s="20"/>
      <c r="AH14" s="107"/>
      <c r="AI14" s="107"/>
      <c r="AJ14" s="107"/>
      <c r="AK14" s="107"/>
      <c r="AL14" s="108"/>
      <c r="AN14" s="67">
        <f t="shared" si="2"/>
        <v>-3.7554394780636358</v>
      </c>
      <c r="AO14" s="67">
        <f t="shared" si="2"/>
        <v>-1.0594327136917769</v>
      </c>
      <c r="AP14" s="67">
        <f t="shared" si="2"/>
        <v>-1.8789437577351009</v>
      </c>
      <c r="AY14" s="67">
        <f t="shared" si="0"/>
        <v>312.75543947806364</v>
      </c>
      <c r="AZ14" s="67">
        <f t="shared" si="1"/>
        <v>78.059432713691777</v>
      </c>
      <c r="BA14" s="67">
        <f t="shared" si="3"/>
        <v>247.8789437577351</v>
      </c>
      <c r="BC14">
        <f t="shared" si="4"/>
        <v>40.066322365574365</v>
      </c>
      <c r="BD14">
        <v>1013.2</v>
      </c>
      <c r="BE14">
        <f t="shared" si="5"/>
        <v>33.410295667258367</v>
      </c>
    </row>
    <row r="15" spans="1:57" x14ac:dyDescent="0.2">
      <c r="A15" s="13">
        <v>6</v>
      </c>
      <c r="B15" s="3">
        <v>11</v>
      </c>
      <c r="C15" s="17">
        <v>2</v>
      </c>
      <c r="D15" s="3">
        <v>4</v>
      </c>
      <c r="E15" s="18">
        <v>12</v>
      </c>
      <c r="F15" s="18">
        <v>16</v>
      </c>
      <c r="G15" s="18">
        <v>77</v>
      </c>
      <c r="H15" s="19">
        <v>2</v>
      </c>
      <c r="I15" s="18"/>
      <c r="J15" s="18"/>
      <c r="K15" s="20">
        <v>151</v>
      </c>
      <c r="L15" s="18">
        <v>300</v>
      </c>
      <c r="M15" s="18">
        <v>255</v>
      </c>
      <c r="N15" s="18">
        <v>290</v>
      </c>
      <c r="O15" s="18">
        <v>68</v>
      </c>
      <c r="P15" s="18">
        <v>235</v>
      </c>
      <c r="Q15" s="17">
        <v>2</v>
      </c>
      <c r="R15" s="17">
        <v>1</v>
      </c>
      <c r="S15" s="17">
        <v>0</v>
      </c>
      <c r="T15" s="17">
        <v>0</v>
      </c>
      <c r="U15" s="17">
        <v>2</v>
      </c>
      <c r="V15" s="3">
        <v>8</v>
      </c>
      <c r="W15" s="20">
        <v>66</v>
      </c>
      <c r="X15" s="3">
        <v>8</v>
      </c>
      <c r="Y15" s="3"/>
      <c r="Z15" s="3"/>
      <c r="AA15" s="20"/>
      <c r="AB15" s="3"/>
      <c r="AC15" s="3"/>
      <c r="AD15" s="20"/>
      <c r="AE15" s="3"/>
      <c r="AF15" s="3"/>
      <c r="AG15" s="20"/>
      <c r="AH15" s="107"/>
      <c r="AI15" s="107"/>
      <c r="AJ15" s="107"/>
      <c r="AK15" s="107"/>
      <c r="AL15" s="108"/>
      <c r="AN15" s="67">
        <f t="shared" si="2"/>
        <v>-5.2881324571404207</v>
      </c>
      <c r="AO15" s="67">
        <f t="shared" si="2"/>
        <v>-1.565947892774247</v>
      </c>
      <c r="AP15" s="67">
        <f t="shared" si="2"/>
        <v>-3.2992001147376868</v>
      </c>
      <c r="AY15" s="67">
        <f t="shared" si="0"/>
        <v>295.28813245714042</v>
      </c>
      <c r="AZ15" s="67">
        <f t="shared" si="1"/>
        <v>69.565947892774247</v>
      </c>
      <c r="BA15" s="67">
        <f t="shared" si="3"/>
        <v>238.29920011473769</v>
      </c>
      <c r="BC15">
        <f t="shared" si="4"/>
        <v>42.447223304178067</v>
      </c>
      <c r="BD15">
        <v>1013.2</v>
      </c>
      <c r="BE15">
        <f t="shared" si="5"/>
        <v>32.626262153014039</v>
      </c>
    </row>
    <row r="16" spans="1:57" x14ac:dyDescent="0.2">
      <c r="A16" s="13">
        <v>7</v>
      </c>
      <c r="B16" s="3">
        <v>11</v>
      </c>
      <c r="C16" s="17">
        <v>6</v>
      </c>
      <c r="D16" s="3">
        <v>4</v>
      </c>
      <c r="E16" s="18">
        <v>12</v>
      </c>
      <c r="F16" s="18">
        <v>17</v>
      </c>
      <c r="G16" s="18">
        <v>70</v>
      </c>
      <c r="H16" s="19">
        <v>1</v>
      </c>
      <c r="I16" s="18">
        <v>5</v>
      </c>
      <c r="J16" s="18">
        <v>22</v>
      </c>
      <c r="K16" s="20">
        <v>139</v>
      </c>
      <c r="L16" s="18">
        <v>288</v>
      </c>
      <c r="M16" s="18">
        <v>248</v>
      </c>
      <c r="N16" s="18">
        <v>281</v>
      </c>
      <c r="O16" s="18">
        <v>71</v>
      </c>
      <c r="P16" s="18">
        <v>230</v>
      </c>
      <c r="Q16" s="17">
        <v>1</v>
      </c>
      <c r="R16" s="17">
        <v>2</v>
      </c>
      <c r="S16" s="17">
        <v>0</v>
      </c>
      <c r="T16" s="17">
        <v>8</v>
      </c>
      <c r="U16" s="17">
        <v>1</v>
      </c>
      <c r="V16" s="3">
        <v>8</v>
      </c>
      <c r="W16" s="20">
        <v>66</v>
      </c>
      <c r="X16" s="3">
        <v>8</v>
      </c>
      <c r="Y16" s="3">
        <v>6</v>
      </c>
      <c r="Z16" s="3">
        <v>2</v>
      </c>
      <c r="AA16" s="20">
        <v>840</v>
      </c>
      <c r="AB16" s="3"/>
      <c r="AC16" s="3"/>
      <c r="AD16" s="20"/>
      <c r="AE16" s="3"/>
      <c r="AF16" s="3"/>
      <c r="AG16" s="20"/>
      <c r="AH16" s="107" t="s">
        <v>85</v>
      </c>
      <c r="AI16" s="107"/>
      <c r="AJ16" s="107"/>
      <c r="AK16" s="107"/>
      <c r="AL16" s="108"/>
      <c r="AN16" s="67">
        <f t="shared" si="2"/>
        <v>-4.4174874084451403</v>
      </c>
      <c r="AO16" s="67">
        <f t="shared" si="2"/>
        <v>-1.0671179984129964</v>
      </c>
      <c r="AP16" s="67">
        <f t="shared" si="2"/>
        <v>-2.6640625313840474</v>
      </c>
      <c r="AY16" s="67">
        <f t="shared" si="0"/>
        <v>285.41748740844514</v>
      </c>
      <c r="AZ16" s="67">
        <f t="shared" si="1"/>
        <v>72.067117998412996</v>
      </c>
      <c r="BA16" s="67">
        <f t="shared" si="3"/>
        <v>232.66406253138405</v>
      </c>
      <c r="BC16">
        <f t="shared" si="4"/>
        <v>39.60439869605031</v>
      </c>
      <c r="BD16">
        <v>1013.2</v>
      </c>
      <c r="BE16">
        <f t="shared" si="5"/>
        <v>31.29288340580451</v>
      </c>
    </row>
    <row r="17" spans="1:57" x14ac:dyDescent="0.2">
      <c r="A17" s="13">
        <v>8</v>
      </c>
      <c r="B17" s="3">
        <v>11</v>
      </c>
      <c r="C17" s="17">
        <v>3</v>
      </c>
      <c r="D17" s="3">
        <v>4</v>
      </c>
      <c r="E17" s="18">
        <v>11</v>
      </c>
      <c r="F17" s="18">
        <v>17</v>
      </c>
      <c r="G17" s="18">
        <v>75</v>
      </c>
      <c r="H17" s="19">
        <v>2</v>
      </c>
      <c r="I17" s="18"/>
      <c r="J17" s="18"/>
      <c r="K17" s="20">
        <v>136</v>
      </c>
      <c r="L17" s="18">
        <v>292</v>
      </c>
      <c r="M17" s="18">
        <v>251</v>
      </c>
      <c r="N17" s="18">
        <v>286</v>
      </c>
      <c r="O17" s="18">
        <v>71</v>
      </c>
      <c r="P17" s="18">
        <v>233</v>
      </c>
      <c r="Q17" s="17">
        <v>3</v>
      </c>
      <c r="R17" s="17">
        <v>2</v>
      </c>
      <c r="S17" s="17">
        <v>0</v>
      </c>
      <c r="T17" s="17">
        <v>0</v>
      </c>
      <c r="U17" s="17">
        <v>3</v>
      </c>
      <c r="V17" s="3">
        <v>8</v>
      </c>
      <c r="W17" s="20">
        <v>69</v>
      </c>
      <c r="X17" s="3">
        <v>8</v>
      </c>
      <c r="Y17" s="3"/>
      <c r="Z17" s="3"/>
      <c r="AA17" s="20"/>
      <c r="AB17" s="3"/>
      <c r="AC17" s="3"/>
      <c r="AD17" s="20"/>
      <c r="AE17" s="3"/>
      <c r="AF17" s="3"/>
      <c r="AG17" s="20"/>
      <c r="AH17" s="107"/>
      <c r="AI17" s="107"/>
      <c r="AJ17" s="107"/>
      <c r="AK17" s="107"/>
      <c r="AL17" s="108"/>
      <c r="AN17" s="67">
        <f t="shared" si="2"/>
        <v>-4.3751516671429727</v>
      </c>
      <c r="AO17" s="67">
        <f t="shared" si="2"/>
        <v>-0.63929422010031089</v>
      </c>
      <c r="AP17" s="67">
        <f t="shared" si="2"/>
        <v>-2.5153593869971758</v>
      </c>
      <c r="AY17" s="67">
        <f t="shared" si="0"/>
        <v>290.37515166714297</v>
      </c>
      <c r="AZ17" s="67">
        <f t="shared" si="1"/>
        <v>71.639294220100311</v>
      </c>
      <c r="BA17" s="67">
        <f t="shared" si="3"/>
        <v>235.51535938699718</v>
      </c>
      <c r="BC17">
        <f t="shared" si="4"/>
        <v>40.532944221227474</v>
      </c>
      <c r="BD17">
        <v>1013.2</v>
      </c>
      <c r="BE17">
        <f t="shared" si="5"/>
        <v>31.858374091422295</v>
      </c>
    </row>
    <row r="18" spans="1:57" x14ac:dyDescent="0.2">
      <c r="A18" s="13">
        <v>9</v>
      </c>
      <c r="B18" s="3">
        <v>11</v>
      </c>
      <c r="C18" s="17">
        <v>3</v>
      </c>
      <c r="D18" s="3">
        <v>4</v>
      </c>
      <c r="E18" s="18">
        <v>12</v>
      </c>
      <c r="F18" s="18">
        <v>16</v>
      </c>
      <c r="G18" s="18">
        <v>74</v>
      </c>
      <c r="H18" s="19">
        <v>1</v>
      </c>
      <c r="I18" s="18">
        <v>5</v>
      </c>
      <c r="J18" s="18">
        <v>0</v>
      </c>
      <c r="K18" s="20">
        <v>142</v>
      </c>
      <c r="L18" s="18">
        <v>295</v>
      </c>
      <c r="M18" s="18">
        <v>255</v>
      </c>
      <c r="N18" s="18">
        <v>294</v>
      </c>
      <c r="O18" s="18">
        <v>71</v>
      </c>
      <c r="P18" s="18">
        <v>237</v>
      </c>
      <c r="Q18" s="17">
        <v>3</v>
      </c>
      <c r="R18" s="17">
        <v>2</v>
      </c>
      <c r="S18" s="17">
        <v>0</v>
      </c>
      <c r="T18" s="17">
        <v>0</v>
      </c>
      <c r="U18" s="17">
        <v>1</v>
      </c>
      <c r="V18" s="3">
        <v>8</v>
      </c>
      <c r="W18" s="20">
        <v>63</v>
      </c>
      <c r="X18" s="3">
        <v>8</v>
      </c>
      <c r="Y18" s="3"/>
      <c r="Z18" s="3"/>
      <c r="AA18" s="20"/>
      <c r="AB18" s="3"/>
      <c r="AC18" s="3"/>
      <c r="AD18" s="20"/>
      <c r="AE18" s="3"/>
      <c r="AF18" s="3"/>
      <c r="AG18" s="20"/>
      <c r="AH18" s="107"/>
      <c r="AI18" s="107"/>
      <c r="AJ18" s="107"/>
      <c r="AK18" s="107"/>
      <c r="AL18" s="108"/>
      <c r="AN18" s="67">
        <f t="shared" si="2"/>
        <v>-4.7297423541403987</v>
      </c>
      <c r="AO18" s="67">
        <f t="shared" si="2"/>
        <v>-1.4337755661412785</v>
      </c>
      <c r="AP18" s="67">
        <f t="shared" si="2"/>
        <v>-3.2252582565346302</v>
      </c>
      <c r="AY18" s="67">
        <f t="shared" si="0"/>
        <v>298.7297423541404</v>
      </c>
      <c r="AZ18" s="67">
        <f t="shared" si="1"/>
        <v>72.433775566141279</v>
      </c>
      <c r="BA18" s="67">
        <f t="shared" si="3"/>
        <v>240.22525825653463</v>
      </c>
      <c r="BC18">
        <f t="shared" si="4"/>
        <v>41.241774299251048</v>
      </c>
      <c r="BD18">
        <v>1013.2</v>
      </c>
      <c r="BE18">
        <f t="shared" si="5"/>
        <v>32.626262153014039</v>
      </c>
    </row>
    <row r="19" spans="1:57" x14ac:dyDescent="0.2">
      <c r="A19" s="13">
        <v>10</v>
      </c>
      <c r="B19" s="3">
        <v>11</v>
      </c>
      <c r="C19" s="17">
        <v>7</v>
      </c>
      <c r="D19" s="3">
        <v>4</v>
      </c>
      <c r="E19" s="18">
        <v>10</v>
      </c>
      <c r="F19" s="18">
        <v>14</v>
      </c>
      <c r="G19" s="18">
        <v>70</v>
      </c>
      <c r="H19" s="19">
        <v>1</v>
      </c>
      <c r="I19" s="18">
        <v>5</v>
      </c>
      <c r="J19" s="18">
        <v>22</v>
      </c>
      <c r="K19" s="20">
        <v>122</v>
      </c>
      <c r="L19" s="18">
        <v>293</v>
      </c>
      <c r="M19" s="18">
        <v>252</v>
      </c>
      <c r="N19" s="18">
        <v>288</v>
      </c>
      <c r="O19" s="18">
        <v>71</v>
      </c>
      <c r="P19" s="18">
        <v>234</v>
      </c>
      <c r="Q19" s="17">
        <v>2</v>
      </c>
      <c r="R19" s="17">
        <v>2</v>
      </c>
      <c r="S19" s="17">
        <v>0</v>
      </c>
      <c r="T19" s="17">
        <v>8</v>
      </c>
      <c r="U19" s="17">
        <v>2</v>
      </c>
      <c r="V19" s="3">
        <v>8</v>
      </c>
      <c r="W19" s="20">
        <f>24*3</f>
        <v>72</v>
      </c>
      <c r="X19" s="17">
        <v>8</v>
      </c>
      <c r="Y19" s="17">
        <v>6</v>
      </c>
      <c r="Z19" s="17">
        <v>2</v>
      </c>
      <c r="AA19" s="20">
        <v>840</v>
      </c>
      <c r="AB19" s="3"/>
      <c r="AC19" s="3"/>
      <c r="AD19" s="20"/>
      <c r="AE19" s="3"/>
      <c r="AF19" s="3"/>
      <c r="AG19" s="20"/>
      <c r="AH19" s="107" t="s">
        <v>85</v>
      </c>
      <c r="AI19" s="107"/>
      <c r="AJ19" s="107"/>
      <c r="AK19" s="107"/>
      <c r="AL19" s="108"/>
      <c r="AN19" s="67">
        <f t="shared" si="2"/>
        <v>-4.2767376579058691</v>
      </c>
      <c r="AO19" s="67">
        <f t="shared" si="2"/>
        <v>-0.6926329055110898</v>
      </c>
      <c r="AP19" s="67">
        <f t="shared" si="2"/>
        <v>-2.5977125131349794</v>
      </c>
      <c r="AY19" s="67">
        <f t="shared" si="0"/>
        <v>292.27673765790587</v>
      </c>
      <c r="AZ19" s="67">
        <f t="shared" si="1"/>
        <v>71.69263290551109</v>
      </c>
      <c r="BA19" s="67">
        <f t="shared" si="3"/>
        <v>236.59771251313498</v>
      </c>
      <c r="BC19">
        <f t="shared" si="4"/>
        <v>40.768029546790189</v>
      </c>
      <c r="BD19">
        <v>1013.2</v>
      </c>
      <c r="BE19">
        <f t="shared" si="5"/>
        <v>32.048847988206589</v>
      </c>
    </row>
    <row r="20" spans="1:57" x14ac:dyDescent="0.2">
      <c r="A20" s="13">
        <v>11</v>
      </c>
      <c r="B20" s="3">
        <v>11</v>
      </c>
      <c r="C20" s="17">
        <v>5</v>
      </c>
      <c r="D20" s="3">
        <v>4</v>
      </c>
      <c r="E20" s="18">
        <v>13</v>
      </c>
      <c r="F20" s="18">
        <v>12</v>
      </c>
      <c r="G20" s="18">
        <v>70</v>
      </c>
      <c r="H20" s="19">
        <v>1</v>
      </c>
      <c r="I20" s="18">
        <v>5</v>
      </c>
      <c r="J20" s="18">
        <v>11</v>
      </c>
      <c r="K20" s="20">
        <v>112</v>
      </c>
      <c r="L20" s="18">
        <v>290</v>
      </c>
      <c r="M20" s="18">
        <v>255</v>
      </c>
      <c r="N20" s="18">
        <v>299</v>
      </c>
      <c r="O20" s="18">
        <v>74</v>
      </c>
      <c r="P20" s="18">
        <v>240</v>
      </c>
      <c r="Q20" s="17">
        <v>1</v>
      </c>
      <c r="R20" s="17">
        <v>2</v>
      </c>
      <c r="S20" s="17">
        <v>0</v>
      </c>
      <c r="T20" s="17">
        <v>2</v>
      </c>
      <c r="U20" s="17">
        <v>1</v>
      </c>
      <c r="V20" s="3">
        <v>8</v>
      </c>
      <c r="W20" s="20">
        <v>63</v>
      </c>
      <c r="X20" s="17">
        <v>8</v>
      </c>
      <c r="Y20" s="3">
        <v>3</v>
      </c>
      <c r="Z20" s="3">
        <v>0</v>
      </c>
      <c r="AA20" s="20">
        <v>840</v>
      </c>
      <c r="AB20" s="3"/>
      <c r="AC20" s="3"/>
      <c r="AD20" s="20"/>
      <c r="AE20" s="3"/>
      <c r="AF20" s="3"/>
      <c r="AG20" s="20"/>
      <c r="AH20" s="107" t="s">
        <v>85</v>
      </c>
      <c r="AI20" s="107"/>
      <c r="AJ20" s="107"/>
      <c r="AK20" s="107"/>
      <c r="AL20" s="108"/>
      <c r="AN20" s="67">
        <f t="shared" si="2"/>
        <v>-3.1713522511403767</v>
      </c>
      <c r="AO20" s="67">
        <f t="shared" si="2"/>
        <v>-1.4177909053042868</v>
      </c>
      <c r="AP20" s="67">
        <f t="shared" si="2"/>
        <v>-2.1319830549777521</v>
      </c>
      <c r="AY20" s="67">
        <f t="shared" si="0"/>
        <v>302.17135225114038</v>
      </c>
      <c r="AZ20" s="67">
        <f t="shared" si="1"/>
        <v>75.417790905304287</v>
      </c>
      <c r="BA20" s="67">
        <f t="shared" si="3"/>
        <v>242.13198305497775</v>
      </c>
      <c r="BC20">
        <f t="shared" si="4"/>
        <v>40.066322365574365</v>
      </c>
      <c r="BD20">
        <v>1013.2</v>
      </c>
      <c r="BE20">
        <f t="shared" si="5"/>
        <v>32.626262153014039</v>
      </c>
    </row>
    <row r="21" spans="1:57" x14ac:dyDescent="0.2">
      <c r="A21" s="13">
        <v>12</v>
      </c>
      <c r="B21" s="3">
        <v>11</v>
      </c>
      <c r="C21" s="17">
        <v>7</v>
      </c>
      <c r="D21" s="3">
        <v>4</v>
      </c>
      <c r="E21" s="18">
        <v>33</v>
      </c>
      <c r="F21" s="18">
        <v>6</v>
      </c>
      <c r="G21" s="18">
        <v>75</v>
      </c>
      <c r="H21" s="19">
        <v>2</v>
      </c>
      <c r="I21" s="18"/>
      <c r="J21" s="18"/>
      <c r="K21" s="20">
        <v>127</v>
      </c>
      <c r="L21" s="18">
        <v>295</v>
      </c>
      <c r="M21" s="18">
        <v>250</v>
      </c>
      <c r="N21" s="18">
        <v>281</v>
      </c>
      <c r="O21" s="18">
        <v>68</v>
      </c>
      <c r="P21" s="18">
        <v>230</v>
      </c>
      <c r="Q21" s="17">
        <v>5</v>
      </c>
      <c r="R21" s="17">
        <v>8</v>
      </c>
      <c r="S21" s="17">
        <v>4</v>
      </c>
      <c r="T21" s="17">
        <v>2</v>
      </c>
      <c r="U21" s="17">
        <v>2</v>
      </c>
      <c r="V21" s="3">
        <v>8</v>
      </c>
      <c r="W21" s="20">
        <v>66</v>
      </c>
      <c r="X21" s="17">
        <v>8</v>
      </c>
      <c r="Y21" s="17">
        <v>4</v>
      </c>
      <c r="Z21" s="17">
        <v>6</v>
      </c>
      <c r="AA21" s="20">
        <f>45*3</f>
        <v>135</v>
      </c>
      <c r="AB21" s="17">
        <v>5</v>
      </c>
      <c r="AC21" s="17">
        <v>0</v>
      </c>
      <c r="AD21" s="20">
        <v>840</v>
      </c>
      <c r="AE21" s="3"/>
      <c r="AF21" s="3"/>
      <c r="AG21" s="20"/>
      <c r="AH21" s="107"/>
      <c r="AI21" s="107"/>
      <c r="AJ21" s="107"/>
      <c r="AK21" s="107"/>
      <c r="AL21" s="108"/>
      <c r="AN21" s="67">
        <f t="shared" si="2"/>
        <v>-4.7317299461599873</v>
      </c>
      <c r="AO21" s="67">
        <f t="shared" si="2"/>
        <v>-1.2821137793164468</v>
      </c>
      <c r="AP21" s="67">
        <f t="shared" si="2"/>
        <v>-2.8460752844754325</v>
      </c>
      <c r="AY21" s="67">
        <f t="shared" si="0"/>
        <v>285.73172994615999</v>
      </c>
      <c r="AZ21" s="67">
        <f t="shared" si="1"/>
        <v>69.282113779316447</v>
      </c>
      <c r="BA21" s="67">
        <f t="shared" si="3"/>
        <v>232.84607528447543</v>
      </c>
      <c r="BC21">
        <f t="shared" si="4"/>
        <v>41.241774299251048</v>
      </c>
      <c r="BD21">
        <v>1013.2</v>
      </c>
      <c r="BE21">
        <f t="shared" si="5"/>
        <v>31.668891609615997</v>
      </c>
    </row>
    <row r="22" spans="1:57" x14ac:dyDescent="0.2">
      <c r="A22" s="13">
        <v>13</v>
      </c>
      <c r="B22" s="3">
        <v>11</v>
      </c>
      <c r="C22" s="17">
        <v>3</v>
      </c>
      <c r="D22" s="3">
        <v>4</v>
      </c>
      <c r="E22" s="18">
        <v>8</v>
      </c>
      <c r="F22" s="18">
        <v>14</v>
      </c>
      <c r="G22" s="18">
        <v>78</v>
      </c>
      <c r="H22" s="19">
        <v>2</v>
      </c>
      <c r="I22" s="18"/>
      <c r="J22" s="18"/>
      <c r="K22" s="20">
        <v>144</v>
      </c>
      <c r="L22" s="18">
        <v>314</v>
      </c>
      <c r="M22" s="18">
        <v>248</v>
      </c>
      <c r="N22" s="18">
        <v>260</v>
      </c>
      <c r="O22" s="18">
        <v>57</v>
      </c>
      <c r="P22" s="18">
        <v>217</v>
      </c>
      <c r="Q22" s="17">
        <v>2</v>
      </c>
      <c r="R22" s="17">
        <v>8</v>
      </c>
      <c r="S22" s="17">
        <v>0</v>
      </c>
      <c r="T22" s="17">
        <v>2</v>
      </c>
      <c r="U22" s="17">
        <v>1</v>
      </c>
      <c r="V22" s="3">
        <v>8</v>
      </c>
      <c r="W22" s="20">
        <v>63</v>
      </c>
      <c r="X22" s="17">
        <v>8</v>
      </c>
      <c r="Y22" s="3"/>
      <c r="Z22" s="3"/>
      <c r="AA22" s="20"/>
      <c r="AB22" s="3"/>
      <c r="AC22" s="3"/>
      <c r="AD22" s="20"/>
      <c r="AE22" s="3"/>
      <c r="AF22" s="3"/>
      <c r="AG22" s="20"/>
      <c r="AH22" s="107"/>
      <c r="AI22" s="107"/>
      <c r="AJ22" s="107"/>
      <c r="AK22" s="107"/>
      <c r="AL22" s="108"/>
      <c r="AN22" s="67">
        <f t="shared" si="2"/>
        <v>-7.5351120862051175</v>
      </c>
      <c r="AO22" s="67">
        <f t="shared" si="2"/>
        <v>-1.1755092828403093</v>
      </c>
      <c r="AP22" s="67">
        <f t="shared" si="2"/>
        <v>-5.005299329423849</v>
      </c>
      <c r="AY22" s="67">
        <f t="shared" si="0"/>
        <v>267.53511208620512</v>
      </c>
      <c r="AZ22" s="67">
        <f t="shared" si="1"/>
        <v>58.175509282840309</v>
      </c>
      <c r="BA22" s="67">
        <f t="shared" si="3"/>
        <v>222.00529932942385</v>
      </c>
      <c r="BC22">
        <f t="shared" si="4"/>
        <v>45.987584016753658</v>
      </c>
      <c r="BD22">
        <v>1013.2</v>
      </c>
      <c r="BE22">
        <f t="shared" si="5"/>
        <v>31.29288340580451</v>
      </c>
    </row>
    <row r="23" spans="1:57" x14ac:dyDescent="0.2">
      <c r="A23" s="13">
        <v>14</v>
      </c>
      <c r="B23" s="3">
        <v>11</v>
      </c>
      <c r="C23" s="17">
        <v>6</v>
      </c>
      <c r="D23" s="3">
        <v>4</v>
      </c>
      <c r="E23" s="18">
        <v>31</v>
      </c>
      <c r="F23" s="18">
        <v>5</v>
      </c>
      <c r="G23" s="18">
        <v>75</v>
      </c>
      <c r="H23" s="19">
        <v>2</v>
      </c>
      <c r="I23" s="18"/>
      <c r="J23" s="18"/>
      <c r="K23" s="20">
        <v>140</v>
      </c>
      <c r="L23" s="18">
        <v>298</v>
      </c>
      <c r="M23" s="18">
        <v>241</v>
      </c>
      <c r="N23" s="18">
        <v>254</v>
      </c>
      <c r="O23" s="18">
        <v>60</v>
      </c>
      <c r="P23" s="18">
        <v>213</v>
      </c>
      <c r="Q23" s="17">
        <v>1</v>
      </c>
      <c r="R23" s="17">
        <v>2</v>
      </c>
      <c r="S23" s="17">
        <v>0</v>
      </c>
      <c r="T23" s="17">
        <v>8</v>
      </c>
      <c r="U23" s="17">
        <v>1</v>
      </c>
      <c r="V23" s="3">
        <v>8</v>
      </c>
      <c r="W23" s="20">
        <v>6</v>
      </c>
      <c r="X23" s="17">
        <v>8</v>
      </c>
      <c r="Y23" s="17">
        <v>5</v>
      </c>
      <c r="Z23" s="17">
        <v>8</v>
      </c>
      <c r="AA23" s="20">
        <v>840</v>
      </c>
      <c r="AB23" s="3"/>
      <c r="AC23" s="3"/>
      <c r="AD23" s="20"/>
      <c r="AE23" s="3"/>
      <c r="AF23" s="3"/>
      <c r="AG23" s="20"/>
      <c r="AH23" s="107" t="s">
        <v>95</v>
      </c>
      <c r="AI23" s="107"/>
      <c r="AJ23" s="107"/>
      <c r="AK23" s="107"/>
      <c r="AL23" s="108"/>
      <c r="AN23" s="67">
        <f t="shared" si="2"/>
        <v>-6.9014762553312039</v>
      </c>
      <c r="AO23" s="67">
        <f t="shared" si="2"/>
        <v>-2.1765376950838018</v>
      </c>
      <c r="AP23" s="67">
        <f t="shared" si="2"/>
        <v>-4.8920215875685358</v>
      </c>
      <c r="AY23" s="67">
        <f t="shared" si="0"/>
        <v>260.9014762553312</v>
      </c>
      <c r="AZ23" s="67">
        <f t="shared" si="1"/>
        <v>62.176537695083802</v>
      </c>
      <c r="BA23" s="67">
        <f t="shared" si="3"/>
        <v>217.89202158756854</v>
      </c>
      <c r="BC23">
        <f t="shared" si="4"/>
        <v>41.961403115561424</v>
      </c>
      <c r="BD23">
        <v>1013.2</v>
      </c>
      <c r="BE23">
        <f t="shared" si="5"/>
        <v>30.007446138089119</v>
      </c>
    </row>
    <row r="24" spans="1:57" x14ac:dyDescent="0.2">
      <c r="A24" s="13">
        <v>15</v>
      </c>
      <c r="B24" s="3">
        <v>11</v>
      </c>
      <c r="C24" s="17">
        <v>6</v>
      </c>
      <c r="D24" s="3">
        <v>4</v>
      </c>
      <c r="E24" s="18">
        <v>25</v>
      </c>
      <c r="F24" s="18">
        <v>5</v>
      </c>
      <c r="G24" s="18">
        <v>70</v>
      </c>
      <c r="H24" s="19">
        <v>1</v>
      </c>
      <c r="I24" s="18">
        <v>5</v>
      </c>
      <c r="J24" s="18">
        <v>22</v>
      </c>
      <c r="K24" s="20">
        <v>136</v>
      </c>
      <c r="L24" s="18">
        <v>283</v>
      </c>
      <c r="M24" s="18">
        <v>243</v>
      </c>
      <c r="N24" s="18">
        <v>273</v>
      </c>
      <c r="O24" s="18">
        <v>71</v>
      </c>
      <c r="P24" s="18">
        <v>225</v>
      </c>
      <c r="Q24" s="17">
        <v>5</v>
      </c>
      <c r="R24" s="17">
        <v>8</v>
      </c>
      <c r="S24" s="17">
        <v>0</v>
      </c>
      <c r="T24" s="17">
        <v>1</v>
      </c>
      <c r="U24" s="17">
        <v>5</v>
      </c>
      <c r="V24" s="3">
        <v>8</v>
      </c>
      <c r="W24" s="20">
        <v>66</v>
      </c>
      <c r="X24" s="17">
        <v>8</v>
      </c>
      <c r="Y24" s="3"/>
      <c r="Z24" s="3"/>
      <c r="AA24" s="20"/>
      <c r="AB24" s="3"/>
      <c r="AC24" s="3"/>
      <c r="AD24" s="20"/>
      <c r="AE24" s="3"/>
      <c r="AF24" s="3"/>
      <c r="AG24" s="20"/>
      <c r="AH24" s="107" t="s">
        <v>85</v>
      </c>
      <c r="AI24" s="107"/>
      <c r="AJ24" s="107"/>
      <c r="AK24" s="107"/>
      <c r="AL24" s="108"/>
      <c r="AN24" s="67">
        <f t="shared" si="2"/>
        <v>-3.203116619118191</v>
      </c>
      <c r="AO24" s="67">
        <f t="shared" si="2"/>
        <v>-0.79723485441076036</v>
      </c>
      <c r="AP24" s="67">
        <f t="shared" si="2"/>
        <v>-2.2473517541317847</v>
      </c>
      <c r="AY24" s="67">
        <f t="shared" si="0"/>
        <v>276.20311661911819</v>
      </c>
      <c r="AZ24" s="67">
        <f t="shared" si="1"/>
        <v>71.79723485441076</v>
      </c>
      <c r="BA24" s="67">
        <f t="shared" si="3"/>
        <v>227.24735175413178</v>
      </c>
      <c r="BC24">
        <f t="shared" si="4"/>
        <v>38.469882186855564</v>
      </c>
      <c r="BD24">
        <v>1013.2</v>
      </c>
      <c r="BE24">
        <f t="shared" si="5"/>
        <v>30.369908289271816</v>
      </c>
    </row>
    <row r="25" spans="1:57" x14ac:dyDescent="0.2">
      <c r="A25" s="13">
        <v>16</v>
      </c>
      <c r="B25" s="3">
        <v>11</v>
      </c>
      <c r="C25" s="17">
        <v>6</v>
      </c>
      <c r="D25" s="3">
        <v>4</v>
      </c>
      <c r="E25" s="18">
        <v>11</v>
      </c>
      <c r="F25" s="18">
        <v>10</v>
      </c>
      <c r="G25" s="18">
        <v>75</v>
      </c>
      <c r="H25" s="19">
        <v>2</v>
      </c>
      <c r="I25" s="18"/>
      <c r="J25" s="18"/>
      <c r="K25" s="20">
        <v>144</v>
      </c>
      <c r="L25" s="18">
        <v>306</v>
      </c>
      <c r="M25" s="18">
        <v>246</v>
      </c>
      <c r="N25" s="18">
        <v>264</v>
      </c>
      <c r="O25" s="18">
        <v>60</v>
      </c>
      <c r="P25" s="18">
        <v>219</v>
      </c>
      <c r="Q25" s="17">
        <v>3</v>
      </c>
      <c r="R25" s="17">
        <v>8</v>
      </c>
      <c r="S25" s="17">
        <v>4</v>
      </c>
      <c r="T25" s="17">
        <v>2</v>
      </c>
      <c r="U25" s="17">
        <v>1</v>
      </c>
      <c r="V25" s="3">
        <v>8</v>
      </c>
      <c r="W25" s="20">
        <v>69</v>
      </c>
      <c r="X25" s="17">
        <v>8</v>
      </c>
      <c r="Y25" s="17">
        <v>5</v>
      </c>
      <c r="Z25" s="17">
        <v>0</v>
      </c>
      <c r="AA25" s="20">
        <v>840</v>
      </c>
      <c r="AB25" s="3"/>
      <c r="AC25" s="3"/>
      <c r="AD25" s="20"/>
      <c r="AE25" s="3"/>
      <c r="AF25" s="3"/>
      <c r="AG25" s="20"/>
      <c r="AH25" s="107"/>
      <c r="AI25" s="107"/>
      <c r="AJ25" s="107"/>
      <c r="AK25" s="107"/>
      <c r="AL25" s="108"/>
      <c r="AN25" s="67">
        <f t="shared" si="2"/>
        <v>-3.9500938621297337</v>
      </c>
      <c r="AO25" s="67">
        <f t="shared" si="2"/>
        <v>-0.98886457527392224</v>
      </c>
      <c r="AP25" s="67">
        <f t="shared" si="2"/>
        <v>-3.2596322193911362</v>
      </c>
      <c r="AY25" s="67">
        <f t="shared" si="0"/>
        <v>267.95009386212973</v>
      </c>
      <c r="AZ25" s="67">
        <f t="shared" si="1"/>
        <v>60.988864575273922</v>
      </c>
      <c r="BA25" s="67">
        <f t="shared" si="3"/>
        <v>222.25963221939114</v>
      </c>
      <c r="BC25">
        <f t="shared" si="4"/>
        <v>43.934265005281297</v>
      </c>
      <c r="BD25">
        <v>1013.2</v>
      </c>
      <c r="BE25">
        <f t="shared" si="5"/>
        <v>30.920788561092973</v>
      </c>
    </row>
    <row r="26" spans="1:57" x14ac:dyDescent="0.2">
      <c r="A26" s="13">
        <v>17</v>
      </c>
      <c r="B26" s="3">
        <v>11</v>
      </c>
      <c r="C26" s="17">
        <v>7</v>
      </c>
      <c r="D26" s="3">
        <v>4</v>
      </c>
      <c r="E26" s="18">
        <v>12</v>
      </c>
      <c r="F26" s="18">
        <v>11</v>
      </c>
      <c r="G26" s="18">
        <v>70</v>
      </c>
      <c r="H26" s="19">
        <v>1</v>
      </c>
      <c r="I26" s="18">
        <v>60</v>
      </c>
      <c r="J26" s="18">
        <v>82</v>
      </c>
      <c r="K26" s="20">
        <v>159</v>
      </c>
      <c r="L26" s="18">
        <v>260</v>
      </c>
      <c r="M26" s="18">
        <v>250</v>
      </c>
      <c r="N26" s="18">
        <v>310</v>
      </c>
      <c r="O26" s="18">
        <v>92</v>
      </c>
      <c r="P26" s="18">
        <v>246</v>
      </c>
      <c r="Q26" s="17">
        <v>7</v>
      </c>
      <c r="R26" s="17">
        <v>8</v>
      </c>
      <c r="S26" s="17">
        <v>4</v>
      </c>
      <c r="T26" s="17">
        <v>2</v>
      </c>
      <c r="U26" s="17">
        <v>1</v>
      </c>
      <c r="V26" s="3">
        <v>8</v>
      </c>
      <c r="W26" s="20">
        <v>48</v>
      </c>
      <c r="X26" s="17">
        <v>8</v>
      </c>
      <c r="Y26" s="17">
        <v>6</v>
      </c>
      <c r="Z26" s="17">
        <v>6</v>
      </c>
      <c r="AA26" s="20">
        <v>120</v>
      </c>
      <c r="AB26" s="3"/>
      <c r="AC26" s="3"/>
      <c r="AD26" s="20"/>
      <c r="AE26" s="3"/>
      <c r="AF26" s="3"/>
      <c r="AG26" s="20"/>
      <c r="AH26" s="107" t="s">
        <v>105</v>
      </c>
      <c r="AI26" s="107"/>
      <c r="AJ26" s="107"/>
      <c r="AK26" s="107"/>
      <c r="AL26" s="108"/>
      <c r="AN26" s="67">
        <f t="shared" si="2"/>
        <v>0.19045860384005664</v>
      </c>
      <c r="AO26" s="67">
        <f t="shared" si="2"/>
        <v>-0.18091271117155827</v>
      </c>
      <c r="AP26" s="67">
        <f t="shared" si="2"/>
        <v>-0.29668794328688364</v>
      </c>
      <c r="AY26" s="67">
        <f t="shared" si="0"/>
        <v>309.80954139615994</v>
      </c>
      <c r="AZ26" s="67">
        <f t="shared" si="1"/>
        <v>92.180912711171558</v>
      </c>
      <c r="BA26" s="67">
        <f t="shared" si="3"/>
        <v>246.29668794328688</v>
      </c>
      <c r="BC26">
        <f t="shared" si="4"/>
        <v>33.608860260136439</v>
      </c>
      <c r="BD26">
        <v>1013.2</v>
      </c>
      <c r="BE26">
        <f t="shared" si="5"/>
        <v>31.668891609615997</v>
      </c>
    </row>
    <row r="27" spans="1:57" x14ac:dyDescent="0.2">
      <c r="A27" s="13">
        <v>18</v>
      </c>
      <c r="B27" s="3">
        <v>11</v>
      </c>
      <c r="C27" s="17">
        <v>8</v>
      </c>
      <c r="D27" s="3">
        <v>4</v>
      </c>
      <c r="E27" s="18">
        <v>8</v>
      </c>
      <c r="F27" s="18">
        <v>10</v>
      </c>
      <c r="G27" s="18">
        <v>60</v>
      </c>
      <c r="H27" s="19">
        <v>1</v>
      </c>
      <c r="I27" s="18">
        <v>80</v>
      </c>
      <c r="J27" s="18">
        <v>62</v>
      </c>
      <c r="K27" s="20">
        <v>159</v>
      </c>
      <c r="L27" s="18">
        <v>288</v>
      </c>
      <c r="M27" s="18">
        <v>260</v>
      </c>
      <c r="N27" s="18">
        <v>315</v>
      </c>
      <c r="O27" s="18">
        <v>79</v>
      </c>
      <c r="P27" s="18">
        <v>249</v>
      </c>
      <c r="Q27" s="17">
        <v>8</v>
      </c>
      <c r="R27" s="17">
        <v>8</v>
      </c>
      <c r="S27" s="17" t="s">
        <v>89</v>
      </c>
      <c r="T27" s="17" t="s">
        <v>89</v>
      </c>
      <c r="U27" s="17">
        <v>5</v>
      </c>
      <c r="V27" s="3">
        <v>8</v>
      </c>
      <c r="W27" s="20">
        <v>48</v>
      </c>
      <c r="X27" s="17">
        <v>8</v>
      </c>
      <c r="Y27" s="17">
        <v>7</v>
      </c>
      <c r="Z27" s="17">
        <v>6</v>
      </c>
      <c r="AA27" s="20">
        <f>48*3</f>
        <v>144</v>
      </c>
      <c r="AB27" s="3"/>
      <c r="AC27" s="3"/>
      <c r="AD27" s="20"/>
      <c r="AE27" s="3"/>
      <c r="AF27" s="3"/>
      <c r="AG27" s="20"/>
      <c r="AH27" s="107" t="s">
        <v>118</v>
      </c>
      <c r="AI27" s="107"/>
      <c r="AJ27" s="107"/>
      <c r="AK27" s="107"/>
      <c r="AL27" s="108"/>
      <c r="AN27" s="67">
        <f t="shared" si="2"/>
        <v>-1.8048209149643526</v>
      </c>
      <c r="AO27" s="67">
        <f t="shared" si="2"/>
        <v>-0.99233199986920795</v>
      </c>
      <c r="AP27" s="67">
        <f t="shared" si="2"/>
        <v>-1.0327295716749632</v>
      </c>
      <c r="AY27" s="67">
        <f t="shared" si="0"/>
        <v>316.80482091496435</v>
      </c>
      <c r="AZ27" s="67">
        <f t="shared" si="1"/>
        <v>79.992331999869208</v>
      </c>
      <c r="BA27" s="67">
        <f t="shared" si="3"/>
        <v>250.03272957167496</v>
      </c>
      <c r="BC27">
        <f t="shared" si="4"/>
        <v>39.60439869605031</v>
      </c>
      <c r="BD27">
        <v>1013.2</v>
      </c>
      <c r="BE27">
        <f t="shared" si="5"/>
        <v>33.608860260136439</v>
      </c>
    </row>
    <row r="28" spans="1:57" x14ac:dyDescent="0.2">
      <c r="A28" s="13">
        <v>19</v>
      </c>
      <c r="B28" s="3">
        <v>11</v>
      </c>
      <c r="C28" s="17">
        <v>5</v>
      </c>
      <c r="D28" s="3">
        <v>4</v>
      </c>
      <c r="E28" s="18">
        <v>8</v>
      </c>
      <c r="F28" s="18">
        <v>16</v>
      </c>
      <c r="G28" s="18">
        <v>62</v>
      </c>
      <c r="H28" s="19">
        <v>1</v>
      </c>
      <c r="I28" s="18">
        <v>80</v>
      </c>
      <c r="J28" s="18">
        <v>22</v>
      </c>
      <c r="K28" s="20">
        <v>142</v>
      </c>
      <c r="L28" s="18">
        <v>294</v>
      </c>
      <c r="M28" s="18">
        <v>256</v>
      </c>
      <c r="N28" s="18">
        <v>299</v>
      </c>
      <c r="O28" s="18">
        <v>73</v>
      </c>
      <c r="P28" s="18">
        <v>240</v>
      </c>
      <c r="Q28" s="17">
        <v>4</v>
      </c>
      <c r="R28" s="17">
        <v>8</v>
      </c>
      <c r="S28" s="17">
        <v>0</v>
      </c>
      <c r="T28" s="17">
        <v>1</v>
      </c>
      <c r="U28" s="17">
        <v>4</v>
      </c>
      <c r="V28" s="3">
        <v>8</v>
      </c>
      <c r="W28" s="20">
        <v>54</v>
      </c>
      <c r="X28" s="17">
        <v>8</v>
      </c>
      <c r="Y28" s="17">
        <v>3</v>
      </c>
      <c r="Z28" s="17">
        <v>0</v>
      </c>
      <c r="AA28" s="20">
        <v>50</v>
      </c>
      <c r="AB28" s="3"/>
      <c r="AC28" s="3"/>
      <c r="AD28" s="20"/>
      <c r="AE28" s="3"/>
      <c r="AF28" s="3"/>
      <c r="AG28" s="20"/>
      <c r="AH28" s="107" t="s">
        <v>116</v>
      </c>
      <c r="AI28" s="107"/>
      <c r="AJ28" s="107"/>
      <c r="AK28" s="107"/>
      <c r="AL28" s="108"/>
      <c r="AN28" s="67">
        <f t="shared" si="2"/>
        <v>-3.0483002338989422</v>
      </c>
      <c r="AO28" s="67">
        <f t="shared" si="2"/>
        <v>-0.66258337342699747</v>
      </c>
      <c r="AP28" s="67">
        <f t="shared" si="2"/>
        <v>-2.0641381972110651</v>
      </c>
      <c r="AY28" s="67">
        <f t="shared" si="0"/>
        <v>302.04830023389894</v>
      </c>
      <c r="AZ28" s="67">
        <f t="shared" si="1"/>
        <v>73.662583373426997</v>
      </c>
      <c r="BA28" s="67">
        <f t="shared" si="3"/>
        <v>242.06413819721107</v>
      </c>
      <c r="BC28">
        <f t="shared" si="4"/>
        <v>41.004304546677048</v>
      </c>
      <c r="BD28">
        <v>1013.2</v>
      </c>
      <c r="BE28">
        <f t="shared" si="5"/>
        <v>32.820745772253893</v>
      </c>
    </row>
    <row r="29" spans="1:57" x14ac:dyDescent="0.2">
      <c r="A29" s="13">
        <v>20</v>
      </c>
      <c r="B29" s="3">
        <v>11</v>
      </c>
      <c r="C29" s="17">
        <v>7</v>
      </c>
      <c r="D29" s="3">
        <v>4</v>
      </c>
      <c r="E29" s="18">
        <v>9</v>
      </c>
      <c r="F29" s="18">
        <v>16</v>
      </c>
      <c r="G29" s="18">
        <v>68</v>
      </c>
      <c r="H29" s="19">
        <v>1</v>
      </c>
      <c r="I29" s="18">
        <v>25</v>
      </c>
      <c r="J29" s="18">
        <v>82</v>
      </c>
      <c r="K29" s="20">
        <v>135</v>
      </c>
      <c r="L29" s="18">
        <v>289</v>
      </c>
      <c r="M29" s="18">
        <v>252</v>
      </c>
      <c r="N29" s="18">
        <v>291</v>
      </c>
      <c r="O29" s="18">
        <v>73</v>
      </c>
      <c r="P29" s="18">
        <v>236</v>
      </c>
      <c r="Q29" s="17">
        <v>5</v>
      </c>
      <c r="R29" s="17">
        <v>8</v>
      </c>
      <c r="S29" s="17">
        <v>7</v>
      </c>
      <c r="T29" s="17">
        <v>8</v>
      </c>
      <c r="U29" s="17">
        <v>2</v>
      </c>
      <c r="V29" s="3">
        <v>8</v>
      </c>
      <c r="W29" s="20">
        <v>54</v>
      </c>
      <c r="X29" s="17">
        <v>8</v>
      </c>
      <c r="Y29" s="17">
        <v>3</v>
      </c>
      <c r="Z29" s="17">
        <v>6</v>
      </c>
      <c r="AA29" s="20">
        <v>120</v>
      </c>
      <c r="AB29" s="17">
        <v>7</v>
      </c>
      <c r="AC29" s="17">
        <v>2</v>
      </c>
      <c r="AD29" s="20">
        <v>780</v>
      </c>
      <c r="AE29" s="3"/>
      <c r="AF29" s="3"/>
      <c r="AG29" s="20"/>
      <c r="AH29" s="107" t="s">
        <v>85</v>
      </c>
      <c r="AI29" s="107"/>
      <c r="AJ29" s="107"/>
      <c r="AK29" s="107"/>
      <c r="AL29" s="108"/>
      <c r="AN29" s="67">
        <f t="shared" si="2"/>
        <v>-4.0291027529459029</v>
      </c>
      <c r="AO29" s="67">
        <f t="shared" si="2"/>
        <v>-1.0632015845868921</v>
      </c>
      <c r="AP29" s="67">
        <f t="shared" si="2"/>
        <v>-2.1534428963024652</v>
      </c>
      <c r="AY29" s="67">
        <f t="shared" si="0"/>
        <v>295.0291027529459</v>
      </c>
      <c r="AZ29" s="67">
        <f t="shared" si="1"/>
        <v>74.063201584586892</v>
      </c>
      <c r="BA29" s="67">
        <f t="shared" si="3"/>
        <v>238.15344289630247</v>
      </c>
      <c r="BC29">
        <f t="shared" si="4"/>
        <v>39.834775764587476</v>
      </c>
      <c r="BD29">
        <v>1013.2</v>
      </c>
      <c r="BE29">
        <f t="shared" si="5"/>
        <v>32.048847988206589</v>
      </c>
    </row>
    <row r="30" spans="1:57" x14ac:dyDescent="0.2">
      <c r="A30" s="13">
        <v>21</v>
      </c>
      <c r="B30" s="3">
        <v>11</v>
      </c>
      <c r="C30" s="17">
        <v>3</v>
      </c>
      <c r="D30" s="3">
        <v>4</v>
      </c>
      <c r="E30" s="18">
        <v>11</v>
      </c>
      <c r="F30" s="18">
        <v>14</v>
      </c>
      <c r="G30" s="18">
        <v>72</v>
      </c>
      <c r="H30" s="19">
        <v>1</v>
      </c>
      <c r="I30" s="18">
        <v>5</v>
      </c>
      <c r="J30" s="18">
        <v>0</v>
      </c>
      <c r="K30" s="20">
        <v>134</v>
      </c>
      <c r="L30" s="18">
        <v>291</v>
      </c>
      <c r="M30" s="18">
        <v>255</v>
      </c>
      <c r="N30" s="18">
        <v>299</v>
      </c>
      <c r="O30" s="18">
        <v>74</v>
      </c>
      <c r="P30" s="18">
        <v>240</v>
      </c>
      <c r="Q30" s="17">
        <v>2</v>
      </c>
      <c r="R30" s="17">
        <v>8</v>
      </c>
      <c r="S30" s="17">
        <v>4</v>
      </c>
      <c r="T30" s="17">
        <v>2</v>
      </c>
      <c r="U30" s="17">
        <v>2</v>
      </c>
      <c r="V30" s="3">
        <v>8</v>
      </c>
      <c r="W30" s="20">
        <v>63</v>
      </c>
      <c r="X30" s="17">
        <v>8</v>
      </c>
      <c r="Y30" s="3"/>
      <c r="Z30" s="3"/>
      <c r="AA30" s="20"/>
      <c r="AB30" s="3"/>
      <c r="AC30" s="3"/>
      <c r="AD30" s="20"/>
      <c r="AE30" s="3"/>
      <c r="AF30" s="3"/>
      <c r="AG30" s="20"/>
      <c r="AH30" s="107" t="s">
        <v>85</v>
      </c>
      <c r="AI30" s="107"/>
      <c r="AJ30" s="107"/>
      <c r="AK30" s="107"/>
      <c r="AL30" s="108"/>
      <c r="AN30" s="67">
        <f t="shared" si="2"/>
        <v>-2.4830302717404038</v>
      </c>
      <c r="AO30" s="67">
        <f t="shared" si="2"/>
        <v>-0.81146052653170386</v>
      </c>
      <c r="AP30" s="67">
        <f t="shared" si="2"/>
        <v>-1.7521647480342608</v>
      </c>
      <c r="AY30" s="67">
        <f t="shared" si="0"/>
        <v>301.4830302717404</v>
      </c>
      <c r="AZ30" s="67">
        <f t="shared" si="1"/>
        <v>74.811460526531704</v>
      </c>
      <c r="BA30" s="67">
        <f t="shared" si="3"/>
        <v>241.75216474803426</v>
      </c>
      <c r="BC30">
        <f t="shared" si="4"/>
        <v>40.299043508824454</v>
      </c>
      <c r="BD30">
        <v>1013.2</v>
      </c>
      <c r="BE30">
        <f t="shared" si="5"/>
        <v>32.626262153014039</v>
      </c>
    </row>
    <row r="31" spans="1:57" x14ac:dyDescent="0.2">
      <c r="A31" s="13">
        <v>22</v>
      </c>
      <c r="B31" s="3">
        <v>11</v>
      </c>
      <c r="C31" s="17">
        <v>7</v>
      </c>
      <c r="D31" s="3">
        <v>4</v>
      </c>
      <c r="E31" s="18">
        <v>12</v>
      </c>
      <c r="F31" s="18">
        <v>13</v>
      </c>
      <c r="G31" s="18">
        <v>68</v>
      </c>
      <c r="H31" s="19">
        <v>1</v>
      </c>
      <c r="I31" s="18">
        <v>80</v>
      </c>
      <c r="J31" s="18">
        <v>22</v>
      </c>
      <c r="K31" s="20">
        <v>143</v>
      </c>
      <c r="L31" s="18">
        <v>275</v>
      </c>
      <c r="M31" s="18">
        <v>260</v>
      </c>
      <c r="N31" s="18">
        <v>325</v>
      </c>
      <c r="O31" s="18">
        <v>88</v>
      </c>
      <c r="P31" s="18">
        <v>254</v>
      </c>
      <c r="Q31" s="17">
        <v>7</v>
      </c>
      <c r="R31" s="17">
        <v>8</v>
      </c>
      <c r="S31" s="17">
        <v>3</v>
      </c>
      <c r="T31" s="17">
        <v>2</v>
      </c>
      <c r="U31" s="17">
        <v>5</v>
      </c>
      <c r="V31" s="3">
        <v>8</v>
      </c>
      <c r="W31" s="20">
        <v>57</v>
      </c>
      <c r="X31" s="17">
        <v>8</v>
      </c>
      <c r="Y31" s="17">
        <v>5</v>
      </c>
      <c r="Z31" s="17">
        <v>6</v>
      </c>
      <c r="AA31" s="20">
        <v>105</v>
      </c>
      <c r="AB31" s="3"/>
      <c r="AC31" s="3"/>
      <c r="AD31" s="20"/>
      <c r="AE31" s="3"/>
      <c r="AF31" s="3"/>
      <c r="AG31" s="20"/>
      <c r="AH31" s="107" t="s">
        <v>137</v>
      </c>
      <c r="AI31" s="107"/>
      <c r="AJ31" s="107"/>
      <c r="AK31" s="107"/>
      <c r="AL31" s="108"/>
      <c r="AN31" s="67">
        <f t="shared" si="2"/>
        <v>-0.75800526936438928</v>
      </c>
      <c r="AO31" s="67">
        <f t="shared" si="2"/>
        <v>-0.72933580304164991</v>
      </c>
      <c r="AP31" s="67">
        <f t="shared" si="2"/>
        <v>-0.71050794779029047</v>
      </c>
      <c r="AY31" s="67">
        <f t="shared" si="0"/>
        <v>325.75800526936439</v>
      </c>
      <c r="AZ31" s="67">
        <f t="shared" si="1"/>
        <v>88.72933580304165</v>
      </c>
      <c r="BA31" s="67">
        <f t="shared" si="3"/>
        <v>254.71050794779029</v>
      </c>
      <c r="BC31">
        <f t="shared" si="4"/>
        <v>36.713675620481474</v>
      </c>
      <c r="BD31">
        <v>1013.2</v>
      </c>
      <c r="BE31">
        <f t="shared" si="5"/>
        <v>33.608860260136439</v>
      </c>
    </row>
    <row r="32" spans="1:57" x14ac:dyDescent="0.2">
      <c r="A32" s="13">
        <v>23</v>
      </c>
      <c r="B32" s="3">
        <v>11</v>
      </c>
      <c r="C32" s="17">
        <v>7</v>
      </c>
      <c r="D32" s="3">
        <v>4</v>
      </c>
      <c r="E32" s="18">
        <v>11</v>
      </c>
      <c r="F32" s="18">
        <v>15</v>
      </c>
      <c r="G32" s="18">
        <v>72</v>
      </c>
      <c r="H32" s="19">
        <v>1</v>
      </c>
      <c r="I32" s="18">
        <v>6</v>
      </c>
      <c r="J32" s="18">
        <v>22</v>
      </c>
      <c r="K32" s="20">
        <v>132</v>
      </c>
      <c r="L32" s="18">
        <v>291</v>
      </c>
      <c r="M32" s="18">
        <v>250</v>
      </c>
      <c r="N32" s="18">
        <v>285</v>
      </c>
      <c r="O32" s="18">
        <v>71</v>
      </c>
      <c r="P32" s="18">
        <v>232</v>
      </c>
      <c r="Q32" s="17">
        <v>3</v>
      </c>
      <c r="R32" s="17">
        <v>2</v>
      </c>
      <c r="S32" s="17">
        <v>0</v>
      </c>
      <c r="T32" s="17">
        <v>0</v>
      </c>
      <c r="U32" s="17">
        <v>3</v>
      </c>
      <c r="V32" s="3">
        <v>8</v>
      </c>
      <c r="W32" s="20">
        <v>63</v>
      </c>
      <c r="X32" s="17">
        <v>8</v>
      </c>
      <c r="Y32" s="17">
        <v>6</v>
      </c>
      <c r="Z32" s="17">
        <v>0</v>
      </c>
      <c r="AA32" s="20">
        <v>840</v>
      </c>
      <c r="AB32" s="3"/>
      <c r="AC32" s="3"/>
      <c r="AD32" s="20"/>
      <c r="AE32" s="3"/>
      <c r="AF32" s="3"/>
      <c r="AG32" s="20"/>
      <c r="AH32" s="107" t="s">
        <v>85</v>
      </c>
      <c r="AI32" s="107"/>
      <c r="AJ32" s="107"/>
      <c r="AK32" s="107"/>
      <c r="AL32" s="108"/>
      <c r="AN32" s="67">
        <f t="shared" si="2"/>
        <v>-3.4834798261599644</v>
      </c>
      <c r="AO32" s="67">
        <f t="shared" si="2"/>
        <v>-0.58568906554556577</v>
      </c>
      <c r="AP32" s="67">
        <f t="shared" si="2"/>
        <v>-2.4324719099825529</v>
      </c>
      <c r="AY32" s="67">
        <f t="shared" si="0"/>
        <v>288.48347982615996</v>
      </c>
      <c r="AZ32" s="67">
        <f t="shared" si="1"/>
        <v>71.585689065545566</v>
      </c>
      <c r="BA32" s="67">
        <f t="shared" si="3"/>
        <v>234.43247190998255</v>
      </c>
      <c r="BC32">
        <f t="shared" si="4"/>
        <v>40.299043508824454</v>
      </c>
      <c r="BD32">
        <v>1013.2</v>
      </c>
      <c r="BE32">
        <f t="shared" si="5"/>
        <v>31.668891609615997</v>
      </c>
    </row>
    <row r="33" spans="1:57" x14ac:dyDescent="0.2">
      <c r="A33" s="13">
        <v>24</v>
      </c>
      <c r="B33" s="3">
        <v>11</v>
      </c>
      <c r="C33" s="17">
        <v>7</v>
      </c>
      <c r="D33" s="3">
        <v>4</v>
      </c>
      <c r="E33" s="18">
        <v>9</v>
      </c>
      <c r="F33" s="18">
        <v>10</v>
      </c>
      <c r="G33" s="18">
        <v>68</v>
      </c>
      <c r="H33" s="19">
        <v>1</v>
      </c>
      <c r="I33" s="18">
        <v>25</v>
      </c>
      <c r="J33" s="18">
        <v>82</v>
      </c>
      <c r="K33" s="20">
        <v>129</v>
      </c>
      <c r="L33" s="18">
        <v>268</v>
      </c>
      <c r="M33" s="18">
        <v>258</v>
      </c>
      <c r="N33" s="18">
        <v>325</v>
      </c>
      <c r="O33" s="18">
        <v>92</v>
      </c>
      <c r="P33" s="18">
        <v>254</v>
      </c>
      <c r="Q33" s="17">
        <v>7</v>
      </c>
      <c r="R33" s="17">
        <v>8</v>
      </c>
      <c r="S33" s="17">
        <v>0</v>
      </c>
      <c r="T33" s="17">
        <v>2</v>
      </c>
      <c r="U33" s="17">
        <v>5</v>
      </c>
      <c r="V33" s="3">
        <v>8</v>
      </c>
      <c r="W33" s="20">
        <v>48</v>
      </c>
      <c r="X33" s="17">
        <v>8</v>
      </c>
      <c r="Y33" s="17">
        <v>6</v>
      </c>
      <c r="Z33" s="17">
        <v>6</v>
      </c>
      <c r="AA33" s="20">
        <v>105</v>
      </c>
      <c r="AB33" s="3"/>
      <c r="AC33" s="3"/>
      <c r="AD33" s="20"/>
      <c r="AE33" s="3"/>
      <c r="AF33" s="3"/>
      <c r="AG33" s="20"/>
      <c r="AH33" s="107" t="s">
        <v>150</v>
      </c>
      <c r="AI33" s="107"/>
      <c r="AJ33" s="107"/>
      <c r="AK33" s="107"/>
      <c r="AL33" s="108"/>
      <c r="AN33" s="67">
        <f t="shared" si="2"/>
        <v>-0.24205367591389404</v>
      </c>
      <c r="AO33" s="67">
        <f t="shared" si="2"/>
        <v>-0.30680760995036849</v>
      </c>
      <c r="AP33" s="67">
        <f t="shared" si="2"/>
        <v>-0.44401203723623439</v>
      </c>
      <c r="AY33" s="67">
        <f t="shared" si="0"/>
        <v>325.24205367591389</v>
      </c>
      <c r="AZ33" s="67">
        <f t="shared" si="1"/>
        <v>92.306807609950368</v>
      </c>
      <c r="BA33" s="67">
        <f t="shared" si="3"/>
        <v>254.44401203723623</v>
      </c>
      <c r="BC33">
        <f t="shared" si="4"/>
        <v>35.234893514056914</v>
      </c>
      <c r="BD33">
        <v>1013.2</v>
      </c>
      <c r="BE33">
        <f t="shared" si="5"/>
        <v>33.212758052631393</v>
      </c>
    </row>
    <row r="34" spans="1:57" x14ac:dyDescent="0.2">
      <c r="A34" s="13">
        <v>25</v>
      </c>
      <c r="B34" s="3">
        <v>11</v>
      </c>
      <c r="C34" s="17">
        <v>7</v>
      </c>
      <c r="D34" s="3">
        <v>4</v>
      </c>
      <c r="E34" s="18">
        <v>10</v>
      </c>
      <c r="F34" s="18">
        <v>12</v>
      </c>
      <c r="G34" s="18">
        <v>56</v>
      </c>
      <c r="H34" s="19">
        <v>1</v>
      </c>
      <c r="I34" s="18">
        <v>16</v>
      </c>
      <c r="J34" s="18">
        <v>82</v>
      </c>
      <c r="K34" s="20">
        <v>143</v>
      </c>
      <c r="L34" s="18">
        <v>257</v>
      </c>
      <c r="M34" s="18">
        <v>243</v>
      </c>
      <c r="N34" s="18">
        <v>293</v>
      </c>
      <c r="O34" s="18">
        <v>89</v>
      </c>
      <c r="P34" s="18">
        <v>237</v>
      </c>
      <c r="Q34" s="17">
        <v>7</v>
      </c>
      <c r="R34" s="17">
        <v>4</v>
      </c>
      <c r="S34" s="17">
        <v>6</v>
      </c>
      <c r="T34" s="17" t="s">
        <v>89</v>
      </c>
      <c r="U34" s="17">
        <v>4</v>
      </c>
      <c r="V34" s="3">
        <v>8</v>
      </c>
      <c r="W34" s="20">
        <v>36</v>
      </c>
      <c r="X34" s="17">
        <v>8</v>
      </c>
      <c r="Y34" s="17">
        <v>7</v>
      </c>
      <c r="Z34" s="17">
        <v>6</v>
      </c>
      <c r="AA34" s="20">
        <f>34*3</f>
        <v>102</v>
      </c>
      <c r="AB34" s="3"/>
      <c r="AC34" s="3"/>
      <c r="AD34" s="20"/>
      <c r="AE34" s="3"/>
      <c r="AF34" s="3"/>
      <c r="AG34" s="20"/>
      <c r="AH34" s="107" t="s">
        <v>90</v>
      </c>
      <c r="AI34" s="107"/>
      <c r="AJ34" s="107"/>
      <c r="AK34" s="107"/>
      <c r="AL34" s="108"/>
      <c r="AN34" s="67">
        <f t="shared" si="2"/>
        <v>-1.0754946969581738</v>
      </c>
      <c r="AO34" s="67">
        <f t="shared" si="2"/>
        <v>-6.9945192308338733E-2</v>
      </c>
      <c r="AP34" s="67">
        <f t="shared" si="2"/>
        <v>-0.61587565974977565</v>
      </c>
      <c r="AY34" s="67">
        <f t="shared" si="0"/>
        <v>294.07549469695817</v>
      </c>
      <c r="AZ34" s="67">
        <f t="shared" si="1"/>
        <v>89.069945192308339</v>
      </c>
      <c r="BA34" s="67">
        <f t="shared" si="3"/>
        <v>237.61587565974978</v>
      </c>
      <c r="BC34">
        <f t="shared" si="4"/>
        <v>33.016242915837466</v>
      </c>
      <c r="BD34">
        <v>1013.2</v>
      </c>
      <c r="BE34">
        <f t="shared" si="5"/>
        <v>30.369908289271816</v>
      </c>
    </row>
    <row r="35" spans="1:57" x14ac:dyDescent="0.2">
      <c r="A35" s="13">
        <v>26</v>
      </c>
      <c r="B35" s="3">
        <v>11</v>
      </c>
      <c r="C35" s="17">
        <v>4</v>
      </c>
      <c r="D35" s="3">
        <v>4</v>
      </c>
      <c r="E35" s="18">
        <v>12</v>
      </c>
      <c r="F35" s="18">
        <v>12</v>
      </c>
      <c r="G35" s="18">
        <v>70</v>
      </c>
      <c r="H35" s="19">
        <v>1</v>
      </c>
      <c r="I35" s="18">
        <v>5</v>
      </c>
      <c r="J35" s="18">
        <v>11</v>
      </c>
      <c r="K35" s="20">
        <v>151</v>
      </c>
      <c r="L35" s="18">
        <v>293</v>
      </c>
      <c r="M35" s="18">
        <v>257</v>
      </c>
      <c r="N35" s="18">
        <v>302</v>
      </c>
      <c r="O35" s="18">
        <v>74</v>
      </c>
      <c r="P35" s="18">
        <v>242</v>
      </c>
      <c r="Q35" s="17">
        <v>4</v>
      </c>
      <c r="R35" s="17">
        <v>2</v>
      </c>
      <c r="S35" s="17">
        <v>4</v>
      </c>
      <c r="T35" s="17">
        <v>0</v>
      </c>
      <c r="U35" s="17">
        <v>4</v>
      </c>
      <c r="V35" s="3">
        <v>8</v>
      </c>
      <c r="W35" s="20">
        <v>66</v>
      </c>
      <c r="X35" s="17">
        <v>8</v>
      </c>
      <c r="Y35" s="3"/>
      <c r="Z35" s="3"/>
      <c r="AA35" s="20"/>
      <c r="AB35" s="3"/>
      <c r="AC35" s="3"/>
      <c r="AD35" s="20"/>
      <c r="AE35" s="3"/>
      <c r="AF35" s="3"/>
      <c r="AG35" s="20"/>
      <c r="AH35" s="107" t="s">
        <v>85</v>
      </c>
      <c r="AI35" s="107"/>
      <c r="AJ35" s="107"/>
      <c r="AK35" s="107"/>
      <c r="AL35" s="108"/>
      <c r="AN35" s="67">
        <f t="shared" si="2"/>
        <v>-3.3773009646146761</v>
      </c>
      <c r="AO35" s="67">
        <f t="shared" si="2"/>
        <v>-0.90607330288743526</v>
      </c>
      <c r="AP35" s="67">
        <f t="shared" si="2"/>
        <v>-1.8911168190470846</v>
      </c>
      <c r="AY35" s="67">
        <f t="shared" si="0"/>
        <v>305.37730096461468</v>
      </c>
      <c r="AZ35" s="67">
        <f t="shared" si="1"/>
        <v>74.906073302887435</v>
      </c>
      <c r="BA35" s="67">
        <f t="shared" si="3"/>
        <v>243.89111681904708</v>
      </c>
      <c r="BC35">
        <f t="shared" si="4"/>
        <v>40.768029546790189</v>
      </c>
      <c r="BD35">
        <v>1013.2</v>
      </c>
      <c r="BE35">
        <f t="shared" si="5"/>
        <v>33.016242915837466</v>
      </c>
    </row>
    <row r="36" spans="1:57" x14ac:dyDescent="0.2">
      <c r="A36" s="13">
        <v>27</v>
      </c>
      <c r="B36" s="3">
        <v>11</v>
      </c>
      <c r="C36" s="17">
        <v>6</v>
      </c>
      <c r="D36" s="3">
        <v>4</v>
      </c>
      <c r="E36" s="18">
        <v>9</v>
      </c>
      <c r="F36" s="18">
        <v>16</v>
      </c>
      <c r="G36" s="18">
        <v>68</v>
      </c>
      <c r="H36" s="19">
        <v>1</v>
      </c>
      <c r="I36" s="18">
        <v>25</v>
      </c>
      <c r="J36" s="18">
        <v>82</v>
      </c>
      <c r="K36" s="20">
        <v>143</v>
      </c>
      <c r="L36" s="18">
        <v>286</v>
      </c>
      <c r="M36" s="18">
        <v>256</v>
      </c>
      <c r="N36" s="18">
        <v>304</v>
      </c>
      <c r="O36" s="18">
        <v>78</v>
      </c>
      <c r="P36" s="18">
        <v>243</v>
      </c>
      <c r="Q36" s="17">
        <v>4</v>
      </c>
      <c r="R36" s="17">
        <v>8</v>
      </c>
      <c r="S36" s="17">
        <v>4</v>
      </c>
      <c r="T36" s="17">
        <v>1</v>
      </c>
      <c r="U36" s="17">
        <v>3</v>
      </c>
      <c r="V36" s="3">
        <v>8</v>
      </c>
      <c r="W36" s="20">
        <v>54</v>
      </c>
      <c r="X36" s="17">
        <v>8</v>
      </c>
      <c r="Y36" s="17">
        <v>3</v>
      </c>
      <c r="Z36" s="17">
        <v>0</v>
      </c>
      <c r="AA36" s="20">
        <v>870</v>
      </c>
      <c r="AB36" s="3"/>
      <c r="AC36" s="3"/>
      <c r="AD36" s="20"/>
      <c r="AE36" s="3"/>
      <c r="AF36" s="3"/>
      <c r="AG36" s="20"/>
      <c r="AH36" s="107" t="s">
        <v>184</v>
      </c>
      <c r="AI36" s="107"/>
      <c r="AJ36" s="107"/>
      <c r="AK36" s="107"/>
      <c r="AL36" s="108"/>
      <c r="AN36" s="67">
        <f t="shared" si="2"/>
        <v>-3.5554912841389523</v>
      </c>
      <c r="AO36" s="67">
        <f t="shared" si="2"/>
        <v>-0.5639882480048044</v>
      </c>
      <c r="AP36" s="67">
        <f t="shared" si="2"/>
        <v>-2.0771084567215894</v>
      </c>
      <c r="AY36" s="67">
        <f t="shared" si="0"/>
        <v>307.55549128413895</v>
      </c>
      <c r="AZ36" s="67">
        <f t="shared" si="1"/>
        <v>78.563988248004804</v>
      </c>
      <c r="BA36" s="67">
        <f t="shared" si="3"/>
        <v>245.07710845672159</v>
      </c>
      <c r="BC36">
        <f t="shared" si="4"/>
        <v>39.147133202208529</v>
      </c>
      <c r="BD36">
        <v>1013.2</v>
      </c>
      <c r="BE36">
        <f t="shared" si="5"/>
        <v>32.820745772253893</v>
      </c>
    </row>
    <row r="37" spans="1:57" x14ac:dyDescent="0.2">
      <c r="A37" s="13">
        <v>28</v>
      </c>
      <c r="B37" s="3">
        <v>11</v>
      </c>
      <c r="C37" s="17">
        <v>8</v>
      </c>
      <c r="D37" s="3">
        <v>4</v>
      </c>
      <c r="E37" s="18">
        <v>5</v>
      </c>
      <c r="F37" s="18">
        <v>5</v>
      </c>
      <c r="G37" s="18">
        <v>57</v>
      </c>
      <c r="H37" s="19">
        <v>1</v>
      </c>
      <c r="I37" s="18">
        <v>25</v>
      </c>
      <c r="J37" s="18">
        <v>62</v>
      </c>
      <c r="K37" s="20">
        <v>169</v>
      </c>
      <c r="L37" s="18">
        <v>255</v>
      </c>
      <c r="M37" s="18">
        <v>248</v>
      </c>
      <c r="N37" s="18">
        <v>308</v>
      </c>
      <c r="O37" s="18">
        <v>94</v>
      </c>
      <c r="P37" s="18">
        <v>245</v>
      </c>
      <c r="Q37" s="17">
        <v>8</v>
      </c>
      <c r="R37" s="17">
        <v>8</v>
      </c>
      <c r="S37" s="17" t="s">
        <v>89</v>
      </c>
      <c r="T37" s="17" t="s">
        <v>89</v>
      </c>
      <c r="U37" s="17">
        <v>4</v>
      </c>
      <c r="V37" s="3">
        <v>8</v>
      </c>
      <c r="W37" s="20">
        <v>51</v>
      </c>
      <c r="X37" s="17">
        <v>8</v>
      </c>
      <c r="Y37" s="17">
        <v>8</v>
      </c>
      <c r="Z37" s="17">
        <v>6</v>
      </c>
      <c r="AA37" s="20">
        <v>114</v>
      </c>
      <c r="AB37" s="3"/>
      <c r="AC37" s="3"/>
      <c r="AD37" s="20"/>
      <c r="AE37" s="3"/>
      <c r="AF37" s="3"/>
      <c r="AG37" s="20"/>
      <c r="AH37" s="107" t="s">
        <v>194</v>
      </c>
      <c r="AI37" s="107"/>
      <c r="AJ37" s="107"/>
      <c r="AK37" s="107"/>
      <c r="AL37" s="108"/>
      <c r="AN37" s="67">
        <f t="shared" si="2"/>
        <v>-0.11434839436509492</v>
      </c>
      <c r="AO37" s="67">
        <f t="shared" si="2"/>
        <v>-0.43752610989831453</v>
      </c>
      <c r="AP37" s="67">
        <f t="shared" si="2"/>
        <v>-0.38021212614921751</v>
      </c>
      <c r="AY37" s="67">
        <f t="shared" si="0"/>
        <v>308.11434839436509</v>
      </c>
      <c r="AZ37" s="67">
        <f t="shared" si="1"/>
        <v>94.437526109898315</v>
      </c>
      <c r="BA37" s="67">
        <f t="shared" si="3"/>
        <v>245.38021212614922</v>
      </c>
      <c r="BC37">
        <f t="shared" si="4"/>
        <v>32.626262153014039</v>
      </c>
      <c r="BD37">
        <v>1013.2</v>
      </c>
      <c r="BE37">
        <f t="shared" si="5"/>
        <v>31.29288340580451</v>
      </c>
    </row>
    <row r="38" spans="1:57" x14ac:dyDescent="0.2">
      <c r="A38" s="13">
        <v>29</v>
      </c>
      <c r="B38" s="3">
        <v>11</v>
      </c>
      <c r="C38" s="17">
        <v>7</v>
      </c>
      <c r="D38" s="3">
        <v>4</v>
      </c>
      <c r="E38" s="18">
        <v>8</v>
      </c>
      <c r="F38" s="18">
        <v>12</v>
      </c>
      <c r="G38" s="18">
        <v>70</v>
      </c>
      <c r="H38" s="19">
        <v>1</v>
      </c>
      <c r="I38" s="18">
        <v>61</v>
      </c>
      <c r="J38" s="18">
        <v>62</v>
      </c>
      <c r="K38" s="20">
        <v>153</v>
      </c>
      <c r="L38" s="18">
        <v>270</v>
      </c>
      <c r="M38" s="18">
        <v>252</v>
      </c>
      <c r="N38" s="18">
        <v>304</v>
      </c>
      <c r="O38" s="18">
        <v>85</v>
      </c>
      <c r="P38" s="18">
        <v>243</v>
      </c>
      <c r="Q38" s="17">
        <v>7</v>
      </c>
      <c r="R38" s="17">
        <v>8</v>
      </c>
      <c r="S38" s="17">
        <v>7</v>
      </c>
      <c r="T38" s="17">
        <v>0</v>
      </c>
      <c r="U38" s="17">
        <v>4</v>
      </c>
      <c r="V38" s="3">
        <v>8</v>
      </c>
      <c r="W38" s="20">
        <v>48</v>
      </c>
      <c r="X38" s="17">
        <v>8</v>
      </c>
      <c r="Y38" s="17">
        <v>7</v>
      </c>
      <c r="Z38" s="17">
        <v>6</v>
      </c>
      <c r="AA38" s="20">
        <v>105</v>
      </c>
      <c r="AB38" s="17">
        <v>6</v>
      </c>
      <c r="AC38" s="17">
        <v>6</v>
      </c>
      <c r="AD38" s="20">
        <v>210</v>
      </c>
      <c r="AE38" s="3"/>
      <c r="AF38" s="3"/>
      <c r="AG38" s="20"/>
      <c r="AH38" s="107" t="s">
        <v>204</v>
      </c>
      <c r="AI38" s="107"/>
      <c r="AJ38" s="107"/>
      <c r="AK38" s="107"/>
      <c r="AL38" s="108"/>
      <c r="AN38" s="67">
        <f t="shared" si="2"/>
        <v>-4.1028369543859071</v>
      </c>
      <c r="AO38" s="67">
        <f t="shared" si="2"/>
        <v>-1.419530679831368</v>
      </c>
      <c r="AP38" s="67">
        <f t="shared" si="2"/>
        <v>-2.3739735982228467</v>
      </c>
      <c r="AY38" s="67">
        <f t="shared" si="0"/>
        <v>308.10283695438591</v>
      </c>
      <c r="AZ38" s="67">
        <f t="shared" si="1"/>
        <v>86.419530679831368</v>
      </c>
      <c r="BA38" s="67">
        <f t="shared" si="3"/>
        <v>245.37397359822285</v>
      </c>
      <c r="BC38">
        <f t="shared" si="4"/>
        <v>35.651991457330503</v>
      </c>
      <c r="BD38">
        <v>1013.2</v>
      </c>
      <c r="BE38">
        <f t="shared" si="5"/>
        <v>32.048847988206589</v>
      </c>
    </row>
    <row r="39" spans="1:57" x14ac:dyDescent="0.2">
      <c r="A39" s="13">
        <v>30</v>
      </c>
      <c r="B39" s="3">
        <v>11</v>
      </c>
      <c r="C39" s="17">
        <v>6</v>
      </c>
      <c r="D39" s="3">
        <v>4</v>
      </c>
      <c r="E39" s="18">
        <v>4</v>
      </c>
      <c r="F39" s="18">
        <v>12</v>
      </c>
      <c r="G39" s="18">
        <v>66</v>
      </c>
      <c r="H39" s="19">
        <v>1</v>
      </c>
      <c r="I39" s="18">
        <v>5</v>
      </c>
      <c r="J39" s="18">
        <v>22</v>
      </c>
      <c r="K39" s="20">
        <v>142</v>
      </c>
      <c r="L39" s="18">
        <v>286</v>
      </c>
      <c r="M39" s="18">
        <v>240</v>
      </c>
      <c r="N39" s="18">
        <v>261</v>
      </c>
      <c r="O39" s="18">
        <v>67</v>
      </c>
      <c r="P39" s="18">
        <v>218</v>
      </c>
      <c r="Q39" s="17">
        <v>5</v>
      </c>
      <c r="R39" s="17">
        <v>8</v>
      </c>
      <c r="S39" s="17">
        <v>7</v>
      </c>
      <c r="T39" s="17">
        <v>2</v>
      </c>
      <c r="U39" s="17">
        <v>2</v>
      </c>
      <c r="V39" s="3">
        <v>8</v>
      </c>
      <c r="W39" s="20">
        <v>54</v>
      </c>
      <c r="X39" s="17">
        <v>8</v>
      </c>
      <c r="Y39" s="17">
        <v>4</v>
      </c>
      <c r="Z39" s="17">
        <v>6</v>
      </c>
      <c r="AA39" s="20">
        <v>105</v>
      </c>
      <c r="AB39" s="3"/>
      <c r="AC39" s="3"/>
      <c r="AD39" s="20"/>
      <c r="AE39" s="3"/>
      <c r="AF39" s="3"/>
      <c r="AG39" s="20"/>
      <c r="AH39" s="107" t="s">
        <v>85</v>
      </c>
      <c r="AI39" s="107"/>
      <c r="AJ39" s="107"/>
      <c r="AK39" s="107"/>
      <c r="AL39" s="108"/>
      <c r="AN39" s="67">
        <f t="shared" si="2"/>
        <v>-5.6666483878206577</v>
      </c>
      <c r="AO39" s="67">
        <f t="shared" si="2"/>
        <v>-1.1190745208326973</v>
      </c>
      <c r="AP39" s="67">
        <f t="shared" si="2"/>
        <v>-3.4719167003633231</v>
      </c>
      <c r="AY39" s="67">
        <f t="shared" si="0"/>
        <v>266.66664838782066</v>
      </c>
      <c r="AZ39" s="67">
        <f t="shared" si="1"/>
        <v>68.119074520832697</v>
      </c>
      <c r="BA39" s="67">
        <f t="shared" si="3"/>
        <v>221.47191670036332</v>
      </c>
      <c r="BC39">
        <f t="shared" si="4"/>
        <v>39.147133202208529</v>
      </c>
      <c r="BD39">
        <v>1013.2</v>
      </c>
      <c r="BE39">
        <f t="shared" si="5"/>
        <v>29.827639714302066</v>
      </c>
    </row>
    <row r="40" spans="1:57" x14ac:dyDescent="0.2">
      <c r="A40" s="13"/>
      <c r="B40" s="3"/>
      <c r="C40" s="17"/>
      <c r="D40" s="3"/>
      <c r="E40" s="18"/>
      <c r="F40" s="18"/>
      <c r="G40" s="18"/>
      <c r="H40" s="19"/>
      <c r="I40" s="18"/>
      <c r="J40" s="18"/>
      <c r="K40" s="20"/>
      <c r="L40" s="18"/>
      <c r="M40" s="18"/>
      <c r="N40" s="18"/>
      <c r="O40" s="18"/>
      <c r="P40" s="18"/>
      <c r="Q40" s="17"/>
      <c r="R40" s="17"/>
      <c r="S40" s="17"/>
      <c r="T40" s="17"/>
      <c r="U40" s="17"/>
      <c r="V40" s="3"/>
      <c r="W40" s="20"/>
      <c r="X40" s="17"/>
      <c r="Y40" s="3"/>
      <c r="Z40" s="3"/>
      <c r="AA40" s="20"/>
      <c r="AB40" s="3"/>
      <c r="AC40" s="3"/>
      <c r="AD40" s="20"/>
      <c r="AE40" s="3"/>
      <c r="AF40" s="3"/>
      <c r="AG40" s="20"/>
      <c r="AH40" s="107"/>
      <c r="AI40" s="107"/>
      <c r="AJ40" s="107"/>
      <c r="AK40" s="107"/>
      <c r="AL40" s="108"/>
      <c r="AN40" s="67"/>
      <c r="AO40" s="67"/>
      <c r="AP40" s="67"/>
      <c r="AY40" s="67">
        <f t="shared" si="0"/>
        <v>61.120000000000005</v>
      </c>
      <c r="AZ40" s="67">
        <f t="shared" si="1"/>
        <v>100</v>
      </c>
      <c r="BA40" s="67">
        <f t="shared" si="3"/>
        <v>0</v>
      </c>
      <c r="BC40">
        <f t="shared" si="4"/>
        <v>6.1120000000000001</v>
      </c>
      <c r="BD40">
        <v>1013.2</v>
      </c>
      <c r="BE40">
        <f t="shared" si="5"/>
        <v>6.1120000000000001</v>
      </c>
    </row>
    <row r="41" spans="1:57" x14ac:dyDescent="0.2">
      <c r="A41" s="18"/>
      <c r="B41" s="3"/>
      <c r="C41" s="17"/>
      <c r="D41" s="3"/>
      <c r="E41" s="18"/>
      <c r="F41" s="18"/>
      <c r="G41" s="18"/>
      <c r="H41" s="19"/>
      <c r="I41" s="18"/>
      <c r="J41" s="18"/>
      <c r="K41" s="20"/>
      <c r="L41" s="18"/>
      <c r="M41" s="18"/>
      <c r="N41" s="18"/>
      <c r="O41" s="18"/>
      <c r="P41" s="18"/>
      <c r="Q41" s="17"/>
      <c r="R41" s="17"/>
      <c r="S41" s="17"/>
      <c r="T41" s="17"/>
      <c r="U41" s="17"/>
      <c r="V41" s="3"/>
      <c r="W41" s="20"/>
      <c r="X41" s="3"/>
      <c r="Y41" s="3"/>
      <c r="Z41" s="3"/>
      <c r="AA41" s="20"/>
      <c r="AB41" s="3"/>
      <c r="AC41" s="3"/>
      <c r="AD41" s="20"/>
      <c r="AE41" s="3"/>
      <c r="AF41" s="3"/>
      <c r="AG41" s="20"/>
      <c r="AH41" s="109" t="s">
        <v>230</v>
      </c>
      <c r="AI41" s="107"/>
      <c r="AJ41" s="107"/>
      <c r="AK41" s="107"/>
      <c r="AL41" s="108"/>
      <c r="AN41" s="67"/>
      <c r="AO41" s="67"/>
      <c r="AP41" s="67"/>
    </row>
    <row r="42" spans="1:57" x14ac:dyDescent="0.2">
      <c r="A42" s="13" t="s">
        <v>9</v>
      </c>
      <c r="B42" s="1"/>
      <c r="C42" s="21">
        <f>SUM(C10:C40)</f>
        <v>162</v>
      </c>
      <c r="D42" s="1"/>
      <c r="E42" s="13"/>
      <c r="F42" s="13">
        <f>SUM(F10:F40)</f>
        <v>382</v>
      </c>
      <c r="G42" s="13"/>
      <c r="H42" s="2"/>
      <c r="I42" s="13"/>
      <c r="J42" s="13"/>
      <c r="K42" s="22">
        <f>SUM(K10:K40)</f>
        <v>4264</v>
      </c>
      <c r="L42" s="13">
        <f>SUM(L10:L40)</f>
        <v>8627</v>
      </c>
      <c r="M42" s="13">
        <f>SUM(M10:M40)</f>
        <v>7556</v>
      </c>
      <c r="N42" s="13">
        <f>SUM(N10:N40)</f>
        <v>8770</v>
      </c>
      <c r="O42" s="13">
        <f>SUM(O10:O40)</f>
        <v>2231</v>
      </c>
      <c r="P42" s="13">
        <f t="shared" ref="P42" si="6">SUM(P10:P40)</f>
        <v>7083</v>
      </c>
      <c r="Q42" s="21">
        <f>SUM(Q10:Q40)</f>
        <v>116</v>
      </c>
      <c r="R42" s="21"/>
      <c r="S42" s="21"/>
      <c r="T42" s="21"/>
      <c r="U42" s="21"/>
      <c r="V42" s="1"/>
      <c r="W42" s="22"/>
      <c r="X42" s="1"/>
      <c r="Y42" s="1"/>
      <c r="Z42" s="1"/>
      <c r="AA42" s="22"/>
      <c r="AB42" s="1"/>
      <c r="AC42" s="1"/>
      <c r="AD42" s="22"/>
      <c r="AE42" s="1"/>
      <c r="AF42" s="1"/>
      <c r="AG42" s="22"/>
      <c r="AH42" s="116"/>
      <c r="AI42" s="116"/>
      <c r="AJ42" s="116"/>
      <c r="AK42" s="116"/>
      <c r="AL42" s="117"/>
      <c r="AN42" s="67"/>
      <c r="AO42" s="67"/>
      <c r="AP42" s="67"/>
    </row>
    <row r="43" spans="1:57" ht="13.5" thickBot="1" x14ac:dyDescent="0.25">
      <c r="A43" s="23" t="s">
        <v>10</v>
      </c>
      <c r="B43" s="24"/>
      <c r="C43" s="25">
        <f>AVERAGE(C10:C40)</f>
        <v>5.4</v>
      </c>
      <c r="D43" s="24"/>
      <c r="E43" s="23">
        <f>MODE(E10:E40)</f>
        <v>12</v>
      </c>
      <c r="F43" s="23">
        <f>AVERAGE(F10:F40)</f>
        <v>12.733333333333333</v>
      </c>
      <c r="G43" s="23"/>
      <c r="H43" s="26"/>
      <c r="I43" s="23"/>
      <c r="J43" s="23"/>
      <c r="K43" s="27">
        <f>AVERAGE(K10:K40)</f>
        <v>142.13333333333333</v>
      </c>
      <c r="L43" s="23">
        <f t="shared" ref="L43:Q43" si="7">AVERAGE(L10:L40)</f>
        <v>287.56666666666666</v>
      </c>
      <c r="M43" s="23">
        <f t="shared" si="7"/>
        <v>251.86666666666667</v>
      </c>
      <c r="N43" s="23">
        <f t="shared" si="7"/>
        <v>292.33333333333331</v>
      </c>
      <c r="O43" s="23">
        <f t="shared" si="7"/>
        <v>74.36666666666666</v>
      </c>
      <c r="P43" s="23">
        <f>AVERAGE(P10:P40)</f>
        <v>236.1</v>
      </c>
      <c r="Q43" s="25">
        <f t="shared" si="7"/>
        <v>3.8666666666666667</v>
      </c>
      <c r="R43" s="25"/>
      <c r="S43" s="25"/>
      <c r="T43" s="25"/>
      <c r="U43" s="25"/>
      <c r="V43" s="24"/>
      <c r="W43" s="27"/>
      <c r="X43" s="24"/>
      <c r="Y43" s="24"/>
      <c r="Z43" s="24"/>
      <c r="AA43" s="27"/>
      <c r="AB43" s="24"/>
      <c r="AC43" s="24"/>
      <c r="AD43" s="27"/>
      <c r="AE43" s="24"/>
      <c r="AF43" s="24"/>
      <c r="AG43" s="27"/>
      <c r="AH43" s="111"/>
      <c r="AI43" s="111"/>
      <c r="AJ43" s="111"/>
      <c r="AK43" s="111"/>
      <c r="AL43" s="112"/>
      <c r="AN43" s="67">
        <f>AVERAGE(AN10:AN40)</f>
        <v>-3.4942406259276142</v>
      </c>
      <c r="AO43" s="67">
        <f t="shared" ref="AO43:AP43" si="8">AVERAGE(AO10:AO40)</f>
        <v>-0.94784855319365491</v>
      </c>
      <c r="AP43" s="67">
        <f t="shared" si="8"/>
        <v>-2.2684431539729983</v>
      </c>
    </row>
    <row r="44" spans="1:57" x14ac:dyDescent="0.2">
      <c r="E44" s="11"/>
      <c r="G44" s="11"/>
      <c r="K44" s="4"/>
      <c r="M44" s="11"/>
      <c r="P44" s="11"/>
      <c r="Q44" s="11"/>
      <c r="W44" s="4"/>
      <c r="AA44" s="4"/>
      <c r="AD44" s="4"/>
    </row>
    <row r="45" spans="1:57" x14ac:dyDescent="0.2">
      <c r="E45" s="11"/>
      <c r="G45" s="11"/>
      <c r="K45" s="4"/>
      <c r="M45" s="11"/>
      <c r="P45" s="11"/>
      <c r="Q45" s="11"/>
      <c r="W45" s="4"/>
      <c r="AA45" s="4"/>
    </row>
    <row r="46" spans="1:57" x14ac:dyDescent="0.2">
      <c r="E46" s="11"/>
      <c r="G46" s="11"/>
      <c r="M46" s="11"/>
      <c r="P46" s="11"/>
      <c r="Q46" s="11"/>
      <c r="W46" s="4"/>
      <c r="AA46" s="4"/>
    </row>
    <row r="47" spans="1:57" x14ac:dyDescent="0.2">
      <c r="E47" s="11"/>
      <c r="G47" s="11"/>
      <c r="M47" s="11"/>
      <c r="P47" s="11"/>
      <c r="Q47" s="11"/>
    </row>
    <row r="48" spans="1:57" x14ac:dyDescent="0.2">
      <c r="E48" s="11"/>
      <c r="G48" s="11"/>
      <c r="M48" s="11"/>
      <c r="P48" s="11"/>
      <c r="Q48" s="11"/>
    </row>
    <row r="49" spans="5:17" x14ac:dyDescent="0.2">
      <c r="E49" s="11"/>
      <c r="G49" s="11"/>
      <c r="M49" s="11"/>
      <c r="P49" s="11"/>
      <c r="Q49" s="11"/>
    </row>
  </sheetData>
  <mergeCells count="72">
    <mergeCell ref="AH41:AL41"/>
    <mergeCell ref="AH42:AL42"/>
    <mergeCell ref="AH43:AL43"/>
    <mergeCell ref="AH36:AL36"/>
    <mergeCell ref="AH37:AL37"/>
    <mergeCell ref="AH38:AL38"/>
    <mergeCell ref="AH39:AL39"/>
    <mergeCell ref="AH40:AL40"/>
    <mergeCell ref="AH31:AL31"/>
    <mergeCell ref="AH32:AL32"/>
    <mergeCell ref="AH33:AL33"/>
    <mergeCell ref="AH34:AL34"/>
    <mergeCell ref="AH35:AL35"/>
    <mergeCell ref="AH26:AL26"/>
    <mergeCell ref="AH27:AL27"/>
    <mergeCell ref="AH28:AL28"/>
    <mergeCell ref="AH29:AL29"/>
    <mergeCell ref="AH30:AL30"/>
    <mergeCell ref="AH21:AL21"/>
    <mergeCell ref="AH22:AL22"/>
    <mergeCell ref="AH23:AL23"/>
    <mergeCell ref="AH24:AL24"/>
    <mergeCell ref="AH25:AL25"/>
    <mergeCell ref="AH16:AL16"/>
    <mergeCell ref="AH17:AL17"/>
    <mergeCell ref="AH18:AL18"/>
    <mergeCell ref="AH19:AL19"/>
    <mergeCell ref="AH20:AL20"/>
    <mergeCell ref="AH11:AL11"/>
    <mergeCell ref="AH12:AL12"/>
    <mergeCell ref="AH13:AL13"/>
    <mergeCell ref="AH14:AL14"/>
    <mergeCell ref="AH15:AL15"/>
    <mergeCell ref="U8:W8"/>
    <mergeCell ref="X8:AA8"/>
    <mergeCell ref="AB8:AD8"/>
    <mergeCell ref="AE8:AG8"/>
    <mergeCell ref="AH10:AL10"/>
    <mergeCell ref="AH7:AL9"/>
    <mergeCell ref="P8:P9"/>
    <mergeCell ref="Q8:Q9"/>
    <mergeCell ref="R8:R9"/>
    <mergeCell ref="S8:S9"/>
    <mergeCell ref="T8:T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3:T3"/>
    <mergeCell ref="E7:F7"/>
    <mergeCell ref="L7:P7"/>
    <mergeCell ref="Q7:T7"/>
    <mergeCell ref="U7:AG7"/>
    <mergeCell ref="AN7:AP7"/>
    <mergeCell ref="AY7:BA7"/>
    <mergeCell ref="AN8:AN9"/>
    <mergeCell ref="AO8:AO9"/>
    <mergeCell ref="AP8:AP9"/>
    <mergeCell ref="AY8:AY9"/>
    <mergeCell ref="AZ8:AZ9"/>
    <mergeCell ref="BA8:BA9"/>
  </mergeCells>
  <phoneticPr fontId="2" type="noConversion"/>
  <dataValidations count="5">
    <dataValidation type="whole" allowBlank="1" showInputMessage="1" showErrorMessage="1" sqref="C10:C40" xr:uid="{00000000-0002-0000-0800-000000000000}">
      <formula1>0</formula1>
      <formula2>9</formula2>
    </dataValidation>
    <dataValidation type="whole" allowBlank="1" showInputMessage="1" showErrorMessage="1" sqref="AE10:AE40" xr:uid="{00000000-0002-0000-0800-000001000000}">
      <formula1>1</formula1>
      <formula2>9</formula2>
    </dataValidation>
    <dataValidation type="whole" allowBlank="1" showInputMessage="1" showErrorMessage="1" sqref="D10:D40" xr:uid="{00000000-0002-0000-0800-000002000000}">
      <formula1>0</formula1>
      <formula2>4</formula2>
    </dataValidation>
    <dataValidation type="whole" allowBlank="1" showInputMessage="1" showErrorMessage="1" sqref="AB10:AB40" xr:uid="{00000000-0002-0000-0800-000003000000}">
      <formula1>5</formula1>
      <formula2>9</formula2>
    </dataValidation>
    <dataValidation type="whole" allowBlank="1" showInputMessage="1" showErrorMessage="1" sqref="Y10:Y40" xr:uid="{00000000-0002-0000-0800-000004000000}">
      <formula1>3</formula1>
      <formula2>9</formula2>
    </dataValidation>
  </dataValidations>
  <pageMargins left="0.75" right="0.75" top="1" bottom="1" header="0.5" footer="0.5"/>
  <pageSetup orientation="portrait" horizont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49"/>
  <sheetViews>
    <sheetView workbookViewId="0">
      <pane xSplit="2" ySplit="9" topLeftCell="C10" activePane="bottomRight" state="frozen"/>
      <selection activeCell="AM2" sqref="AM2"/>
      <selection pane="topRight" activeCell="AM2" sqref="AM2"/>
      <selection pane="bottomLeft" activeCell="AM2" sqref="AM2"/>
      <selection pane="bottomRight" activeCell="AA41" sqref="AA41"/>
    </sheetView>
  </sheetViews>
  <sheetFormatPr defaultRowHeight="12.75" x14ac:dyDescent="0.2"/>
  <cols>
    <col min="1" max="1" width="4.28515625" bestFit="1" customWidth="1"/>
    <col min="2" max="2" width="5.140625" bestFit="1" customWidth="1"/>
    <col min="3" max="3" width="4" bestFit="1" customWidth="1"/>
    <col min="4" max="5" width="3" bestFit="1" customWidth="1"/>
    <col min="6" max="6" width="4" bestFit="1" customWidth="1"/>
    <col min="7" max="10" width="3" bestFit="1" customWidth="1"/>
    <col min="11" max="11" width="8.5703125" bestFit="1" customWidth="1"/>
    <col min="12" max="16" width="5" bestFit="1" customWidth="1"/>
    <col min="17" max="17" width="4" bestFit="1" customWidth="1"/>
    <col min="18" max="22" width="3" bestFit="1" customWidth="1"/>
    <col min="23" max="23" width="5.28515625" bestFit="1" customWidth="1"/>
    <col min="24" max="26" width="3" bestFit="1" customWidth="1"/>
    <col min="27" max="27" width="5.28515625" bestFit="1" customWidth="1"/>
    <col min="28" max="29" width="3" bestFit="1" customWidth="1"/>
    <col min="30" max="30" width="5.28515625" bestFit="1" customWidth="1"/>
    <col min="31" max="32" width="3" bestFit="1" customWidth="1"/>
    <col min="33" max="33" width="5.28515625" bestFit="1" customWidth="1"/>
    <col min="34" max="34" width="5.42578125" customWidth="1"/>
    <col min="40" max="42" width="4.7109375" customWidth="1"/>
    <col min="50" max="58" width="0" hidden="1" customWidth="1"/>
  </cols>
  <sheetData>
    <row r="1" spans="1:5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  <c r="P1" s="1"/>
      <c r="Q1" s="1"/>
      <c r="R1" s="1"/>
    </row>
    <row r="2" spans="1:57" ht="36.75" customHeight="1" x14ac:dyDescent="0.2">
      <c r="A2" s="1"/>
      <c r="B2" s="1"/>
      <c r="C2" s="1"/>
      <c r="D2" s="1"/>
      <c r="E2" s="1"/>
      <c r="F2" s="1"/>
      <c r="G2" s="1"/>
      <c r="H2" s="1"/>
      <c r="I2" s="2"/>
      <c r="J2" s="2"/>
      <c r="K2" s="1"/>
      <c r="L2" s="1"/>
      <c r="M2" s="1"/>
      <c r="O2" s="2"/>
      <c r="P2" s="1"/>
      <c r="Q2" s="1"/>
      <c r="R2" s="1"/>
    </row>
    <row r="3" spans="1:5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80"/>
      <c r="Q3" s="80"/>
      <c r="R3" s="80"/>
      <c r="S3" s="80"/>
      <c r="T3" s="80"/>
    </row>
    <row r="4" spans="1:5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7" spans="1:57" ht="14.25" x14ac:dyDescent="0.25">
      <c r="A7" s="7"/>
      <c r="B7" s="7"/>
      <c r="C7" s="7"/>
      <c r="D7" s="7"/>
      <c r="E7" s="81" t="s">
        <v>20</v>
      </c>
      <c r="F7" s="81"/>
      <c r="G7" s="7"/>
      <c r="H7" s="7"/>
      <c r="I7" s="7"/>
      <c r="J7" s="7"/>
      <c r="K7" s="7"/>
      <c r="L7" s="82" t="s">
        <v>11</v>
      </c>
      <c r="M7" s="82"/>
      <c r="N7" s="82"/>
      <c r="O7" s="82"/>
      <c r="P7" s="82"/>
      <c r="Q7" s="83" t="s">
        <v>29</v>
      </c>
      <c r="R7" s="83"/>
      <c r="S7" s="83"/>
      <c r="T7" s="83"/>
      <c r="U7" s="84" t="s">
        <v>33</v>
      </c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98" t="s">
        <v>8</v>
      </c>
      <c r="AI7" s="99"/>
      <c r="AJ7" s="99"/>
      <c r="AK7" s="99"/>
      <c r="AL7" s="100"/>
      <c r="AN7" s="73" t="s">
        <v>80</v>
      </c>
      <c r="AO7" s="74"/>
      <c r="AP7" s="75"/>
      <c r="AY7" s="76" t="s">
        <v>81</v>
      </c>
      <c r="AZ7" s="77"/>
      <c r="BA7" s="78"/>
    </row>
    <row r="8" spans="1:57" ht="16.5" customHeight="1" x14ac:dyDescent="0.2">
      <c r="A8" s="85" t="s">
        <v>18</v>
      </c>
      <c r="B8" s="89" t="s">
        <v>19</v>
      </c>
      <c r="C8" s="90" t="s">
        <v>23</v>
      </c>
      <c r="D8" s="88" t="s">
        <v>24</v>
      </c>
      <c r="E8" s="91" t="s">
        <v>25</v>
      </c>
      <c r="F8" s="86" t="s">
        <v>26</v>
      </c>
      <c r="G8" s="88" t="s">
        <v>27</v>
      </c>
      <c r="H8" s="88" t="s">
        <v>0</v>
      </c>
      <c r="I8" s="88" t="s">
        <v>21</v>
      </c>
      <c r="J8" s="88" t="s">
        <v>22</v>
      </c>
      <c r="K8" s="85" t="s">
        <v>28</v>
      </c>
      <c r="L8" s="79" t="s">
        <v>1</v>
      </c>
      <c r="M8" s="79" t="s">
        <v>2</v>
      </c>
      <c r="N8" s="79" t="s">
        <v>3</v>
      </c>
      <c r="O8" s="79" t="s">
        <v>4</v>
      </c>
      <c r="P8" s="79" t="s">
        <v>5</v>
      </c>
      <c r="Q8" s="92" t="s">
        <v>34</v>
      </c>
      <c r="R8" s="92" t="s">
        <v>30</v>
      </c>
      <c r="S8" s="92" t="s">
        <v>31</v>
      </c>
      <c r="T8" s="92" t="s">
        <v>32</v>
      </c>
      <c r="U8" s="93" t="s">
        <v>38</v>
      </c>
      <c r="V8" s="93"/>
      <c r="W8" s="93"/>
      <c r="X8" s="93" t="s">
        <v>39</v>
      </c>
      <c r="Y8" s="93"/>
      <c r="Z8" s="93"/>
      <c r="AA8" s="93"/>
      <c r="AB8" s="93" t="s">
        <v>40</v>
      </c>
      <c r="AC8" s="93"/>
      <c r="AD8" s="93"/>
      <c r="AE8" s="93" t="s">
        <v>41</v>
      </c>
      <c r="AF8" s="94"/>
      <c r="AG8" s="95"/>
      <c r="AH8" s="101"/>
      <c r="AI8" s="102"/>
      <c r="AJ8" s="102"/>
      <c r="AK8" s="102"/>
      <c r="AL8" s="103"/>
      <c r="AN8" s="79" t="s">
        <v>3</v>
      </c>
      <c r="AO8" s="79" t="s">
        <v>4</v>
      </c>
      <c r="AP8" s="79" t="s">
        <v>5</v>
      </c>
      <c r="AY8" s="79" t="s">
        <v>3</v>
      </c>
      <c r="AZ8" s="79" t="s">
        <v>4</v>
      </c>
      <c r="BA8" s="79" t="s">
        <v>5</v>
      </c>
    </row>
    <row r="9" spans="1:57" s="3" customFormat="1" ht="72" customHeight="1" x14ac:dyDescent="0.2">
      <c r="A9" s="85"/>
      <c r="B9" s="89"/>
      <c r="C9" s="90"/>
      <c r="D9" s="88"/>
      <c r="E9" s="91"/>
      <c r="F9" s="87"/>
      <c r="G9" s="88"/>
      <c r="H9" s="88"/>
      <c r="I9" s="88"/>
      <c r="J9" s="88"/>
      <c r="K9" s="85"/>
      <c r="L9" s="79"/>
      <c r="M9" s="79"/>
      <c r="N9" s="79"/>
      <c r="O9" s="79"/>
      <c r="P9" s="79"/>
      <c r="Q9" s="92"/>
      <c r="R9" s="92"/>
      <c r="S9" s="92"/>
      <c r="T9" s="92"/>
      <c r="U9" s="8" t="s">
        <v>16</v>
      </c>
      <c r="V9" s="8" t="s">
        <v>6</v>
      </c>
      <c r="W9" s="9" t="s">
        <v>7</v>
      </c>
      <c r="X9" s="8" t="s">
        <v>17</v>
      </c>
      <c r="Y9" s="8" t="s">
        <v>16</v>
      </c>
      <c r="Z9" s="8" t="s">
        <v>6</v>
      </c>
      <c r="AA9" s="9" t="s">
        <v>7</v>
      </c>
      <c r="AB9" s="8" t="s">
        <v>16</v>
      </c>
      <c r="AC9" s="8" t="s">
        <v>6</v>
      </c>
      <c r="AD9" s="9" t="s">
        <v>7</v>
      </c>
      <c r="AE9" s="8" t="s">
        <v>16</v>
      </c>
      <c r="AF9" s="8" t="s">
        <v>6</v>
      </c>
      <c r="AG9" s="9" t="s">
        <v>7</v>
      </c>
      <c r="AH9" s="104"/>
      <c r="AI9" s="105"/>
      <c r="AJ9" s="105"/>
      <c r="AK9" s="105"/>
      <c r="AL9" s="106"/>
      <c r="AN9" s="79"/>
      <c r="AO9" s="79"/>
      <c r="AP9" s="79"/>
      <c r="AY9" s="79"/>
      <c r="AZ9" s="79"/>
      <c r="BA9" s="79"/>
      <c r="BC9" s="3" t="s">
        <v>82</v>
      </c>
      <c r="BD9" s="3" t="s">
        <v>83</v>
      </c>
      <c r="BE9" s="3" t="s">
        <v>84</v>
      </c>
    </row>
    <row r="10" spans="1:57" x14ac:dyDescent="0.2">
      <c r="A10" s="13">
        <v>1</v>
      </c>
      <c r="B10" s="3">
        <v>10</v>
      </c>
      <c r="C10" s="17">
        <v>7</v>
      </c>
      <c r="D10" s="3">
        <v>4</v>
      </c>
      <c r="E10" s="18">
        <v>12</v>
      </c>
      <c r="F10" s="18">
        <v>14</v>
      </c>
      <c r="G10" s="18">
        <v>74</v>
      </c>
      <c r="H10" s="19">
        <v>1</v>
      </c>
      <c r="I10" s="18">
        <v>6</v>
      </c>
      <c r="J10" s="18">
        <v>22</v>
      </c>
      <c r="K10" s="20">
        <v>151</v>
      </c>
      <c r="L10" s="18">
        <v>290</v>
      </c>
      <c r="M10" s="18">
        <v>256</v>
      </c>
      <c r="N10" s="18">
        <v>300</v>
      </c>
      <c r="O10" s="18">
        <v>75</v>
      </c>
      <c r="P10" s="18">
        <v>241</v>
      </c>
      <c r="Q10" s="17">
        <v>3</v>
      </c>
      <c r="R10" s="17">
        <v>8</v>
      </c>
      <c r="S10" s="17">
        <v>0</v>
      </c>
      <c r="T10" s="17">
        <v>8</v>
      </c>
      <c r="U10" s="17">
        <v>3</v>
      </c>
      <c r="V10" s="3">
        <v>8</v>
      </c>
      <c r="W10" s="20">
        <v>57</v>
      </c>
      <c r="X10" s="3">
        <v>8</v>
      </c>
      <c r="Y10" s="3">
        <v>7</v>
      </c>
      <c r="Z10" s="3">
        <v>2</v>
      </c>
      <c r="AA10" s="20">
        <v>780</v>
      </c>
      <c r="AB10" s="3"/>
      <c r="AC10" s="3"/>
      <c r="AD10" s="20"/>
      <c r="AE10" s="3"/>
      <c r="AF10" s="3"/>
      <c r="AG10" s="20"/>
      <c r="AH10" s="96" t="s">
        <v>85</v>
      </c>
      <c r="AI10" s="96"/>
      <c r="AJ10" s="96"/>
      <c r="AK10" s="96"/>
      <c r="AL10" s="97"/>
      <c r="AN10" s="67">
        <f>N10-AY10</f>
        <v>-4.8018957590189757</v>
      </c>
      <c r="AO10" s="67">
        <f>O10-AZ10</f>
        <v>-1.0743381880513425</v>
      </c>
      <c r="AP10" s="67">
        <f>P10-BA10</f>
        <v>-2.5765809862569142</v>
      </c>
      <c r="AY10" s="67">
        <f t="shared" ref="AY10:AY40" si="0">10*(BE10-BD10*((L10/10)-(M10/10))*0.00066*(1+(0.00115*(M10/10))))</f>
        <v>304.80189575901898</v>
      </c>
      <c r="AZ10" s="67">
        <f t="shared" ref="AZ10:AZ40" si="1">((AY10/10)*100)/BC10</f>
        <v>76.074338188051343</v>
      </c>
      <c r="BA10" s="67">
        <f>(243.5*LN((AY10/10)/6.112))/(17.67-LN((AY10/10)/6.112))*10</f>
        <v>243.57658098625691</v>
      </c>
      <c r="BC10">
        <f>6.112*2.718^((17.67*(L10/10))/((L10/10)+243.5))</f>
        <v>40.066322365574365</v>
      </c>
      <c r="BD10">
        <v>1013.2</v>
      </c>
      <c r="BE10">
        <f>6.112*2.718^((17.67*(M10/10))/((M10/10)+243.5))</f>
        <v>32.820745772253893</v>
      </c>
    </row>
    <row r="11" spans="1:57" x14ac:dyDescent="0.2">
      <c r="A11" s="13">
        <v>2</v>
      </c>
      <c r="B11" s="3">
        <v>10</v>
      </c>
      <c r="C11" s="17">
        <v>5</v>
      </c>
      <c r="D11" s="3">
        <v>4</v>
      </c>
      <c r="E11" s="18">
        <v>8</v>
      </c>
      <c r="F11" s="18">
        <v>14</v>
      </c>
      <c r="G11" s="18">
        <v>72</v>
      </c>
      <c r="H11" s="19">
        <v>1</v>
      </c>
      <c r="I11" s="18">
        <v>6</v>
      </c>
      <c r="J11" s="18">
        <v>11</v>
      </c>
      <c r="K11" s="20">
        <v>145</v>
      </c>
      <c r="L11" s="18">
        <v>295</v>
      </c>
      <c r="M11" s="18">
        <v>254</v>
      </c>
      <c r="N11" s="18">
        <v>291</v>
      </c>
      <c r="O11" s="18">
        <v>70</v>
      </c>
      <c r="P11" s="18">
        <v>236</v>
      </c>
      <c r="Q11" s="17">
        <v>5</v>
      </c>
      <c r="R11" s="17">
        <v>2</v>
      </c>
      <c r="S11" s="17">
        <v>0</v>
      </c>
      <c r="T11" s="17">
        <v>0</v>
      </c>
      <c r="U11" s="17">
        <v>5</v>
      </c>
      <c r="V11" s="3">
        <v>8</v>
      </c>
      <c r="W11" s="20">
        <v>63</v>
      </c>
      <c r="X11" s="3">
        <v>8</v>
      </c>
      <c r="Y11" s="3"/>
      <c r="Z11" s="3"/>
      <c r="AA11" s="20"/>
      <c r="AB11" s="3"/>
      <c r="AC11" s="3"/>
      <c r="AD11" s="20"/>
      <c r="AE11" s="3"/>
      <c r="AF11" s="3"/>
      <c r="AG11" s="20"/>
      <c r="AH11" s="107" t="s">
        <v>85</v>
      </c>
      <c r="AI11" s="107"/>
      <c r="AJ11" s="107"/>
      <c r="AK11" s="107"/>
      <c r="AL11" s="108"/>
      <c r="AN11" s="67">
        <f t="shared" ref="AN11:AP39" si="2">N11-AY11</f>
        <v>-5.1098278713605509</v>
      </c>
      <c r="AO11" s="67">
        <f t="shared" si="2"/>
        <v>-1.7985181051577399</v>
      </c>
      <c r="AP11" s="67">
        <f t="shared" si="2"/>
        <v>-2.760832136260376</v>
      </c>
      <c r="AY11" s="67">
        <f t="shared" si="0"/>
        <v>296.10982787136055</v>
      </c>
      <c r="AZ11" s="67">
        <f t="shared" si="1"/>
        <v>71.79851810515774</v>
      </c>
      <c r="BA11" s="67">
        <f t="shared" ref="BA11:BA40" si="3">(243.5*LN((AY11/10)/6.112))/(17.67-LN((AY11/10)/6.112))*10</f>
        <v>238.76083213626038</v>
      </c>
      <c r="BC11">
        <f t="shared" ref="BC11:BC40" si="4">6.112*2.718^((17.67*(L11/10))/((L11/10)+243.5))</f>
        <v>41.241774299251048</v>
      </c>
      <c r="BD11">
        <v>1013.2</v>
      </c>
      <c r="BE11">
        <f t="shared" ref="BE11:BE40" si="5">6.112*2.718^((17.67*(M11/10))/((M11/10)+243.5))</f>
        <v>32.432787604968055</v>
      </c>
    </row>
    <row r="12" spans="1:57" x14ac:dyDescent="0.2">
      <c r="A12" s="13">
        <v>3</v>
      </c>
      <c r="B12" s="3">
        <v>10</v>
      </c>
      <c r="C12" s="17">
        <v>2</v>
      </c>
      <c r="D12" s="3">
        <v>4</v>
      </c>
      <c r="E12" s="18">
        <v>11</v>
      </c>
      <c r="F12" s="18">
        <v>16</v>
      </c>
      <c r="G12" s="18">
        <v>74</v>
      </c>
      <c r="H12" s="19">
        <v>1</v>
      </c>
      <c r="I12" s="18">
        <v>5</v>
      </c>
      <c r="J12" s="18">
        <v>0</v>
      </c>
      <c r="K12" s="20">
        <v>143</v>
      </c>
      <c r="L12" s="18">
        <v>290</v>
      </c>
      <c r="M12" s="18">
        <v>250</v>
      </c>
      <c r="N12" s="18">
        <v>285</v>
      </c>
      <c r="O12" s="18">
        <v>71</v>
      </c>
      <c r="P12" s="18">
        <v>232</v>
      </c>
      <c r="Q12" s="17">
        <v>1</v>
      </c>
      <c r="R12" s="17">
        <v>8</v>
      </c>
      <c r="S12" s="17">
        <v>0</v>
      </c>
      <c r="T12" s="17">
        <v>1</v>
      </c>
      <c r="U12" s="17">
        <v>1</v>
      </c>
      <c r="V12" s="3">
        <v>8</v>
      </c>
      <c r="W12" s="20">
        <v>66</v>
      </c>
      <c r="X12" s="3">
        <v>8</v>
      </c>
      <c r="Y12" s="3"/>
      <c r="Z12" s="3"/>
      <c r="AA12" s="20"/>
      <c r="AB12" s="3"/>
      <c r="AC12" s="3"/>
      <c r="AD12" s="20"/>
      <c r="AE12" s="3"/>
      <c r="AF12" s="3"/>
      <c r="AG12" s="20"/>
      <c r="AH12" s="107" t="s">
        <v>85</v>
      </c>
      <c r="AI12" s="107"/>
      <c r="AJ12" s="107"/>
      <c r="AK12" s="107"/>
      <c r="AL12" s="108"/>
      <c r="AN12" s="67">
        <f t="shared" si="2"/>
        <v>-4.1714172961599729</v>
      </c>
      <c r="AO12" s="67">
        <f t="shared" si="2"/>
        <v>-1.1731869118641072</v>
      </c>
      <c r="AP12" s="67">
        <f t="shared" si="2"/>
        <v>-2.8269993832577995</v>
      </c>
      <c r="AY12" s="67">
        <f t="shared" si="0"/>
        <v>289.17141729615997</v>
      </c>
      <c r="AZ12" s="67">
        <f t="shared" si="1"/>
        <v>72.173186911864107</v>
      </c>
      <c r="BA12" s="67">
        <f t="shared" si="3"/>
        <v>234.8269993832578</v>
      </c>
      <c r="BC12">
        <f t="shared" si="4"/>
        <v>40.066322365574365</v>
      </c>
      <c r="BD12">
        <v>1013.2</v>
      </c>
      <c r="BE12">
        <f t="shared" si="5"/>
        <v>31.668891609615997</v>
      </c>
    </row>
    <row r="13" spans="1:57" x14ac:dyDescent="0.2">
      <c r="A13" s="13">
        <v>4</v>
      </c>
      <c r="B13" s="3">
        <v>10</v>
      </c>
      <c r="C13" s="17">
        <v>7</v>
      </c>
      <c r="D13" s="3">
        <v>4</v>
      </c>
      <c r="E13" s="18">
        <v>12</v>
      </c>
      <c r="F13" s="18">
        <v>13</v>
      </c>
      <c r="G13" s="18">
        <v>75</v>
      </c>
      <c r="H13" s="19">
        <v>2</v>
      </c>
      <c r="I13" s="18"/>
      <c r="J13" s="18"/>
      <c r="K13" s="20">
        <v>148</v>
      </c>
      <c r="L13" s="18">
        <v>290</v>
      </c>
      <c r="M13" s="18">
        <v>250</v>
      </c>
      <c r="N13" s="18">
        <v>285</v>
      </c>
      <c r="O13" s="18">
        <v>71</v>
      </c>
      <c r="P13" s="18">
        <v>232</v>
      </c>
      <c r="Q13" s="17">
        <v>1</v>
      </c>
      <c r="R13" s="17">
        <v>2</v>
      </c>
      <c r="S13" s="17">
        <v>0</v>
      </c>
      <c r="T13" s="17">
        <v>8</v>
      </c>
      <c r="U13" s="17">
        <v>1</v>
      </c>
      <c r="V13" s="3">
        <v>8</v>
      </c>
      <c r="W13" s="20">
        <v>66</v>
      </c>
      <c r="X13" s="3">
        <v>8</v>
      </c>
      <c r="Y13" s="3">
        <v>6</v>
      </c>
      <c r="Z13" s="3">
        <v>2</v>
      </c>
      <c r="AA13" s="20">
        <v>780</v>
      </c>
      <c r="AB13" s="3"/>
      <c r="AC13" s="3"/>
      <c r="AD13" s="20"/>
      <c r="AE13" s="3"/>
      <c r="AF13" s="3"/>
      <c r="AG13" s="20"/>
      <c r="AH13" s="107"/>
      <c r="AI13" s="107"/>
      <c r="AJ13" s="107"/>
      <c r="AK13" s="107"/>
      <c r="AL13" s="108"/>
      <c r="AN13" s="67">
        <f t="shared" si="2"/>
        <v>-4.1714172961599729</v>
      </c>
      <c r="AO13" s="67">
        <f t="shared" si="2"/>
        <v>-1.1731869118641072</v>
      </c>
      <c r="AP13" s="67">
        <f t="shared" si="2"/>
        <v>-2.8269993832577995</v>
      </c>
      <c r="AY13" s="67">
        <f t="shared" si="0"/>
        <v>289.17141729615997</v>
      </c>
      <c r="AZ13" s="67">
        <f t="shared" si="1"/>
        <v>72.173186911864107</v>
      </c>
      <c r="BA13" s="67">
        <f t="shared" si="3"/>
        <v>234.8269993832578</v>
      </c>
      <c r="BC13">
        <f t="shared" si="4"/>
        <v>40.066322365574365</v>
      </c>
      <c r="BD13">
        <v>1013.2</v>
      </c>
      <c r="BE13">
        <f t="shared" si="5"/>
        <v>31.668891609615997</v>
      </c>
    </row>
    <row r="14" spans="1:57" x14ac:dyDescent="0.2">
      <c r="A14" s="13">
        <v>5</v>
      </c>
      <c r="B14" s="3">
        <v>10</v>
      </c>
      <c r="C14" s="17">
        <v>1</v>
      </c>
      <c r="D14" s="3">
        <v>4</v>
      </c>
      <c r="E14" s="18">
        <v>11</v>
      </c>
      <c r="F14" s="18">
        <v>13</v>
      </c>
      <c r="G14" s="18">
        <v>72</v>
      </c>
      <c r="H14" s="19">
        <v>1</v>
      </c>
      <c r="I14" s="18">
        <v>5</v>
      </c>
      <c r="J14" s="18">
        <v>0</v>
      </c>
      <c r="K14" s="20">
        <v>158</v>
      </c>
      <c r="L14" s="18">
        <v>288</v>
      </c>
      <c r="M14" s="18">
        <v>256</v>
      </c>
      <c r="N14" s="18">
        <v>301</v>
      </c>
      <c r="O14" s="18">
        <v>76</v>
      </c>
      <c r="P14" s="18">
        <v>242</v>
      </c>
      <c r="Q14" s="17">
        <v>1</v>
      </c>
      <c r="R14" s="17">
        <v>2</v>
      </c>
      <c r="S14" s="17">
        <v>4</v>
      </c>
      <c r="T14" s="17">
        <v>1</v>
      </c>
      <c r="U14" s="17">
        <v>1</v>
      </c>
      <c r="V14" s="3">
        <v>8</v>
      </c>
      <c r="W14" s="20">
        <v>69</v>
      </c>
      <c r="X14" s="3">
        <v>8</v>
      </c>
      <c r="Y14" s="3"/>
      <c r="Z14" s="3"/>
      <c r="AA14" s="20"/>
      <c r="AB14" s="3"/>
      <c r="AC14" s="3"/>
      <c r="AD14" s="20"/>
      <c r="AE14" s="3"/>
      <c r="AF14" s="3"/>
      <c r="AG14" s="20"/>
      <c r="AH14" s="107" t="s">
        <v>85</v>
      </c>
      <c r="AI14" s="107"/>
      <c r="AJ14" s="107"/>
      <c r="AK14" s="107"/>
      <c r="AL14" s="108"/>
      <c r="AN14" s="67">
        <f t="shared" si="2"/>
        <v>-5.1786935215789072</v>
      </c>
      <c r="AO14" s="67">
        <f t="shared" si="2"/>
        <v>-1.309264526749061</v>
      </c>
      <c r="AP14" s="67">
        <f t="shared" si="2"/>
        <v>-2.328321500044126</v>
      </c>
      <c r="AY14" s="67">
        <f t="shared" si="0"/>
        <v>306.17869352157891</v>
      </c>
      <c r="AZ14" s="67">
        <f t="shared" si="1"/>
        <v>77.309264526749061</v>
      </c>
      <c r="BA14" s="67">
        <f t="shared" si="3"/>
        <v>244.32832150004413</v>
      </c>
      <c r="BC14">
        <f t="shared" si="4"/>
        <v>39.60439869605031</v>
      </c>
      <c r="BD14">
        <v>1013.2</v>
      </c>
      <c r="BE14">
        <f t="shared" si="5"/>
        <v>32.820745772253893</v>
      </c>
    </row>
    <row r="15" spans="1:57" x14ac:dyDescent="0.2">
      <c r="A15" s="13">
        <v>6</v>
      </c>
      <c r="B15" s="3">
        <v>10</v>
      </c>
      <c r="C15" s="17">
        <v>1</v>
      </c>
      <c r="D15" s="3">
        <v>4</v>
      </c>
      <c r="E15" s="18">
        <v>9</v>
      </c>
      <c r="F15" s="18">
        <v>21</v>
      </c>
      <c r="G15" s="18">
        <v>75</v>
      </c>
      <c r="H15" s="19">
        <v>2</v>
      </c>
      <c r="I15" s="18"/>
      <c r="J15" s="18"/>
      <c r="K15" s="20">
        <v>151</v>
      </c>
      <c r="L15" s="18">
        <v>290</v>
      </c>
      <c r="M15" s="18">
        <v>255</v>
      </c>
      <c r="N15" s="18">
        <v>299</v>
      </c>
      <c r="O15" s="18">
        <v>74</v>
      </c>
      <c r="P15" s="18">
        <v>240</v>
      </c>
      <c r="Q15" s="17">
        <v>1</v>
      </c>
      <c r="R15" s="17">
        <v>1</v>
      </c>
      <c r="S15" s="17">
        <v>0</v>
      </c>
      <c r="T15" s="17">
        <v>0</v>
      </c>
      <c r="U15" s="17">
        <v>1</v>
      </c>
      <c r="V15" s="3">
        <v>8</v>
      </c>
      <c r="W15" s="20">
        <v>69</v>
      </c>
      <c r="X15" s="3">
        <v>8</v>
      </c>
      <c r="Y15" s="3"/>
      <c r="Z15" s="3"/>
      <c r="AA15" s="20"/>
      <c r="AB15" s="3"/>
      <c r="AC15" s="3"/>
      <c r="AD15" s="20"/>
      <c r="AE15" s="3"/>
      <c r="AF15" s="3"/>
      <c r="AG15" s="20"/>
      <c r="AH15" s="107"/>
      <c r="AI15" s="107"/>
      <c r="AJ15" s="107"/>
      <c r="AK15" s="107"/>
      <c r="AL15" s="108"/>
      <c r="AN15" s="67">
        <f t="shared" si="2"/>
        <v>-3.1713522511403767</v>
      </c>
      <c r="AO15" s="67">
        <f t="shared" si="2"/>
        <v>-1.4177909053042868</v>
      </c>
      <c r="AP15" s="67">
        <f t="shared" si="2"/>
        <v>-2.1319830549777521</v>
      </c>
      <c r="AY15" s="67">
        <f t="shared" si="0"/>
        <v>302.17135225114038</v>
      </c>
      <c r="AZ15" s="67">
        <f t="shared" si="1"/>
        <v>75.417790905304287</v>
      </c>
      <c r="BA15" s="67">
        <f t="shared" si="3"/>
        <v>242.13198305497775</v>
      </c>
      <c r="BC15">
        <f t="shared" si="4"/>
        <v>40.066322365574365</v>
      </c>
      <c r="BD15">
        <v>1013.2</v>
      </c>
      <c r="BE15">
        <f t="shared" si="5"/>
        <v>32.626262153014039</v>
      </c>
    </row>
    <row r="16" spans="1:57" x14ac:dyDescent="0.2">
      <c r="A16" s="13">
        <v>7</v>
      </c>
      <c r="B16" s="3">
        <v>10</v>
      </c>
      <c r="C16" s="17">
        <v>7</v>
      </c>
      <c r="D16" s="3">
        <v>4</v>
      </c>
      <c r="E16" s="18">
        <v>12</v>
      </c>
      <c r="F16" s="18">
        <v>16</v>
      </c>
      <c r="G16" s="18">
        <v>70</v>
      </c>
      <c r="H16" s="19">
        <v>1</v>
      </c>
      <c r="I16" s="18">
        <v>5</v>
      </c>
      <c r="J16" s="18">
        <v>22</v>
      </c>
      <c r="K16" s="20">
        <v>139</v>
      </c>
      <c r="L16" s="18">
        <v>285</v>
      </c>
      <c r="M16" s="18">
        <v>248</v>
      </c>
      <c r="N16" s="18">
        <v>283</v>
      </c>
      <c r="O16" s="18">
        <v>73</v>
      </c>
      <c r="P16" s="18">
        <v>231</v>
      </c>
      <c r="Q16" s="17">
        <v>1</v>
      </c>
      <c r="R16" s="17">
        <v>2</v>
      </c>
      <c r="S16" s="17">
        <v>0</v>
      </c>
      <c r="T16" s="17">
        <v>8</v>
      </c>
      <c r="U16" s="17">
        <v>1</v>
      </c>
      <c r="V16" s="3">
        <v>8</v>
      </c>
      <c r="W16" s="20">
        <v>66</v>
      </c>
      <c r="X16" s="3">
        <v>8</v>
      </c>
      <c r="Y16" s="3">
        <v>7</v>
      </c>
      <c r="Z16" s="3">
        <v>2</v>
      </c>
      <c r="AA16" s="20">
        <v>840</v>
      </c>
      <c r="AB16" s="3"/>
      <c r="AC16" s="3"/>
      <c r="AD16" s="20"/>
      <c r="AE16" s="3"/>
      <c r="AF16" s="3"/>
      <c r="AG16" s="20"/>
      <c r="AH16" s="107" t="s">
        <v>141</v>
      </c>
      <c r="AI16" s="107"/>
      <c r="AJ16" s="107"/>
      <c r="AK16" s="107"/>
      <c r="AL16" s="108"/>
      <c r="AN16" s="67">
        <f t="shared" si="2"/>
        <v>-4.4808384071650948</v>
      </c>
      <c r="AO16" s="67">
        <f t="shared" si="2"/>
        <v>-0.86410682568028108</v>
      </c>
      <c r="AP16" s="67">
        <f t="shared" si="2"/>
        <v>-2.8559855183187892</v>
      </c>
      <c r="AY16" s="67">
        <f t="shared" si="0"/>
        <v>287.48083840716509</v>
      </c>
      <c r="AZ16" s="67">
        <f t="shared" si="1"/>
        <v>73.864106825680281</v>
      </c>
      <c r="BA16" s="67">
        <f t="shared" si="3"/>
        <v>233.85598551831879</v>
      </c>
      <c r="BC16">
        <f t="shared" si="4"/>
        <v>38.920234842292423</v>
      </c>
      <c r="BD16">
        <v>1013.2</v>
      </c>
      <c r="BE16">
        <f t="shared" si="5"/>
        <v>31.29288340580451</v>
      </c>
    </row>
    <row r="17" spans="1:57" x14ac:dyDescent="0.2">
      <c r="A17" s="13">
        <v>8</v>
      </c>
      <c r="B17" s="3">
        <v>10</v>
      </c>
      <c r="C17" s="17">
        <v>1</v>
      </c>
      <c r="D17" s="3">
        <v>4</v>
      </c>
      <c r="E17" s="18">
        <v>10</v>
      </c>
      <c r="F17" s="18">
        <v>12</v>
      </c>
      <c r="G17" s="18">
        <v>75</v>
      </c>
      <c r="H17" s="19">
        <v>2</v>
      </c>
      <c r="I17" s="18"/>
      <c r="J17" s="18"/>
      <c r="K17" s="20">
        <v>136</v>
      </c>
      <c r="L17" s="18">
        <v>288</v>
      </c>
      <c r="M17" s="18">
        <v>250</v>
      </c>
      <c r="N17" s="18">
        <v>286</v>
      </c>
      <c r="O17" s="18">
        <v>72</v>
      </c>
      <c r="P17" s="18">
        <v>233</v>
      </c>
      <c r="Q17" s="17">
        <v>1</v>
      </c>
      <c r="R17" s="17">
        <v>2</v>
      </c>
      <c r="S17" s="17">
        <v>0</v>
      </c>
      <c r="T17" s="17">
        <v>0</v>
      </c>
      <c r="U17" s="17">
        <v>1</v>
      </c>
      <c r="V17" s="3">
        <v>8</v>
      </c>
      <c r="W17" s="20">
        <v>69</v>
      </c>
      <c r="X17" s="3">
        <v>8</v>
      </c>
      <c r="Y17" s="3"/>
      <c r="Z17" s="3"/>
      <c r="AA17" s="20"/>
      <c r="AB17" s="3"/>
      <c r="AC17" s="3"/>
      <c r="AD17" s="20"/>
      <c r="AE17" s="3"/>
      <c r="AF17" s="3"/>
      <c r="AG17" s="20"/>
      <c r="AH17" s="107"/>
      <c r="AI17" s="107"/>
      <c r="AJ17" s="107"/>
      <c r="AK17" s="107"/>
      <c r="AL17" s="108"/>
      <c r="AN17" s="67">
        <f t="shared" si="2"/>
        <v>-4.5472922361599899</v>
      </c>
      <c r="AO17" s="67">
        <f t="shared" si="2"/>
        <v>-1.3623793826557602</v>
      </c>
      <c r="AP17" s="67">
        <f t="shared" si="2"/>
        <v>-2.6135942643572889</v>
      </c>
      <c r="AY17" s="67">
        <f t="shared" si="0"/>
        <v>290.54729223615999</v>
      </c>
      <c r="AZ17" s="67">
        <f t="shared" si="1"/>
        <v>73.36237938265576</v>
      </c>
      <c r="BA17" s="67">
        <f t="shared" si="3"/>
        <v>235.61359426435729</v>
      </c>
      <c r="BC17">
        <f t="shared" si="4"/>
        <v>39.60439869605031</v>
      </c>
      <c r="BD17">
        <v>1013.2</v>
      </c>
      <c r="BE17">
        <f t="shared" si="5"/>
        <v>31.668891609615997</v>
      </c>
    </row>
    <row r="18" spans="1:57" x14ac:dyDescent="0.2">
      <c r="A18" s="13">
        <v>9</v>
      </c>
      <c r="B18" s="3">
        <v>10</v>
      </c>
      <c r="C18" s="17">
        <v>3</v>
      </c>
      <c r="D18" s="3">
        <v>4</v>
      </c>
      <c r="E18" s="18">
        <v>10</v>
      </c>
      <c r="F18" s="18">
        <v>16</v>
      </c>
      <c r="G18" s="18">
        <v>74</v>
      </c>
      <c r="H18" s="19">
        <v>1</v>
      </c>
      <c r="I18" s="18">
        <v>5</v>
      </c>
      <c r="J18" s="18">
        <v>0</v>
      </c>
      <c r="K18" s="20">
        <v>144</v>
      </c>
      <c r="L18" s="18">
        <v>292</v>
      </c>
      <c r="M18" s="18">
        <v>255</v>
      </c>
      <c r="N18" s="18">
        <v>297</v>
      </c>
      <c r="O18" s="18">
        <v>73</v>
      </c>
      <c r="P18" s="18">
        <v>239</v>
      </c>
      <c r="Q18" s="17">
        <v>3</v>
      </c>
      <c r="R18" s="17">
        <v>2</v>
      </c>
      <c r="S18" s="17">
        <v>0</v>
      </c>
      <c r="T18" s="17">
        <v>0</v>
      </c>
      <c r="U18" s="17">
        <v>3</v>
      </c>
      <c r="V18" s="3">
        <v>8</v>
      </c>
      <c r="W18" s="20">
        <v>63</v>
      </c>
      <c r="X18" s="3">
        <v>8</v>
      </c>
      <c r="Y18" s="3"/>
      <c r="Z18" s="3"/>
      <c r="AA18" s="20"/>
      <c r="AB18" s="3"/>
      <c r="AC18" s="3"/>
      <c r="AD18" s="20"/>
      <c r="AE18" s="3"/>
      <c r="AF18" s="3"/>
      <c r="AG18" s="20"/>
      <c r="AH18" s="107" t="s">
        <v>85</v>
      </c>
      <c r="AI18" s="107"/>
      <c r="AJ18" s="107"/>
      <c r="AK18" s="107"/>
      <c r="AL18" s="108"/>
      <c r="AN18" s="67">
        <f t="shared" si="2"/>
        <v>-3.7947082923403741</v>
      </c>
      <c r="AO18" s="67">
        <f t="shared" si="2"/>
        <v>-1.2099331967134646</v>
      </c>
      <c r="AP18" s="67">
        <f t="shared" si="2"/>
        <v>-2.3715864063700849</v>
      </c>
      <c r="AY18" s="67">
        <f t="shared" si="0"/>
        <v>300.79470829234037</v>
      </c>
      <c r="AZ18" s="67">
        <f t="shared" si="1"/>
        <v>74.209933196713465</v>
      </c>
      <c r="BA18" s="67">
        <f t="shared" si="3"/>
        <v>241.37158640637008</v>
      </c>
      <c r="BC18">
        <f t="shared" si="4"/>
        <v>40.532944221227474</v>
      </c>
      <c r="BD18">
        <v>1013.2</v>
      </c>
      <c r="BE18">
        <f t="shared" si="5"/>
        <v>32.626262153014039</v>
      </c>
    </row>
    <row r="19" spans="1:57" x14ac:dyDescent="0.2">
      <c r="A19" s="13">
        <v>10</v>
      </c>
      <c r="B19" s="3">
        <v>10</v>
      </c>
      <c r="C19" s="17">
        <v>7</v>
      </c>
      <c r="D19" s="3">
        <v>4</v>
      </c>
      <c r="E19" s="18">
        <v>9</v>
      </c>
      <c r="F19" s="18">
        <v>14</v>
      </c>
      <c r="G19" s="18">
        <v>68</v>
      </c>
      <c r="H19" s="19">
        <v>1</v>
      </c>
      <c r="I19" s="18">
        <v>5</v>
      </c>
      <c r="J19" s="18">
        <v>22</v>
      </c>
      <c r="K19" s="20">
        <v>126</v>
      </c>
      <c r="L19" s="18">
        <v>306</v>
      </c>
      <c r="M19" s="18">
        <v>256</v>
      </c>
      <c r="N19" s="18">
        <v>290</v>
      </c>
      <c r="O19" s="18">
        <v>66</v>
      </c>
      <c r="P19" s="18">
        <v>235</v>
      </c>
      <c r="Q19" s="17">
        <v>2</v>
      </c>
      <c r="R19" s="17">
        <v>2</v>
      </c>
      <c r="S19" s="17">
        <v>0</v>
      </c>
      <c r="T19" s="17">
        <v>2</v>
      </c>
      <c r="U19" s="17">
        <v>2</v>
      </c>
      <c r="V19" s="3">
        <v>8</v>
      </c>
      <c r="W19" s="20">
        <v>69</v>
      </c>
      <c r="X19" s="17">
        <v>8</v>
      </c>
      <c r="Y19" s="17">
        <v>6</v>
      </c>
      <c r="Z19" s="17">
        <v>0</v>
      </c>
      <c r="AA19" s="20">
        <v>840</v>
      </c>
      <c r="AB19" s="3"/>
      <c r="AC19" s="3"/>
      <c r="AD19" s="20"/>
      <c r="AE19" s="3"/>
      <c r="AF19" s="3"/>
      <c r="AG19" s="20"/>
      <c r="AH19" s="107" t="s">
        <v>85</v>
      </c>
      <c r="AI19" s="107"/>
      <c r="AJ19" s="107"/>
      <c r="AK19" s="107"/>
      <c r="AL19" s="108"/>
      <c r="AN19" s="67">
        <f t="shared" si="2"/>
        <v>-3.7875136585389555</v>
      </c>
      <c r="AO19" s="67">
        <f t="shared" si="2"/>
        <v>-0.86979140841961566</v>
      </c>
      <c r="AP19" s="67">
        <f t="shared" si="2"/>
        <v>-2.4532350723865477</v>
      </c>
      <c r="AY19" s="67">
        <f t="shared" si="0"/>
        <v>293.78751365853896</v>
      </c>
      <c r="AZ19" s="67">
        <f t="shared" si="1"/>
        <v>66.869791408419616</v>
      </c>
      <c r="BA19" s="67">
        <f t="shared" si="3"/>
        <v>237.45323507238655</v>
      </c>
      <c r="BC19">
        <f t="shared" si="4"/>
        <v>43.934265005281297</v>
      </c>
      <c r="BD19">
        <v>1013.2</v>
      </c>
      <c r="BE19">
        <f t="shared" si="5"/>
        <v>32.820745772253893</v>
      </c>
    </row>
    <row r="20" spans="1:57" x14ac:dyDescent="0.2">
      <c r="A20" s="13">
        <v>11</v>
      </c>
      <c r="B20" s="3">
        <v>10</v>
      </c>
      <c r="C20" s="17">
        <v>5</v>
      </c>
      <c r="D20" s="3">
        <v>4</v>
      </c>
      <c r="E20" s="18">
        <v>12</v>
      </c>
      <c r="F20" s="18">
        <v>12</v>
      </c>
      <c r="G20" s="18">
        <v>70</v>
      </c>
      <c r="H20" s="19">
        <v>1</v>
      </c>
      <c r="I20" s="18">
        <v>5</v>
      </c>
      <c r="J20" s="18">
        <v>11</v>
      </c>
      <c r="K20" s="20">
        <v>114</v>
      </c>
      <c r="L20" s="18">
        <v>285</v>
      </c>
      <c r="M20" s="18">
        <v>254</v>
      </c>
      <c r="N20" s="18">
        <v>296</v>
      </c>
      <c r="O20" s="18">
        <v>76</v>
      </c>
      <c r="P20" s="18">
        <v>239</v>
      </c>
      <c r="Q20" s="17">
        <v>1</v>
      </c>
      <c r="R20" s="17">
        <v>2</v>
      </c>
      <c r="S20" s="17">
        <v>0</v>
      </c>
      <c r="T20" s="17">
        <v>2</v>
      </c>
      <c r="U20" s="17">
        <v>1</v>
      </c>
      <c r="V20" s="3">
        <v>8</v>
      </c>
      <c r="W20" s="20">
        <v>66</v>
      </c>
      <c r="X20" s="17">
        <v>8</v>
      </c>
      <c r="Y20" s="17">
        <v>5</v>
      </c>
      <c r="Z20" s="17">
        <v>0</v>
      </c>
      <c r="AA20" s="20">
        <v>840</v>
      </c>
      <c r="AB20" s="3"/>
      <c r="AC20" s="3"/>
      <c r="AD20" s="20"/>
      <c r="AE20" s="3"/>
      <c r="AF20" s="3"/>
      <c r="AG20" s="20"/>
      <c r="AH20" s="107" t="s">
        <v>85</v>
      </c>
      <c r="AI20" s="107"/>
      <c r="AJ20" s="107"/>
      <c r="AK20" s="107"/>
      <c r="AL20" s="108"/>
      <c r="AN20" s="67">
        <f t="shared" si="2"/>
        <v>-6.9922786465605213</v>
      </c>
      <c r="AO20" s="67">
        <f t="shared" si="2"/>
        <v>-1.849550465023384</v>
      </c>
      <c r="AP20" s="67">
        <f t="shared" si="2"/>
        <v>-3.5839836754788053</v>
      </c>
      <c r="AY20" s="67">
        <f t="shared" si="0"/>
        <v>302.99227864656052</v>
      </c>
      <c r="AZ20" s="67">
        <f t="shared" si="1"/>
        <v>77.849550465023384</v>
      </c>
      <c r="BA20" s="67">
        <f t="shared" si="3"/>
        <v>242.58398367547881</v>
      </c>
      <c r="BC20">
        <f t="shared" si="4"/>
        <v>38.920234842292423</v>
      </c>
      <c r="BD20">
        <v>1013.2</v>
      </c>
      <c r="BE20">
        <f t="shared" si="5"/>
        <v>32.432787604968055</v>
      </c>
    </row>
    <row r="21" spans="1:57" x14ac:dyDescent="0.2">
      <c r="A21" s="13">
        <v>12</v>
      </c>
      <c r="B21" s="3">
        <v>10</v>
      </c>
      <c r="C21" s="17">
        <v>6</v>
      </c>
      <c r="D21" s="3">
        <v>4</v>
      </c>
      <c r="E21" s="18">
        <v>1</v>
      </c>
      <c r="F21" s="18">
        <v>7</v>
      </c>
      <c r="G21" s="18">
        <v>75</v>
      </c>
      <c r="H21" s="19">
        <v>2</v>
      </c>
      <c r="I21" s="18"/>
      <c r="J21" s="18"/>
      <c r="K21" s="20">
        <v>126</v>
      </c>
      <c r="L21" s="18">
        <v>284</v>
      </c>
      <c r="M21" s="18">
        <v>245</v>
      </c>
      <c r="N21" s="18">
        <v>276</v>
      </c>
      <c r="O21" s="18">
        <v>72</v>
      </c>
      <c r="P21" s="18">
        <v>227</v>
      </c>
      <c r="Q21" s="17">
        <v>4</v>
      </c>
      <c r="R21" s="17">
        <v>8</v>
      </c>
      <c r="S21" s="17">
        <v>4</v>
      </c>
      <c r="T21" s="17">
        <v>2</v>
      </c>
      <c r="U21" s="17">
        <v>2</v>
      </c>
      <c r="V21" s="3">
        <v>8</v>
      </c>
      <c r="W21" s="20">
        <v>60</v>
      </c>
      <c r="X21" s="17">
        <v>8</v>
      </c>
      <c r="Y21" s="17">
        <v>3</v>
      </c>
      <c r="Z21" s="17">
        <v>6</v>
      </c>
      <c r="AA21" s="20">
        <v>120</v>
      </c>
      <c r="AB21" s="3"/>
      <c r="AC21" s="3"/>
      <c r="AD21" s="20"/>
      <c r="AE21" s="3"/>
      <c r="AF21" s="3"/>
      <c r="AG21" s="20"/>
      <c r="AH21" s="107" t="s">
        <v>85</v>
      </c>
      <c r="AI21" s="107"/>
      <c r="AJ21" s="107"/>
      <c r="AK21" s="107"/>
      <c r="AL21" s="108"/>
      <c r="AN21" s="67">
        <f t="shared" si="2"/>
        <v>-4.547412895870707</v>
      </c>
      <c r="AO21" s="67">
        <f t="shared" si="2"/>
        <v>-0.50320157781399644</v>
      </c>
      <c r="AP21" s="67">
        <f t="shared" si="2"/>
        <v>-2.8205809474014245</v>
      </c>
      <c r="AY21" s="67">
        <f t="shared" si="0"/>
        <v>280.54741289587071</v>
      </c>
      <c r="AZ21" s="67">
        <f t="shared" si="1"/>
        <v>72.503201577813996</v>
      </c>
      <c r="BA21" s="67">
        <f t="shared" si="3"/>
        <v>229.82058094740142</v>
      </c>
      <c r="BC21">
        <f t="shared" si="4"/>
        <v>38.694486145521928</v>
      </c>
      <c r="BD21">
        <v>1013.2</v>
      </c>
      <c r="BE21">
        <f t="shared" si="5"/>
        <v>30.736197835927069</v>
      </c>
    </row>
    <row r="22" spans="1:57" x14ac:dyDescent="0.2">
      <c r="A22" s="13">
        <v>13</v>
      </c>
      <c r="B22" s="3">
        <v>10</v>
      </c>
      <c r="C22" s="17">
        <v>3</v>
      </c>
      <c r="D22" s="3">
        <v>4</v>
      </c>
      <c r="E22" s="18">
        <v>7</v>
      </c>
      <c r="F22" s="18">
        <v>14</v>
      </c>
      <c r="G22" s="18">
        <v>78</v>
      </c>
      <c r="H22" s="19">
        <v>2</v>
      </c>
      <c r="I22" s="18"/>
      <c r="J22" s="18"/>
      <c r="K22" s="20">
        <v>147</v>
      </c>
      <c r="L22" s="18">
        <v>306</v>
      </c>
      <c r="M22" s="18">
        <v>244</v>
      </c>
      <c r="N22" s="18">
        <v>256</v>
      </c>
      <c r="O22" s="18">
        <v>58</v>
      </c>
      <c r="P22" s="18">
        <v>215</v>
      </c>
      <c r="Q22" s="17">
        <v>2</v>
      </c>
      <c r="R22" s="17">
        <v>8</v>
      </c>
      <c r="S22" s="17">
        <v>0</v>
      </c>
      <c r="T22" s="17">
        <v>2</v>
      </c>
      <c r="U22" s="17">
        <v>1</v>
      </c>
      <c r="V22" s="3">
        <v>8</v>
      </c>
      <c r="W22" s="20">
        <v>63</v>
      </c>
      <c r="X22" s="17">
        <v>8</v>
      </c>
      <c r="Y22" s="3"/>
      <c r="Z22" s="3"/>
      <c r="AA22" s="20"/>
      <c r="AB22" s="3"/>
      <c r="AC22" s="3"/>
      <c r="AD22" s="20"/>
      <c r="AE22" s="3"/>
      <c r="AF22" s="3"/>
      <c r="AG22" s="20"/>
      <c r="AH22" s="107"/>
      <c r="AI22" s="107"/>
      <c r="AJ22" s="107"/>
      <c r="AK22" s="107"/>
      <c r="AL22" s="108"/>
      <c r="AN22" s="67">
        <f t="shared" si="2"/>
        <v>-6.9022094220445069</v>
      </c>
      <c r="AO22" s="67">
        <f t="shared" si="2"/>
        <v>-1.8399015871646611</v>
      </c>
      <c r="AP22" s="67">
        <f t="shared" si="2"/>
        <v>-4.1421682620380977</v>
      </c>
      <c r="AY22" s="67">
        <f t="shared" si="0"/>
        <v>262.90220942204451</v>
      </c>
      <c r="AZ22" s="67">
        <f t="shared" si="1"/>
        <v>59.839901587164661</v>
      </c>
      <c r="BA22" s="67">
        <f t="shared" si="3"/>
        <v>219.1421682620381</v>
      </c>
      <c r="BC22">
        <f t="shared" si="4"/>
        <v>43.934265005281297</v>
      </c>
      <c r="BD22">
        <v>1013.2</v>
      </c>
      <c r="BE22">
        <f t="shared" si="5"/>
        <v>30.552572506268454</v>
      </c>
    </row>
    <row r="23" spans="1:57" x14ac:dyDescent="0.2">
      <c r="A23" s="13">
        <v>14</v>
      </c>
      <c r="B23" s="3">
        <v>10</v>
      </c>
      <c r="C23" s="17">
        <v>6</v>
      </c>
      <c r="D23" s="3">
        <v>4</v>
      </c>
      <c r="E23" s="18">
        <v>3</v>
      </c>
      <c r="F23" s="18">
        <v>7</v>
      </c>
      <c r="G23" s="18">
        <v>75</v>
      </c>
      <c r="H23" s="19">
        <v>2</v>
      </c>
      <c r="I23" s="18"/>
      <c r="J23" s="18"/>
      <c r="K23" s="20">
        <v>144</v>
      </c>
      <c r="L23" s="18">
        <v>310</v>
      </c>
      <c r="M23" s="18">
        <v>239</v>
      </c>
      <c r="N23" s="18">
        <v>240</v>
      </c>
      <c r="O23" s="18">
        <v>54</v>
      </c>
      <c r="P23" s="18">
        <v>204</v>
      </c>
      <c r="Q23" s="17">
        <v>1</v>
      </c>
      <c r="R23" s="17">
        <v>2</v>
      </c>
      <c r="S23" s="17">
        <v>0</v>
      </c>
      <c r="T23" s="17">
        <v>2</v>
      </c>
      <c r="U23" s="17">
        <v>1</v>
      </c>
      <c r="V23" s="3">
        <v>8</v>
      </c>
      <c r="W23" s="20">
        <v>66</v>
      </c>
      <c r="X23" s="17">
        <v>8</v>
      </c>
      <c r="Y23" s="17">
        <v>6</v>
      </c>
      <c r="Z23" s="17">
        <v>0</v>
      </c>
      <c r="AA23" s="20">
        <v>840</v>
      </c>
      <c r="AB23" s="3"/>
      <c r="AC23" s="3"/>
      <c r="AD23" s="20"/>
      <c r="AE23" s="3"/>
      <c r="AF23" s="3"/>
      <c r="AG23" s="20"/>
      <c r="AH23" s="107"/>
      <c r="AI23" s="107"/>
      <c r="AJ23" s="107"/>
      <c r="AK23" s="107"/>
      <c r="AL23" s="108"/>
      <c r="AN23" s="67">
        <f t="shared" si="2"/>
        <v>-7.7042742372581188</v>
      </c>
      <c r="AO23" s="67">
        <f t="shared" si="2"/>
        <v>-1.1057690120121038</v>
      </c>
      <c r="AP23" s="67">
        <f t="shared" si="2"/>
        <v>-5.4286384550405273</v>
      </c>
      <c r="AY23" s="67">
        <f t="shared" si="0"/>
        <v>247.70427423725812</v>
      </c>
      <c r="AZ23" s="67">
        <f t="shared" si="1"/>
        <v>55.105769012012104</v>
      </c>
      <c r="BA23" s="67">
        <f t="shared" si="3"/>
        <v>209.42863845504053</v>
      </c>
      <c r="BC23">
        <f t="shared" si="4"/>
        <v>44.950697300542686</v>
      </c>
      <c r="BD23">
        <v>1013.2</v>
      </c>
      <c r="BE23">
        <f t="shared" si="5"/>
        <v>29.648777423897815</v>
      </c>
    </row>
    <row r="24" spans="1:57" x14ac:dyDescent="0.2">
      <c r="A24" s="13">
        <v>15</v>
      </c>
      <c r="B24" s="3">
        <v>10</v>
      </c>
      <c r="C24" s="17">
        <v>6</v>
      </c>
      <c r="D24" s="3">
        <v>4</v>
      </c>
      <c r="E24" s="18">
        <v>26</v>
      </c>
      <c r="F24" s="18">
        <v>5</v>
      </c>
      <c r="G24" s="18">
        <v>70</v>
      </c>
      <c r="H24" s="19">
        <v>1</v>
      </c>
      <c r="I24" s="18">
        <v>5</v>
      </c>
      <c r="J24" s="18">
        <v>22</v>
      </c>
      <c r="K24" s="20">
        <v>139</v>
      </c>
      <c r="L24" s="18">
        <v>282</v>
      </c>
      <c r="M24" s="18">
        <v>245</v>
      </c>
      <c r="N24" s="18">
        <v>278</v>
      </c>
      <c r="O24" s="18">
        <v>73</v>
      </c>
      <c r="P24" s="18">
        <v>228</v>
      </c>
      <c r="Q24" s="17">
        <v>6</v>
      </c>
      <c r="R24" s="17">
        <v>2</v>
      </c>
      <c r="S24" s="17">
        <v>0</v>
      </c>
      <c r="T24" s="17">
        <v>1</v>
      </c>
      <c r="U24" s="17">
        <v>6</v>
      </c>
      <c r="V24" s="3">
        <v>8</v>
      </c>
      <c r="W24" s="20">
        <v>60</v>
      </c>
      <c r="X24" s="17">
        <v>8</v>
      </c>
      <c r="Y24" s="3"/>
      <c r="Z24" s="3"/>
      <c r="AA24" s="20"/>
      <c r="AB24" s="3"/>
      <c r="AC24" s="3"/>
      <c r="AD24" s="20"/>
      <c r="AE24" s="3"/>
      <c r="AF24" s="3"/>
      <c r="AG24" s="20"/>
      <c r="AH24" s="107" t="s">
        <v>85</v>
      </c>
      <c r="AI24" s="107"/>
      <c r="AJ24" s="107"/>
      <c r="AK24" s="107"/>
      <c r="AL24" s="108"/>
      <c r="AN24" s="67">
        <f t="shared" si="2"/>
        <v>-3.9225188170706815</v>
      </c>
      <c r="AO24" s="67">
        <f t="shared" si="2"/>
        <v>-0.7121364905113694</v>
      </c>
      <c r="AP24" s="67">
        <f t="shared" si="2"/>
        <v>-2.6278153685556731</v>
      </c>
      <c r="AY24" s="67">
        <f t="shared" si="0"/>
        <v>281.92251881707068</v>
      </c>
      <c r="AZ24" s="67">
        <f t="shared" si="1"/>
        <v>73.712136490511369</v>
      </c>
      <c r="BA24" s="67">
        <f t="shared" si="3"/>
        <v>230.62781536855567</v>
      </c>
      <c r="BC24">
        <f t="shared" si="4"/>
        <v>38.246418058084821</v>
      </c>
      <c r="BD24">
        <v>1013.2</v>
      </c>
      <c r="BE24">
        <f t="shared" si="5"/>
        <v>30.736197835927069</v>
      </c>
    </row>
    <row r="25" spans="1:57" x14ac:dyDescent="0.2">
      <c r="A25" s="13">
        <v>16</v>
      </c>
      <c r="B25" s="3">
        <v>10</v>
      </c>
      <c r="C25" s="17">
        <v>7</v>
      </c>
      <c r="D25" s="3">
        <v>4</v>
      </c>
      <c r="E25" s="18">
        <v>8</v>
      </c>
      <c r="F25" s="18">
        <v>12</v>
      </c>
      <c r="G25" s="18">
        <v>70</v>
      </c>
      <c r="H25" s="19">
        <v>1</v>
      </c>
      <c r="I25" s="18">
        <v>5</v>
      </c>
      <c r="J25" s="18">
        <v>22</v>
      </c>
      <c r="K25" s="20">
        <v>147</v>
      </c>
      <c r="L25" s="18">
        <v>296</v>
      </c>
      <c r="M25" s="18">
        <v>245</v>
      </c>
      <c r="N25" s="18">
        <v>269</v>
      </c>
      <c r="O25" s="18">
        <v>65</v>
      </c>
      <c r="P25" s="18">
        <v>222</v>
      </c>
      <c r="Q25" s="17">
        <v>5</v>
      </c>
      <c r="R25" s="17">
        <v>8</v>
      </c>
      <c r="S25" s="17">
        <v>0</v>
      </c>
      <c r="T25" s="17">
        <v>2</v>
      </c>
      <c r="U25" s="17">
        <v>2</v>
      </c>
      <c r="V25" s="3">
        <v>8</v>
      </c>
      <c r="W25" s="20">
        <v>60</v>
      </c>
      <c r="X25" s="17">
        <v>8</v>
      </c>
      <c r="Y25" s="17">
        <v>5</v>
      </c>
      <c r="Z25" s="17">
        <v>6</v>
      </c>
      <c r="AA25" s="20">
        <v>114</v>
      </c>
      <c r="AB25" s="3"/>
      <c r="AC25" s="3"/>
      <c r="AD25" s="20"/>
      <c r="AE25" s="3"/>
      <c r="AF25" s="3"/>
      <c r="AG25" s="20"/>
      <c r="AH25" s="107" t="s">
        <v>85</v>
      </c>
      <c r="AI25" s="107"/>
      <c r="AJ25" s="107"/>
      <c r="AK25" s="107"/>
      <c r="AL25" s="108"/>
      <c r="AN25" s="67">
        <f t="shared" si="2"/>
        <v>-3.2967773686706892</v>
      </c>
      <c r="AO25" s="67">
        <f t="shared" si="2"/>
        <v>-0.64461509244335957</v>
      </c>
      <c r="AP25" s="67">
        <f t="shared" si="2"/>
        <v>-2.903071942601656</v>
      </c>
      <c r="AY25" s="67">
        <f t="shared" si="0"/>
        <v>272.29677736867069</v>
      </c>
      <c r="AZ25" s="67">
        <f t="shared" si="1"/>
        <v>65.64461509244336</v>
      </c>
      <c r="BA25" s="67">
        <f t="shared" si="3"/>
        <v>224.90307194260166</v>
      </c>
      <c r="BC25">
        <f t="shared" si="4"/>
        <v>41.480443900114501</v>
      </c>
      <c r="BD25">
        <v>1013.2</v>
      </c>
      <c r="BE25">
        <f t="shared" si="5"/>
        <v>30.736197835927069</v>
      </c>
    </row>
    <row r="26" spans="1:57" x14ac:dyDescent="0.2">
      <c r="A26" s="13">
        <v>17</v>
      </c>
      <c r="B26" s="3">
        <v>10</v>
      </c>
      <c r="C26" s="17">
        <v>8</v>
      </c>
      <c r="D26" s="3">
        <v>4</v>
      </c>
      <c r="E26" s="18">
        <v>10</v>
      </c>
      <c r="F26" s="18">
        <v>12</v>
      </c>
      <c r="G26" s="18">
        <v>50</v>
      </c>
      <c r="H26" s="19">
        <v>1</v>
      </c>
      <c r="I26" s="18">
        <v>81</v>
      </c>
      <c r="J26" s="18">
        <v>82</v>
      </c>
      <c r="K26" s="20">
        <v>164</v>
      </c>
      <c r="L26" s="18">
        <v>240</v>
      </c>
      <c r="M26" s="18">
        <v>235</v>
      </c>
      <c r="N26" s="18">
        <v>286</v>
      </c>
      <c r="O26" s="18">
        <v>96</v>
      </c>
      <c r="P26" s="18">
        <v>233</v>
      </c>
      <c r="Q26" s="17">
        <v>8</v>
      </c>
      <c r="R26" s="17">
        <v>8</v>
      </c>
      <c r="S26" s="17" t="s">
        <v>89</v>
      </c>
      <c r="T26" s="17" t="s">
        <v>89</v>
      </c>
      <c r="U26" s="17">
        <v>7</v>
      </c>
      <c r="V26" s="3">
        <v>8</v>
      </c>
      <c r="W26" s="20">
        <v>48</v>
      </c>
      <c r="X26" s="17">
        <v>8</v>
      </c>
      <c r="Y26" s="17">
        <v>3</v>
      </c>
      <c r="Z26" s="17">
        <v>6</v>
      </c>
      <c r="AA26" s="20">
        <v>120</v>
      </c>
      <c r="AB26" s="3"/>
      <c r="AC26" s="3"/>
      <c r="AD26" s="20"/>
      <c r="AE26" s="3"/>
      <c r="AF26" s="3"/>
      <c r="AG26" s="20"/>
      <c r="AH26" s="107" t="s">
        <v>104</v>
      </c>
      <c r="AI26" s="107"/>
      <c r="AJ26" s="107"/>
      <c r="AK26" s="107"/>
      <c r="AL26" s="108"/>
      <c r="AN26" s="67">
        <f t="shared" si="2"/>
        <v>7.062889349924717E-3</v>
      </c>
      <c r="AO26" s="67">
        <f t="shared" si="2"/>
        <v>0.11814684300372846</v>
      </c>
      <c r="AP26" s="67">
        <f t="shared" si="2"/>
        <v>2.7640450888384294E-3</v>
      </c>
      <c r="AY26" s="67">
        <f t="shared" si="0"/>
        <v>285.99293711065008</v>
      </c>
      <c r="AZ26" s="67">
        <f t="shared" si="1"/>
        <v>95.881853156996272</v>
      </c>
      <c r="BA26" s="67">
        <f t="shared" si="3"/>
        <v>232.99723595491116</v>
      </c>
      <c r="BC26">
        <f t="shared" si="4"/>
        <v>29.827639714302066</v>
      </c>
      <c r="BD26">
        <v>1013.2</v>
      </c>
      <c r="BE26">
        <f t="shared" si="5"/>
        <v>28.94268568196501</v>
      </c>
    </row>
    <row r="27" spans="1:57" x14ac:dyDescent="0.2">
      <c r="A27" s="13">
        <v>18</v>
      </c>
      <c r="B27" s="3">
        <v>10</v>
      </c>
      <c r="C27" s="17">
        <v>8</v>
      </c>
      <c r="D27" s="3">
        <v>4</v>
      </c>
      <c r="E27" s="18">
        <v>9</v>
      </c>
      <c r="F27" s="18">
        <v>7</v>
      </c>
      <c r="G27" s="18">
        <v>62</v>
      </c>
      <c r="H27" s="19">
        <v>1</v>
      </c>
      <c r="I27" s="18">
        <v>60</v>
      </c>
      <c r="J27" s="18">
        <v>22</v>
      </c>
      <c r="K27" s="20">
        <v>162</v>
      </c>
      <c r="L27" s="18">
        <v>282</v>
      </c>
      <c r="M27" s="18">
        <v>262</v>
      </c>
      <c r="N27" s="18">
        <v>325</v>
      </c>
      <c r="O27" s="18">
        <v>85</v>
      </c>
      <c r="P27" s="18">
        <v>254</v>
      </c>
      <c r="Q27" s="17">
        <v>7</v>
      </c>
      <c r="R27" s="17">
        <v>4</v>
      </c>
      <c r="S27" s="17">
        <v>6</v>
      </c>
      <c r="T27" s="17" t="s">
        <v>89</v>
      </c>
      <c r="U27" s="17">
        <v>4</v>
      </c>
      <c r="V27" s="3">
        <v>8</v>
      </c>
      <c r="W27" s="20">
        <v>48</v>
      </c>
      <c r="X27" s="17">
        <v>8</v>
      </c>
      <c r="Y27" s="17">
        <v>6</v>
      </c>
      <c r="Z27" s="17">
        <v>6</v>
      </c>
      <c r="AA27" s="20">
        <v>120</v>
      </c>
      <c r="AB27" s="3"/>
      <c r="AC27" s="3"/>
      <c r="AD27" s="20"/>
      <c r="AE27" s="3"/>
      <c r="AF27" s="3"/>
      <c r="AG27" s="20"/>
      <c r="AH27" s="107" t="s">
        <v>114</v>
      </c>
      <c r="AI27" s="107"/>
      <c r="AJ27" s="107"/>
      <c r="AK27" s="107"/>
      <c r="AL27" s="108"/>
      <c r="AN27" s="67">
        <f t="shared" si="2"/>
        <v>-1.3136787641110459</v>
      </c>
      <c r="AO27" s="67">
        <f t="shared" si="2"/>
        <v>-0.3187554109089632</v>
      </c>
      <c r="AP27" s="67">
        <f t="shared" si="2"/>
        <v>-0.99710800889369011</v>
      </c>
      <c r="AY27" s="67">
        <f t="shared" si="0"/>
        <v>326.31367876411105</v>
      </c>
      <c r="AZ27" s="67">
        <f t="shared" si="1"/>
        <v>85.318755410908963</v>
      </c>
      <c r="BA27" s="67">
        <f t="shared" si="3"/>
        <v>254.99710800889369</v>
      </c>
      <c r="BC27">
        <f t="shared" si="4"/>
        <v>38.246418058084821</v>
      </c>
      <c r="BD27">
        <v>1013.2</v>
      </c>
      <c r="BE27">
        <f t="shared" si="5"/>
        <v>34.009088461531107</v>
      </c>
    </row>
    <row r="28" spans="1:57" x14ac:dyDescent="0.2">
      <c r="A28" s="13">
        <v>19</v>
      </c>
      <c r="B28" s="3">
        <v>10</v>
      </c>
      <c r="C28" s="17">
        <v>5</v>
      </c>
      <c r="D28" s="3">
        <v>4</v>
      </c>
      <c r="E28" s="18">
        <v>10</v>
      </c>
      <c r="F28" s="18">
        <v>14</v>
      </c>
      <c r="G28" s="18">
        <v>75</v>
      </c>
      <c r="H28" s="19">
        <v>2</v>
      </c>
      <c r="I28" s="18"/>
      <c r="J28" s="18"/>
      <c r="K28" s="20">
        <v>143</v>
      </c>
      <c r="L28" s="18">
        <v>294</v>
      </c>
      <c r="M28" s="18">
        <v>257</v>
      </c>
      <c r="N28" s="18">
        <v>300</v>
      </c>
      <c r="O28" s="18">
        <v>73</v>
      </c>
      <c r="P28" s="18">
        <v>241</v>
      </c>
      <c r="Q28" s="17">
        <v>4</v>
      </c>
      <c r="R28" s="17">
        <v>8</v>
      </c>
      <c r="S28" s="17">
        <v>0</v>
      </c>
      <c r="T28" s="17">
        <v>1</v>
      </c>
      <c r="U28" s="17">
        <v>2</v>
      </c>
      <c r="V28" s="3">
        <v>8</v>
      </c>
      <c r="W28" s="20">
        <v>57</v>
      </c>
      <c r="X28" s="17">
        <v>8</v>
      </c>
      <c r="Y28" s="17">
        <v>3</v>
      </c>
      <c r="Z28" s="17">
        <v>0</v>
      </c>
      <c r="AA28" s="20">
        <v>750</v>
      </c>
      <c r="AB28" s="3"/>
      <c r="AC28" s="3"/>
      <c r="AD28" s="20"/>
      <c r="AE28" s="3"/>
      <c r="AF28" s="3"/>
      <c r="AG28" s="20"/>
      <c r="AH28" s="107"/>
      <c r="AI28" s="107"/>
      <c r="AJ28" s="107"/>
      <c r="AK28" s="107"/>
      <c r="AL28" s="108"/>
      <c r="AN28" s="67">
        <f t="shared" si="2"/>
        <v>-4.6888251814546607</v>
      </c>
      <c r="AO28" s="67">
        <f t="shared" si="2"/>
        <v>-1.3065462394597205</v>
      </c>
      <c r="AP28" s="67">
        <f t="shared" si="2"/>
        <v>-2.5147117006300448</v>
      </c>
      <c r="AY28" s="67">
        <f t="shared" si="0"/>
        <v>304.68882518145466</v>
      </c>
      <c r="AZ28" s="67">
        <f t="shared" si="1"/>
        <v>74.30654623945972</v>
      </c>
      <c r="BA28" s="67">
        <f t="shared" si="3"/>
        <v>243.51471170063004</v>
      </c>
      <c r="BC28">
        <f t="shared" si="4"/>
        <v>41.004304546677048</v>
      </c>
      <c r="BD28">
        <v>1013.2</v>
      </c>
      <c r="BE28">
        <f t="shared" si="5"/>
        <v>33.016242915837466</v>
      </c>
    </row>
    <row r="29" spans="1:57" x14ac:dyDescent="0.2">
      <c r="A29" s="13">
        <v>20</v>
      </c>
      <c r="B29" s="3">
        <v>10</v>
      </c>
      <c r="C29" s="17">
        <v>7</v>
      </c>
      <c r="D29" s="3">
        <v>4</v>
      </c>
      <c r="E29" s="18">
        <v>10</v>
      </c>
      <c r="F29" s="18">
        <v>16</v>
      </c>
      <c r="G29" s="18">
        <v>68</v>
      </c>
      <c r="H29" s="19">
        <v>1</v>
      </c>
      <c r="I29" s="18">
        <v>80</v>
      </c>
      <c r="J29" s="18">
        <v>22</v>
      </c>
      <c r="K29" s="20">
        <v>133</v>
      </c>
      <c r="L29" s="18">
        <v>278</v>
      </c>
      <c r="M29" s="18">
        <v>250</v>
      </c>
      <c r="N29" s="18">
        <v>295</v>
      </c>
      <c r="O29" s="18">
        <v>79</v>
      </c>
      <c r="P29" s="18">
        <v>238</v>
      </c>
      <c r="Q29" s="17">
        <v>4</v>
      </c>
      <c r="R29" s="17">
        <v>8</v>
      </c>
      <c r="S29" s="17">
        <v>7</v>
      </c>
      <c r="T29" s="17">
        <v>8</v>
      </c>
      <c r="U29" s="17">
        <v>3</v>
      </c>
      <c r="V29" s="3">
        <v>8</v>
      </c>
      <c r="W29" s="20">
        <v>51</v>
      </c>
      <c r="X29" s="17">
        <v>8</v>
      </c>
      <c r="Y29" s="17">
        <v>3</v>
      </c>
      <c r="Z29" s="17">
        <v>6</v>
      </c>
      <c r="AA29" s="20">
        <v>114</v>
      </c>
      <c r="AB29" s="17">
        <v>7</v>
      </c>
      <c r="AC29" s="17">
        <v>2</v>
      </c>
      <c r="AD29" s="20">
        <v>780</v>
      </c>
      <c r="AE29" s="3"/>
      <c r="AF29" s="3"/>
      <c r="AG29" s="20"/>
      <c r="AH29" s="107" t="s">
        <v>130</v>
      </c>
      <c r="AI29" s="107"/>
      <c r="AJ29" s="107"/>
      <c r="AK29" s="107"/>
      <c r="AL29" s="108"/>
      <c r="AN29" s="67">
        <f t="shared" si="2"/>
        <v>-2.4266669361599611</v>
      </c>
      <c r="AO29" s="67">
        <f t="shared" si="2"/>
        <v>-0.60276291281019212</v>
      </c>
      <c r="AP29" s="67">
        <f t="shared" si="2"/>
        <v>-1.4983038224681309</v>
      </c>
      <c r="AY29" s="67">
        <f t="shared" si="0"/>
        <v>297.42666693615996</v>
      </c>
      <c r="AZ29" s="67">
        <f t="shared" si="1"/>
        <v>79.602762912810192</v>
      </c>
      <c r="BA29" s="67">
        <f t="shared" si="3"/>
        <v>239.49830382246813</v>
      </c>
      <c r="BC29">
        <f t="shared" si="4"/>
        <v>37.363862264672235</v>
      </c>
      <c r="BD29">
        <v>1013.2</v>
      </c>
      <c r="BE29">
        <f t="shared" si="5"/>
        <v>31.668891609615997</v>
      </c>
    </row>
    <row r="30" spans="1:57" x14ac:dyDescent="0.2">
      <c r="A30" s="13">
        <v>21</v>
      </c>
      <c r="B30" s="3">
        <v>10</v>
      </c>
      <c r="C30" s="17">
        <v>3</v>
      </c>
      <c r="D30" s="3">
        <v>4</v>
      </c>
      <c r="E30" s="18">
        <v>9</v>
      </c>
      <c r="F30" s="18">
        <v>14</v>
      </c>
      <c r="G30" s="18">
        <v>70</v>
      </c>
      <c r="H30" s="19">
        <v>1</v>
      </c>
      <c r="I30" s="18">
        <v>5</v>
      </c>
      <c r="J30" s="18">
        <v>0</v>
      </c>
      <c r="K30" s="20">
        <v>135</v>
      </c>
      <c r="L30" s="18">
        <v>289</v>
      </c>
      <c r="M30" s="18">
        <v>256</v>
      </c>
      <c r="N30" s="18">
        <v>301</v>
      </c>
      <c r="O30" s="18">
        <v>76</v>
      </c>
      <c r="P30" s="18">
        <v>242</v>
      </c>
      <c r="Q30" s="17">
        <v>2</v>
      </c>
      <c r="R30" s="17">
        <v>8</v>
      </c>
      <c r="S30" s="17">
        <v>0</v>
      </c>
      <c r="T30" s="17">
        <v>2</v>
      </c>
      <c r="U30" s="17">
        <v>2</v>
      </c>
      <c r="V30" s="3">
        <v>8</v>
      </c>
      <c r="W30" s="20">
        <v>60</v>
      </c>
      <c r="X30" s="17">
        <v>8</v>
      </c>
      <c r="Y30" s="3"/>
      <c r="Z30" s="3"/>
      <c r="AA30" s="20"/>
      <c r="AB30" s="3"/>
      <c r="AC30" s="3"/>
      <c r="AD30" s="20"/>
      <c r="AE30" s="3"/>
      <c r="AF30" s="3"/>
      <c r="AG30" s="20"/>
      <c r="AH30" s="107" t="s">
        <v>85</v>
      </c>
      <c r="AI30" s="107"/>
      <c r="AJ30" s="107"/>
      <c r="AK30" s="107"/>
      <c r="AL30" s="108"/>
      <c r="AN30" s="67">
        <f t="shared" si="2"/>
        <v>-4.4902946402989414</v>
      </c>
      <c r="AO30" s="67">
        <f t="shared" si="2"/>
        <v>-0.68934712866520442</v>
      </c>
      <c r="AP30" s="67">
        <f t="shared" si="2"/>
        <v>-1.9528220044709599</v>
      </c>
      <c r="AY30" s="67">
        <f t="shared" si="0"/>
        <v>305.49029464029894</v>
      </c>
      <c r="AZ30" s="67">
        <f t="shared" si="1"/>
        <v>76.689347128665204</v>
      </c>
      <c r="BA30" s="67">
        <f t="shared" si="3"/>
        <v>243.95282200447096</v>
      </c>
      <c r="BC30">
        <f t="shared" si="4"/>
        <v>39.834775764587476</v>
      </c>
      <c r="BD30">
        <v>1013.2</v>
      </c>
      <c r="BE30">
        <f t="shared" si="5"/>
        <v>32.820745772253893</v>
      </c>
    </row>
    <row r="31" spans="1:57" x14ac:dyDescent="0.2">
      <c r="A31" s="13">
        <v>22</v>
      </c>
      <c r="B31" s="3">
        <v>10</v>
      </c>
      <c r="C31" s="17">
        <v>7</v>
      </c>
      <c r="D31" s="3">
        <v>4</v>
      </c>
      <c r="E31" s="18">
        <v>9</v>
      </c>
      <c r="F31" s="18">
        <v>14</v>
      </c>
      <c r="G31" s="18">
        <v>70</v>
      </c>
      <c r="H31" s="19">
        <v>1</v>
      </c>
      <c r="I31" s="18">
        <v>5</v>
      </c>
      <c r="J31" s="18">
        <v>22</v>
      </c>
      <c r="K31" s="20">
        <v>148</v>
      </c>
      <c r="L31" s="18">
        <v>284</v>
      </c>
      <c r="M31" s="18">
        <v>254</v>
      </c>
      <c r="N31" s="18">
        <v>300</v>
      </c>
      <c r="O31" s="18">
        <v>78</v>
      </c>
      <c r="P31" s="18">
        <v>241</v>
      </c>
      <c r="Q31" s="17">
        <v>6</v>
      </c>
      <c r="R31" s="17">
        <v>8</v>
      </c>
      <c r="S31" s="17">
        <v>4</v>
      </c>
      <c r="T31" s="17">
        <v>2</v>
      </c>
      <c r="U31" s="17">
        <v>3</v>
      </c>
      <c r="V31" s="3">
        <v>8</v>
      </c>
      <c r="W31" s="20">
        <v>54</v>
      </c>
      <c r="X31" s="17">
        <v>8</v>
      </c>
      <c r="Y31" s="17">
        <v>5</v>
      </c>
      <c r="Z31" s="17">
        <v>6</v>
      </c>
      <c r="AA31" s="20">
        <v>105</v>
      </c>
      <c r="AB31" s="3"/>
      <c r="AC31" s="3"/>
      <c r="AD31" s="20"/>
      <c r="AE31" s="3"/>
      <c r="AF31" s="3"/>
      <c r="AG31" s="20"/>
      <c r="AH31" s="107" t="s">
        <v>85</v>
      </c>
      <c r="AI31" s="107"/>
      <c r="AJ31" s="107"/>
      <c r="AK31" s="107"/>
      <c r="AL31" s="108"/>
      <c r="AN31" s="67">
        <f t="shared" si="2"/>
        <v>-3.6805237240805582</v>
      </c>
      <c r="AO31" s="67">
        <f t="shared" si="2"/>
        <v>-0.48160137907017031</v>
      </c>
      <c r="AP31" s="67">
        <f t="shared" si="2"/>
        <v>-1.9621046633770902</v>
      </c>
      <c r="AY31" s="67">
        <f t="shared" si="0"/>
        <v>303.68052372408056</v>
      </c>
      <c r="AZ31" s="67">
        <f t="shared" si="1"/>
        <v>78.48160137907017</v>
      </c>
      <c r="BA31" s="67">
        <f t="shared" si="3"/>
        <v>242.96210466337709</v>
      </c>
      <c r="BC31">
        <f t="shared" si="4"/>
        <v>38.694486145521928</v>
      </c>
      <c r="BD31">
        <v>1013.2</v>
      </c>
      <c r="BE31">
        <f t="shared" si="5"/>
        <v>32.432787604968055</v>
      </c>
    </row>
    <row r="32" spans="1:57" x14ac:dyDescent="0.2">
      <c r="A32" s="13">
        <v>23</v>
      </c>
      <c r="B32" s="3">
        <v>10</v>
      </c>
      <c r="C32" s="17">
        <v>6</v>
      </c>
      <c r="D32" s="3">
        <v>4</v>
      </c>
      <c r="E32" s="18">
        <v>11</v>
      </c>
      <c r="F32" s="18">
        <v>12</v>
      </c>
      <c r="G32" s="18">
        <v>68</v>
      </c>
      <c r="H32" s="19">
        <v>1</v>
      </c>
      <c r="I32" s="18">
        <v>6</v>
      </c>
      <c r="J32" s="18">
        <v>22</v>
      </c>
      <c r="K32" s="20">
        <v>131</v>
      </c>
      <c r="L32" s="18">
        <v>293</v>
      </c>
      <c r="M32" s="18">
        <v>251</v>
      </c>
      <c r="N32" s="18">
        <v>285</v>
      </c>
      <c r="O32" s="18">
        <v>70</v>
      </c>
      <c r="P32" s="18">
        <v>232</v>
      </c>
      <c r="Q32" s="17">
        <v>2</v>
      </c>
      <c r="R32" s="17">
        <v>2</v>
      </c>
      <c r="S32" s="17">
        <v>0</v>
      </c>
      <c r="T32" s="17">
        <v>2</v>
      </c>
      <c r="U32" s="17">
        <v>2</v>
      </c>
      <c r="V32" s="3">
        <v>8</v>
      </c>
      <c r="W32" s="20">
        <v>63</v>
      </c>
      <c r="X32" s="17">
        <v>8</v>
      </c>
      <c r="Y32" s="17">
        <v>6</v>
      </c>
      <c r="Z32" s="17">
        <v>0</v>
      </c>
      <c r="AA32" s="20">
        <v>840</v>
      </c>
      <c r="AB32" s="3"/>
      <c r="AC32" s="3"/>
      <c r="AD32" s="20"/>
      <c r="AE32" s="3"/>
      <c r="AF32" s="3"/>
      <c r="AG32" s="20"/>
      <c r="AH32" s="107" t="s">
        <v>85</v>
      </c>
      <c r="AI32" s="107"/>
      <c r="AJ32" s="107"/>
      <c r="AK32" s="107"/>
      <c r="AL32" s="108"/>
      <c r="AN32" s="67">
        <f t="shared" si="2"/>
        <v>-4.6871372952629713</v>
      </c>
      <c r="AO32" s="67">
        <f t="shared" si="2"/>
        <v>-1.0574291952923431</v>
      </c>
      <c r="AP32" s="67">
        <f t="shared" si="2"/>
        <v>-3.1222225094984708</v>
      </c>
      <c r="AY32" s="67">
        <f t="shared" si="0"/>
        <v>289.68713729526297</v>
      </c>
      <c r="AZ32" s="67">
        <f t="shared" si="1"/>
        <v>71.057429195292343</v>
      </c>
      <c r="BA32" s="67">
        <f t="shared" si="3"/>
        <v>235.12222250949847</v>
      </c>
      <c r="BC32">
        <f t="shared" si="4"/>
        <v>40.768029546790189</v>
      </c>
      <c r="BD32">
        <v>1013.2</v>
      </c>
      <c r="BE32">
        <f t="shared" si="5"/>
        <v>31.858374091422295</v>
      </c>
    </row>
    <row r="33" spans="1:57" x14ac:dyDescent="0.2">
      <c r="A33" s="13">
        <v>24</v>
      </c>
      <c r="B33" s="3">
        <v>10</v>
      </c>
      <c r="C33" s="17">
        <v>7</v>
      </c>
      <c r="D33" s="3">
        <v>4</v>
      </c>
      <c r="E33" s="18">
        <v>12</v>
      </c>
      <c r="F33" s="18">
        <v>11</v>
      </c>
      <c r="G33" s="18">
        <v>57</v>
      </c>
      <c r="H33" s="19">
        <v>1</v>
      </c>
      <c r="I33" s="18">
        <v>80</v>
      </c>
      <c r="J33" s="18">
        <v>22</v>
      </c>
      <c r="K33" s="20">
        <v>136</v>
      </c>
      <c r="L33" s="18">
        <v>263</v>
      </c>
      <c r="M33" s="18">
        <v>254</v>
      </c>
      <c r="N33" s="18">
        <v>317</v>
      </c>
      <c r="O33" s="18">
        <v>93</v>
      </c>
      <c r="P33" s="18">
        <v>250</v>
      </c>
      <c r="Q33" s="17">
        <v>7</v>
      </c>
      <c r="R33" s="17">
        <v>8</v>
      </c>
      <c r="S33" s="17">
        <v>0</v>
      </c>
      <c r="T33" s="17">
        <v>2</v>
      </c>
      <c r="U33" s="17">
        <v>4</v>
      </c>
      <c r="V33" s="3">
        <v>8</v>
      </c>
      <c r="W33" s="20">
        <f>14*3</f>
        <v>42</v>
      </c>
      <c r="X33" s="17">
        <v>8</v>
      </c>
      <c r="Y33" s="17">
        <v>5</v>
      </c>
      <c r="Z33" s="17">
        <v>6</v>
      </c>
      <c r="AA33" s="20">
        <v>105</v>
      </c>
      <c r="AB33" s="3"/>
      <c r="AC33" s="3"/>
      <c r="AD33" s="20"/>
      <c r="AE33" s="3"/>
      <c r="AF33" s="3"/>
      <c r="AG33" s="20"/>
      <c r="AH33" s="107" t="s">
        <v>149</v>
      </c>
      <c r="AI33" s="107"/>
      <c r="AJ33" s="107"/>
      <c r="AK33" s="107"/>
      <c r="AL33" s="108"/>
      <c r="AN33" s="67">
        <f t="shared" si="2"/>
        <v>-1.1336703520005358</v>
      </c>
      <c r="AO33" s="67">
        <f t="shared" si="2"/>
        <v>7.7193093964922355E-3</v>
      </c>
      <c r="AP33" s="67">
        <f t="shared" si="2"/>
        <v>-0.73426863781202201</v>
      </c>
      <c r="AY33" s="67">
        <f t="shared" si="0"/>
        <v>318.13367035200054</v>
      </c>
      <c r="AZ33" s="67">
        <f t="shared" si="1"/>
        <v>92.992280690603508</v>
      </c>
      <c r="BA33" s="67">
        <f t="shared" si="3"/>
        <v>250.73426863781202</v>
      </c>
      <c r="BC33">
        <f t="shared" si="4"/>
        <v>34.210761150215198</v>
      </c>
      <c r="BD33">
        <v>1013.2</v>
      </c>
      <c r="BE33">
        <f t="shared" si="5"/>
        <v>32.432787604968055</v>
      </c>
    </row>
    <row r="34" spans="1:57" x14ac:dyDescent="0.2">
      <c r="A34" s="13">
        <v>25</v>
      </c>
      <c r="B34" s="3">
        <v>10</v>
      </c>
      <c r="C34" s="17">
        <v>7</v>
      </c>
      <c r="D34" s="3">
        <v>4</v>
      </c>
      <c r="E34" s="18">
        <v>7</v>
      </c>
      <c r="F34" s="18">
        <v>8</v>
      </c>
      <c r="G34" s="18">
        <v>58</v>
      </c>
      <c r="H34" s="19">
        <v>1</v>
      </c>
      <c r="I34" s="18">
        <v>15</v>
      </c>
      <c r="J34" s="18">
        <v>82</v>
      </c>
      <c r="K34" s="20">
        <v>141</v>
      </c>
      <c r="L34" s="18">
        <v>250</v>
      </c>
      <c r="M34" s="18">
        <v>243</v>
      </c>
      <c r="N34" s="18">
        <v>299</v>
      </c>
      <c r="O34" s="18">
        <v>94</v>
      </c>
      <c r="P34" s="18">
        <v>240</v>
      </c>
      <c r="Q34" s="17">
        <v>7</v>
      </c>
      <c r="R34" s="17">
        <v>4</v>
      </c>
      <c r="S34" s="17" t="s">
        <v>89</v>
      </c>
      <c r="T34" s="17" t="s">
        <v>89</v>
      </c>
      <c r="U34" s="17">
        <v>4</v>
      </c>
      <c r="V34" s="3">
        <v>8</v>
      </c>
      <c r="W34" s="20">
        <v>36</v>
      </c>
      <c r="X34" s="17">
        <v>8</v>
      </c>
      <c r="Y34" s="17">
        <v>6</v>
      </c>
      <c r="Z34" s="17">
        <v>6</v>
      </c>
      <c r="AA34" s="20">
        <f>32*3</f>
        <v>96</v>
      </c>
      <c r="AB34" s="3"/>
      <c r="AC34" s="3"/>
      <c r="AD34" s="20"/>
      <c r="AE34" s="3"/>
      <c r="AF34" s="3"/>
      <c r="AG34" s="20"/>
      <c r="AH34" s="107" t="s">
        <v>164</v>
      </c>
      <c r="AI34" s="107"/>
      <c r="AJ34" s="107"/>
      <c r="AK34" s="107"/>
      <c r="AL34" s="108"/>
      <c r="AN34" s="67">
        <f t="shared" si="2"/>
        <v>0.11271120516181554</v>
      </c>
      <c r="AO34" s="67">
        <f t="shared" si="2"/>
        <v>-0.37882843493125051</v>
      </c>
      <c r="AP34" s="67">
        <f t="shared" si="2"/>
        <v>-0.31296138205104285</v>
      </c>
      <c r="AY34" s="67">
        <f t="shared" si="0"/>
        <v>298.88728879483818</v>
      </c>
      <c r="AZ34" s="67">
        <f t="shared" si="1"/>
        <v>94.378828434931251</v>
      </c>
      <c r="BA34" s="67">
        <f t="shared" si="3"/>
        <v>240.31296138205104</v>
      </c>
      <c r="BC34">
        <f t="shared" si="4"/>
        <v>31.668891609615997</v>
      </c>
      <c r="BD34">
        <v>1013.2</v>
      </c>
      <c r="BE34">
        <f t="shared" si="5"/>
        <v>30.369908289271816</v>
      </c>
    </row>
    <row r="35" spans="1:57" x14ac:dyDescent="0.2">
      <c r="A35" s="13">
        <v>26</v>
      </c>
      <c r="B35" s="3">
        <v>10</v>
      </c>
      <c r="C35" s="17">
        <v>2</v>
      </c>
      <c r="D35" s="3">
        <v>4</v>
      </c>
      <c r="E35" s="18">
        <v>13</v>
      </c>
      <c r="F35" s="18">
        <v>11</v>
      </c>
      <c r="G35" s="18">
        <v>70</v>
      </c>
      <c r="H35" s="19">
        <v>1</v>
      </c>
      <c r="I35" s="18">
        <v>5</v>
      </c>
      <c r="J35" s="18">
        <v>0</v>
      </c>
      <c r="K35" s="20">
        <v>152</v>
      </c>
      <c r="L35" s="18">
        <v>291</v>
      </c>
      <c r="M35" s="18">
        <v>256</v>
      </c>
      <c r="N35" s="18">
        <v>300</v>
      </c>
      <c r="O35" s="18">
        <v>74</v>
      </c>
      <c r="P35" s="18">
        <v>241</v>
      </c>
      <c r="Q35" s="17">
        <v>2</v>
      </c>
      <c r="R35" s="17">
        <v>2</v>
      </c>
      <c r="S35" s="17">
        <v>4</v>
      </c>
      <c r="T35" s="17">
        <v>0</v>
      </c>
      <c r="U35" s="17">
        <v>2</v>
      </c>
      <c r="V35" s="3">
        <v>8</v>
      </c>
      <c r="W35" s="20">
        <v>69</v>
      </c>
      <c r="X35" s="17">
        <v>8</v>
      </c>
      <c r="Y35" s="3"/>
      <c r="Z35" s="3"/>
      <c r="AA35" s="20"/>
      <c r="AB35" s="3"/>
      <c r="AC35" s="3"/>
      <c r="AD35" s="20"/>
      <c r="AE35" s="3"/>
      <c r="AF35" s="3"/>
      <c r="AG35" s="20"/>
      <c r="AH35" s="107" t="s">
        <v>85</v>
      </c>
      <c r="AI35" s="107"/>
      <c r="AJ35" s="107"/>
      <c r="AK35" s="107"/>
      <c r="AL35" s="108"/>
      <c r="AN35" s="67">
        <f t="shared" si="2"/>
        <v>-4.1134968777389531</v>
      </c>
      <c r="AO35" s="67">
        <f t="shared" si="2"/>
        <v>-1.4641972609463778</v>
      </c>
      <c r="AP35" s="67">
        <f t="shared" si="2"/>
        <v>-2.1995952864708102</v>
      </c>
      <c r="AY35" s="67">
        <f t="shared" si="0"/>
        <v>304.11349687773895</v>
      </c>
      <c r="AZ35" s="67">
        <f t="shared" si="1"/>
        <v>75.464197260946378</v>
      </c>
      <c r="BA35" s="67">
        <f t="shared" si="3"/>
        <v>243.19959528647081</v>
      </c>
      <c r="BC35">
        <f t="shared" si="4"/>
        <v>40.299043508824454</v>
      </c>
      <c r="BD35">
        <v>1013.2</v>
      </c>
      <c r="BE35">
        <f t="shared" si="5"/>
        <v>32.820745772253893</v>
      </c>
    </row>
    <row r="36" spans="1:57" x14ac:dyDescent="0.2">
      <c r="A36" s="13">
        <v>27</v>
      </c>
      <c r="B36" s="3">
        <v>10</v>
      </c>
      <c r="C36" s="17">
        <v>5</v>
      </c>
      <c r="D36" s="3">
        <v>4</v>
      </c>
      <c r="E36" s="18">
        <v>9</v>
      </c>
      <c r="F36" s="18">
        <v>18</v>
      </c>
      <c r="G36" s="18">
        <v>68</v>
      </c>
      <c r="H36" s="19">
        <v>1</v>
      </c>
      <c r="I36" s="18">
        <v>5</v>
      </c>
      <c r="J36" s="18">
        <v>22</v>
      </c>
      <c r="K36" s="20">
        <v>145</v>
      </c>
      <c r="L36" s="18">
        <v>295</v>
      </c>
      <c r="M36" s="18">
        <v>260</v>
      </c>
      <c r="N36" s="18">
        <v>307</v>
      </c>
      <c r="O36" s="18">
        <v>74</v>
      </c>
      <c r="P36" s="18">
        <v>245</v>
      </c>
      <c r="Q36" s="17">
        <v>4</v>
      </c>
      <c r="R36" s="17">
        <v>8</v>
      </c>
      <c r="S36" s="17">
        <v>4</v>
      </c>
      <c r="T36" s="17">
        <v>1</v>
      </c>
      <c r="U36" s="17">
        <v>3</v>
      </c>
      <c r="V36" s="3">
        <v>8</v>
      </c>
      <c r="W36" s="20">
        <v>54</v>
      </c>
      <c r="X36" s="17">
        <v>8</v>
      </c>
      <c r="Y36" s="17">
        <v>3</v>
      </c>
      <c r="Z36" s="17">
        <v>0</v>
      </c>
      <c r="AA36" s="20">
        <v>870</v>
      </c>
      <c r="AB36" s="3"/>
      <c r="AC36" s="3"/>
      <c r="AD36" s="20"/>
      <c r="AE36" s="3"/>
      <c r="AF36" s="3"/>
      <c r="AG36" s="20"/>
      <c r="AH36" s="107" t="s">
        <v>85</v>
      </c>
      <c r="AI36" s="107"/>
      <c r="AJ36" s="107"/>
      <c r="AK36" s="107"/>
      <c r="AL36" s="108"/>
      <c r="AN36" s="67">
        <f t="shared" si="2"/>
        <v>-4.9838754933643941</v>
      </c>
      <c r="AO36" s="67">
        <f t="shared" si="2"/>
        <v>-1.6475396110758567</v>
      </c>
      <c r="AP36" s="67">
        <f t="shared" si="2"/>
        <v>-2.4657982051684542</v>
      </c>
      <c r="AY36" s="67">
        <f t="shared" si="0"/>
        <v>311.98387549336439</v>
      </c>
      <c r="AZ36" s="67">
        <f t="shared" si="1"/>
        <v>75.647539611075857</v>
      </c>
      <c r="BA36" s="67">
        <f t="shared" si="3"/>
        <v>247.46579820516845</v>
      </c>
      <c r="BC36">
        <f t="shared" si="4"/>
        <v>41.241774299251048</v>
      </c>
      <c r="BD36">
        <v>1013.2</v>
      </c>
      <c r="BE36">
        <f t="shared" si="5"/>
        <v>33.608860260136439</v>
      </c>
    </row>
    <row r="37" spans="1:57" x14ac:dyDescent="0.2">
      <c r="A37" s="13">
        <v>28</v>
      </c>
      <c r="B37" s="3">
        <v>10</v>
      </c>
      <c r="C37" s="17">
        <v>7</v>
      </c>
      <c r="D37" s="3">
        <v>4</v>
      </c>
      <c r="E37" s="18">
        <v>5</v>
      </c>
      <c r="F37" s="18">
        <v>3</v>
      </c>
      <c r="G37" s="18">
        <v>60</v>
      </c>
      <c r="H37" s="19">
        <v>1</v>
      </c>
      <c r="I37" s="18">
        <v>15</v>
      </c>
      <c r="J37" s="18">
        <v>62</v>
      </c>
      <c r="K37" s="20">
        <v>170</v>
      </c>
      <c r="L37" s="18">
        <v>265</v>
      </c>
      <c r="M37" s="18">
        <v>255</v>
      </c>
      <c r="N37" s="18">
        <v>319</v>
      </c>
      <c r="O37" s="18">
        <v>92</v>
      </c>
      <c r="P37" s="18">
        <v>251</v>
      </c>
      <c r="Q37" s="17">
        <v>7</v>
      </c>
      <c r="R37" s="17">
        <v>8</v>
      </c>
      <c r="S37" s="17" t="s">
        <v>89</v>
      </c>
      <c r="T37" s="17" t="s">
        <v>89</v>
      </c>
      <c r="U37" s="17">
        <v>3</v>
      </c>
      <c r="V37" s="3">
        <v>8</v>
      </c>
      <c r="W37" s="20">
        <v>48</v>
      </c>
      <c r="X37" s="17">
        <v>8</v>
      </c>
      <c r="Y37" s="17">
        <v>7</v>
      </c>
      <c r="Z37" s="17">
        <v>6</v>
      </c>
      <c r="AA37" s="20">
        <v>114</v>
      </c>
      <c r="AB37" s="3"/>
      <c r="AC37" s="3"/>
      <c r="AD37" s="20"/>
      <c r="AE37" s="3"/>
      <c r="AF37" s="3"/>
      <c r="AG37" s="20"/>
      <c r="AH37" s="107" t="s">
        <v>193</v>
      </c>
      <c r="AI37" s="107"/>
      <c r="AJ37" s="107"/>
      <c r="AK37" s="107"/>
      <c r="AL37" s="108"/>
      <c r="AN37" s="67">
        <f t="shared" si="2"/>
        <v>-0.37940173614038031</v>
      </c>
      <c r="AO37" s="67">
        <f t="shared" si="2"/>
        <v>-0.26019796771909398</v>
      </c>
      <c r="AP37" s="67">
        <f t="shared" si="2"/>
        <v>-0.38960215915471963</v>
      </c>
      <c r="AY37" s="67">
        <f t="shared" si="0"/>
        <v>319.37940173614038</v>
      </c>
      <c r="AZ37" s="67">
        <f t="shared" si="1"/>
        <v>92.260197967719094</v>
      </c>
      <c r="BA37" s="67">
        <f t="shared" si="3"/>
        <v>251.38960215915472</v>
      </c>
      <c r="BC37">
        <f t="shared" si="4"/>
        <v>34.617246523564582</v>
      </c>
      <c r="BD37">
        <v>1013.2</v>
      </c>
      <c r="BE37">
        <f t="shared" si="5"/>
        <v>32.626262153014039</v>
      </c>
    </row>
    <row r="38" spans="1:57" x14ac:dyDescent="0.2">
      <c r="A38" s="13">
        <v>29</v>
      </c>
      <c r="B38" s="3">
        <v>10</v>
      </c>
      <c r="C38" s="17">
        <v>7</v>
      </c>
      <c r="D38" s="3">
        <v>4</v>
      </c>
      <c r="E38" s="18">
        <v>5</v>
      </c>
      <c r="F38" s="18">
        <v>9</v>
      </c>
      <c r="G38" s="18">
        <v>60</v>
      </c>
      <c r="H38" s="19">
        <v>1</v>
      </c>
      <c r="I38" s="18">
        <v>61</v>
      </c>
      <c r="J38" s="18">
        <v>22</v>
      </c>
      <c r="K38" s="20">
        <v>162</v>
      </c>
      <c r="L38" s="18">
        <v>249</v>
      </c>
      <c r="M38" s="18">
        <v>244</v>
      </c>
      <c r="N38" s="18">
        <v>302</v>
      </c>
      <c r="O38" s="18">
        <v>96</v>
      </c>
      <c r="P38" s="18">
        <v>242</v>
      </c>
      <c r="Q38" s="17">
        <v>7</v>
      </c>
      <c r="R38" s="17">
        <v>8</v>
      </c>
      <c r="S38" s="17">
        <v>7</v>
      </c>
      <c r="T38" s="17">
        <v>0</v>
      </c>
      <c r="U38" s="17">
        <v>2</v>
      </c>
      <c r="V38" s="3">
        <v>8</v>
      </c>
      <c r="W38" s="20">
        <v>45</v>
      </c>
      <c r="X38" s="17">
        <v>8</v>
      </c>
      <c r="Y38" s="17">
        <v>7</v>
      </c>
      <c r="Z38" s="17">
        <v>6</v>
      </c>
      <c r="AA38" s="20">
        <v>90</v>
      </c>
      <c r="AB38" s="17">
        <v>6</v>
      </c>
      <c r="AC38" s="17">
        <v>4</v>
      </c>
      <c r="AD38" s="20">
        <v>210</v>
      </c>
      <c r="AE38" s="3"/>
      <c r="AF38" s="3"/>
      <c r="AG38" s="20"/>
      <c r="AH38" s="107" t="s">
        <v>203</v>
      </c>
      <c r="AI38" s="107"/>
      <c r="AJ38" s="107"/>
      <c r="AK38" s="107"/>
      <c r="AL38" s="108"/>
      <c r="AN38" s="67">
        <f t="shared" si="2"/>
        <v>-8.8344769084528707E-2</v>
      </c>
      <c r="AO38" s="67">
        <f t="shared" si="2"/>
        <v>3.9217562429641362E-2</v>
      </c>
      <c r="AP38" s="67">
        <f t="shared" si="2"/>
        <v>-8.6219449184454788E-2</v>
      </c>
      <c r="AY38" s="67">
        <f t="shared" si="0"/>
        <v>302.08834476908453</v>
      </c>
      <c r="AZ38" s="67">
        <f t="shared" si="1"/>
        <v>95.960782437570359</v>
      </c>
      <c r="BA38" s="67">
        <f t="shared" si="3"/>
        <v>242.08621944918445</v>
      </c>
      <c r="BC38">
        <f t="shared" si="4"/>
        <v>31.480396167633955</v>
      </c>
      <c r="BD38">
        <v>1013.2</v>
      </c>
      <c r="BE38">
        <f t="shared" si="5"/>
        <v>30.552572506268454</v>
      </c>
    </row>
    <row r="39" spans="1:57" x14ac:dyDescent="0.2">
      <c r="A39" s="13">
        <v>30</v>
      </c>
      <c r="B39" s="3">
        <v>10</v>
      </c>
      <c r="C39" s="17">
        <v>6</v>
      </c>
      <c r="D39" s="3">
        <v>4</v>
      </c>
      <c r="E39" s="18">
        <v>5</v>
      </c>
      <c r="F39" s="18">
        <v>10</v>
      </c>
      <c r="G39" s="18">
        <v>66</v>
      </c>
      <c r="H39" s="19">
        <v>1</v>
      </c>
      <c r="I39" s="18">
        <v>5</v>
      </c>
      <c r="J39" s="18">
        <v>22</v>
      </c>
      <c r="K39" s="20">
        <v>142</v>
      </c>
      <c r="L39" s="18">
        <v>288</v>
      </c>
      <c r="M39" s="18">
        <v>246</v>
      </c>
      <c r="N39" s="18">
        <v>275</v>
      </c>
      <c r="O39" s="18">
        <v>69</v>
      </c>
      <c r="P39" s="18">
        <v>226</v>
      </c>
      <c r="Q39" s="17">
        <v>4</v>
      </c>
      <c r="R39" s="17">
        <v>8</v>
      </c>
      <c r="S39" s="17">
        <v>7</v>
      </c>
      <c r="T39" s="17">
        <v>2</v>
      </c>
      <c r="U39" s="17">
        <v>2</v>
      </c>
      <c r="V39" s="3">
        <v>8</v>
      </c>
      <c r="W39" s="20">
        <v>54</v>
      </c>
      <c r="X39" s="17">
        <v>8</v>
      </c>
      <c r="Y39" s="17">
        <v>3</v>
      </c>
      <c r="Z39" s="17">
        <v>6</v>
      </c>
      <c r="AA39" s="20">
        <v>105</v>
      </c>
      <c r="AB39" s="3"/>
      <c r="AC39" s="3"/>
      <c r="AD39" s="20"/>
      <c r="AE39" s="3"/>
      <c r="AF39" s="3"/>
      <c r="AG39" s="20"/>
      <c r="AH39" s="107" t="s">
        <v>85</v>
      </c>
      <c r="AI39" s="107"/>
      <c r="AJ39" s="107"/>
      <c r="AK39" s="107"/>
      <c r="AL39" s="108"/>
      <c r="AN39" s="67">
        <f t="shared" si="2"/>
        <v>-5.3274313867697174</v>
      </c>
      <c r="AO39" s="67">
        <f t="shared" si="2"/>
        <v>-1.7818930766208894</v>
      </c>
      <c r="AP39" s="67">
        <f t="shared" si="2"/>
        <v>-3.6911227466145817</v>
      </c>
      <c r="AY39" s="67">
        <f t="shared" si="0"/>
        <v>280.32743138676972</v>
      </c>
      <c r="AZ39" s="67">
        <f t="shared" si="1"/>
        <v>70.781893076620889</v>
      </c>
      <c r="BA39" s="67">
        <f t="shared" si="3"/>
        <v>229.69112274661458</v>
      </c>
      <c r="BC39">
        <f t="shared" si="4"/>
        <v>39.60439869605031</v>
      </c>
      <c r="BD39">
        <v>1013.2</v>
      </c>
      <c r="BE39">
        <f t="shared" si="5"/>
        <v>30.920788561092973</v>
      </c>
    </row>
    <row r="40" spans="1:57" x14ac:dyDescent="0.2">
      <c r="A40" s="13"/>
      <c r="B40" s="3"/>
      <c r="C40" s="17"/>
      <c r="D40" s="3"/>
      <c r="E40" s="18"/>
      <c r="F40" s="18"/>
      <c r="G40" s="18"/>
      <c r="H40" s="19"/>
      <c r="I40" s="18"/>
      <c r="J40" s="18"/>
      <c r="K40" s="20"/>
      <c r="L40" s="18"/>
      <c r="M40" s="18"/>
      <c r="N40" s="18"/>
      <c r="O40" s="18"/>
      <c r="P40" s="18"/>
      <c r="Q40" s="17"/>
      <c r="R40" s="17"/>
      <c r="S40" s="17"/>
      <c r="T40" s="17"/>
      <c r="U40" s="17"/>
      <c r="V40" s="3"/>
      <c r="W40" s="20"/>
      <c r="X40" s="17"/>
      <c r="Y40" s="3"/>
      <c r="Z40" s="3"/>
      <c r="AA40" s="20"/>
      <c r="AB40" s="3"/>
      <c r="AC40" s="3"/>
      <c r="AD40" s="20"/>
      <c r="AE40" s="3"/>
      <c r="AF40" s="3"/>
      <c r="AG40" s="20"/>
      <c r="AH40" s="107"/>
      <c r="AI40" s="107"/>
      <c r="AJ40" s="107"/>
      <c r="AK40" s="107"/>
      <c r="AL40" s="108"/>
      <c r="AN40" s="67"/>
      <c r="AO40" s="67"/>
      <c r="AP40" s="67"/>
      <c r="AY40" s="67">
        <f t="shared" si="0"/>
        <v>61.120000000000005</v>
      </c>
      <c r="AZ40" s="67">
        <f t="shared" si="1"/>
        <v>100</v>
      </c>
      <c r="BA40" s="67">
        <f t="shared" si="3"/>
        <v>0</v>
      </c>
      <c r="BC40">
        <f t="shared" si="4"/>
        <v>6.1120000000000001</v>
      </c>
      <c r="BD40">
        <v>1013.2</v>
      </c>
      <c r="BE40">
        <f t="shared" si="5"/>
        <v>6.1120000000000001</v>
      </c>
    </row>
    <row r="41" spans="1:57" x14ac:dyDescent="0.2">
      <c r="A41" s="18"/>
      <c r="B41" s="3"/>
      <c r="C41" s="17"/>
      <c r="D41" s="3"/>
      <c r="E41" s="18"/>
      <c r="F41" s="18"/>
      <c r="G41" s="18"/>
      <c r="H41" s="19"/>
      <c r="I41" s="18"/>
      <c r="J41" s="18"/>
      <c r="K41" s="20"/>
      <c r="L41" s="18"/>
      <c r="M41" s="18"/>
      <c r="N41" s="18"/>
      <c r="O41" s="18"/>
      <c r="P41" s="18"/>
      <c r="Q41" s="17"/>
      <c r="R41" s="17"/>
      <c r="S41" s="17"/>
      <c r="T41" s="17"/>
      <c r="U41" s="17"/>
      <c r="V41" s="3"/>
      <c r="W41" s="20"/>
      <c r="X41" s="3"/>
      <c r="Y41" s="3"/>
      <c r="Z41" s="3"/>
      <c r="AA41" s="20"/>
      <c r="AB41" s="3"/>
      <c r="AC41" s="3"/>
      <c r="AD41" s="20"/>
      <c r="AE41" s="3"/>
      <c r="AF41" s="3"/>
      <c r="AG41" s="20"/>
      <c r="AH41" s="109" t="s">
        <v>231</v>
      </c>
      <c r="AI41" s="107"/>
      <c r="AJ41" s="107"/>
      <c r="AK41" s="107"/>
      <c r="AL41" s="108"/>
      <c r="AN41" s="67"/>
      <c r="AO41" s="67"/>
      <c r="AP41" s="67"/>
    </row>
    <row r="42" spans="1:57" x14ac:dyDescent="0.2">
      <c r="A42" s="13" t="s">
        <v>9</v>
      </c>
      <c r="B42" s="1"/>
      <c r="C42" s="21">
        <f>SUM(C10:C40)</f>
        <v>159</v>
      </c>
      <c r="D42" s="1"/>
      <c r="E42" s="13"/>
      <c r="F42" s="13">
        <f>SUM(F10:F40)</f>
        <v>365</v>
      </c>
      <c r="G42" s="13"/>
      <c r="H42" s="2"/>
      <c r="I42" s="13"/>
      <c r="J42" s="13"/>
      <c r="K42" s="22">
        <f>SUM(K10:K40)</f>
        <v>4322</v>
      </c>
      <c r="L42" s="13">
        <f>SUM(L10:L40)</f>
        <v>8538</v>
      </c>
      <c r="M42" s="13">
        <f>SUM(M10:M40)</f>
        <v>7525</v>
      </c>
      <c r="N42" s="13">
        <f>SUM(N10:N40)</f>
        <v>8743</v>
      </c>
      <c r="O42" s="13">
        <f>SUM(O10:O40)</f>
        <v>2268</v>
      </c>
      <c r="P42" s="13">
        <f t="shared" ref="P42" si="6">SUM(P10:P40)</f>
        <v>7072</v>
      </c>
      <c r="Q42" s="21">
        <f>SUM(Q10:Q40)</f>
        <v>109</v>
      </c>
      <c r="R42" s="21"/>
      <c r="S42" s="21"/>
      <c r="T42" s="21"/>
      <c r="U42" s="21"/>
      <c r="V42" s="1"/>
      <c r="W42" s="22"/>
      <c r="X42" s="1"/>
      <c r="Y42" s="1"/>
      <c r="Z42" s="1"/>
      <c r="AA42" s="22"/>
      <c r="AB42" s="1"/>
      <c r="AC42" s="1"/>
      <c r="AD42" s="22"/>
      <c r="AE42" s="1"/>
      <c r="AF42" s="1"/>
      <c r="AG42" s="22"/>
      <c r="AH42" s="116"/>
      <c r="AI42" s="116"/>
      <c r="AJ42" s="116"/>
      <c r="AK42" s="116"/>
      <c r="AL42" s="117"/>
      <c r="AN42" s="67"/>
      <c r="AO42" s="67"/>
      <c r="AP42" s="67"/>
    </row>
    <row r="43" spans="1:57" ht="13.5" thickBot="1" x14ac:dyDescent="0.25">
      <c r="A43" s="23" t="s">
        <v>10</v>
      </c>
      <c r="B43" s="24"/>
      <c r="C43" s="25">
        <f>AVERAGE(C10:C40)</f>
        <v>5.3</v>
      </c>
      <c r="D43" s="24"/>
      <c r="E43" s="23">
        <f>MODE(E10:E40)</f>
        <v>9</v>
      </c>
      <c r="F43" s="23">
        <f>AVERAGE(F10:F40)</f>
        <v>12.166666666666666</v>
      </c>
      <c r="G43" s="23"/>
      <c r="H43" s="26"/>
      <c r="I43" s="23"/>
      <c r="J43" s="23"/>
      <c r="K43" s="27">
        <f>AVERAGE(K10:K40)</f>
        <v>144.06666666666666</v>
      </c>
      <c r="L43" s="23">
        <f t="shared" ref="L43:Q43" si="7">AVERAGE(L10:L40)</f>
        <v>284.60000000000002</v>
      </c>
      <c r="M43" s="23">
        <f t="shared" si="7"/>
        <v>250.83333333333334</v>
      </c>
      <c r="N43" s="23">
        <f t="shared" si="7"/>
        <v>291.43333333333334</v>
      </c>
      <c r="O43" s="23">
        <f t="shared" si="7"/>
        <v>75.599999999999994</v>
      </c>
      <c r="P43" s="23">
        <f>AVERAGE(P10:P40)</f>
        <v>235.73333333333332</v>
      </c>
      <c r="Q43" s="25">
        <f t="shared" si="7"/>
        <v>3.6333333333333333</v>
      </c>
      <c r="R43" s="25"/>
      <c r="S43" s="25"/>
      <c r="T43" s="25"/>
      <c r="U43" s="25"/>
      <c r="V43" s="24"/>
      <c r="W43" s="27"/>
      <c r="X43" s="24"/>
      <c r="Y43" s="24"/>
      <c r="Z43" s="24"/>
      <c r="AA43" s="27"/>
      <c r="AB43" s="24"/>
      <c r="AC43" s="24"/>
      <c r="AD43" s="27"/>
      <c r="AE43" s="24"/>
      <c r="AF43" s="24"/>
      <c r="AG43" s="27"/>
      <c r="AH43" s="111"/>
      <c r="AI43" s="111"/>
      <c r="AJ43" s="111"/>
      <c r="AK43" s="111"/>
      <c r="AL43" s="112"/>
      <c r="AN43" s="67">
        <f>AVERAGE(AN10:AN40)</f>
        <v>-3.7924667013017768</v>
      </c>
      <c r="AO43" s="67">
        <f t="shared" ref="AO43:AP43" si="8">AVERAGE(AO10:AO40)</f>
        <v>-0.95772284966996135</v>
      </c>
      <c r="AP43" s="67">
        <f t="shared" si="8"/>
        <v>-2.3058817629103099</v>
      </c>
    </row>
    <row r="44" spans="1:57" x14ac:dyDescent="0.2">
      <c r="E44" s="11"/>
      <c r="G44" s="11"/>
      <c r="K44" s="4"/>
      <c r="M44" s="11"/>
      <c r="P44" s="11"/>
      <c r="Q44" s="11"/>
      <c r="W44" s="4"/>
      <c r="AA44" s="4"/>
      <c r="AD44" s="4"/>
    </row>
    <row r="45" spans="1:57" x14ac:dyDescent="0.2">
      <c r="A45" s="64"/>
      <c r="E45" s="11"/>
      <c r="G45" s="11"/>
      <c r="K45" s="4"/>
      <c r="M45" s="11"/>
      <c r="P45" s="11"/>
      <c r="Q45" s="11"/>
      <c r="W45" s="4"/>
      <c r="AA45" s="4"/>
    </row>
    <row r="46" spans="1:57" x14ac:dyDescent="0.2">
      <c r="E46" s="11"/>
      <c r="G46" s="11"/>
      <c r="M46" s="11"/>
      <c r="P46" s="11"/>
      <c r="Q46" s="11"/>
      <c r="W46" s="4"/>
      <c r="AA46" s="4"/>
    </row>
    <row r="47" spans="1:57" x14ac:dyDescent="0.2">
      <c r="E47" s="11"/>
      <c r="G47" s="11"/>
      <c r="M47" s="11"/>
      <c r="P47" s="11"/>
      <c r="Q47" s="11"/>
    </row>
    <row r="48" spans="1:57" x14ac:dyDescent="0.2">
      <c r="A48" s="65"/>
      <c r="B48" s="65"/>
      <c r="C48" s="65"/>
      <c r="D48" s="65"/>
      <c r="E48" s="66"/>
      <c r="F48" s="65"/>
      <c r="G48" s="66"/>
      <c r="H48" s="65"/>
      <c r="I48" s="65"/>
      <c r="J48" s="65"/>
      <c r="K48" s="65"/>
      <c r="L48" s="65"/>
      <c r="M48" s="66"/>
      <c r="N48" s="65"/>
      <c r="O48" s="65"/>
      <c r="P48" s="11"/>
      <c r="Q48" s="11"/>
    </row>
    <row r="49" spans="5:17" x14ac:dyDescent="0.2">
      <c r="E49" s="11"/>
      <c r="G49" s="11"/>
      <c r="M49" s="11"/>
      <c r="P49" s="11"/>
      <c r="Q49" s="11"/>
    </row>
  </sheetData>
  <mergeCells count="72">
    <mergeCell ref="AH41:AL41"/>
    <mergeCell ref="AH42:AL42"/>
    <mergeCell ref="AH43:AL43"/>
    <mergeCell ref="AH36:AL36"/>
    <mergeCell ref="AH37:AL37"/>
    <mergeCell ref="AH38:AL38"/>
    <mergeCell ref="AH39:AL39"/>
    <mergeCell ref="AH40:AL40"/>
    <mergeCell ref="AH31:AL31"/>
    <mergeCell ref="AH32:AL32"/>
    <mergeCell ref="AH33:AL33"/>
    <mergeCell ref="AH34:AL34"/>
    <mergeCell ref="AH35:AL35"/>
    <mergeCell ref="AH26:AL26"/>
    <mergeCell ref="AH27:AL27"/>
    <mergeCell ref="AH28:AL28"/>
    <mergeCell ref="AH29:AL29"/>
    <mergeCell ref="AH30:AL30"/>
    <mergeCell ref="AH21:AL21"/>
    <mergeCell ref="AH22:AL22"/>
    <mergeCell ref="AH23:AL23"/>
    <mergeCell ref="AH24:AL24"/>
    <mergeCell ref="AH25:AL25"/>
    <mergeCell ref="AH16:AL16"/>
    <mergeCell ref="AH17:AL17"/>
    <mergeCell ref="AH18:AL18"/>
    <mergeCell ref="AH19:AL19"/>
    <mergeCell ref="AH20:AL20"/>
    <mergeCell ref="AH11:AL11"/>
    <mergeCell ref="AH12:AL12"/>
    <mergeCell ref="AH13:AL13"/>
    <mergeCell ref="AH14:AL14"/>
    <mergeCell ref="AH15:AL15"/>
    <mergeCell ref="U8:W8"/>
    <mergeCell ref="X8:AA8"/>
    <mergeCell ref="AB8:AD8"/>
    <mergeCell ref="AE8:AG8"/>
    <mergeCell ref="AH10:AL10"/>
    <mergeCell ref="AH7:AL9"/>
    <mergeCell ref="P8:P9"/>
    <mergeCell ref="Q8:Q9"/>
    <mergeCell ref="R8:R9"/>
    <mergeCell ref="S8:S9"/>
    <mergeCell ref="T8:T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3:T3"/>
    <mergeCell ref="E7:F7"/>
    <mergeCell ref="L7:P7"/>
    <mergeCell ref="Q7:T7"/>
    <mergeCell ref="U7:AG7"/>
    <mergeCell ref="AN7:AP7"/>
    <mergeCell ref="AY7:BA7"/>
    <mergeCell ref="AN8:AN9"/>
    <mergeCell ref="AO8:AO9"/>
    <mergeCell ref="AP8:AP9"/>
    <mergeCell ref="AY8:AY9"/>
    <mergeCell ref="AZ8:AZ9"/>
    <mergeCell ref="BA8:BA9"/>
  </mergeCells>
  <phoneticPr fontId="2" type="noConversion"/>
  <dataValidations count="5">
    <dataValidation type="whole" allowBlank="1" showInputMessage="1" showErrorMessage="1" sqref="C10:C40" xr:uid="{00000000-0002-0000-0900-000000000000}">
      <formula1>0</formula1>
      <formula2>9</formula2>
    </dataValidation>
    <dataValidation type="whole" allowBlank="1" showInputMessage="1" showErrorMessage="1" sqref="AE10:AE40" xr:uid="{00000000-0002-0000-0900-000001000000}">
      <formula1>1</formula1>
      <formula2>9</formula2>
    </dataValidation>
    <dataValidation type="whole" allowBlank="1" showInputMessage="1" showErrorMessage="1" sqref="D10:D40" xr:uid="{00000000-0002-0000-0900-000002000000}">
      <formula1>0</formula1>
      <formula2>4</formula2>
    </dataValidation>
    <dataValidation type="whole" allowBlank="1" showInputMessage="1" showErrorMessage="1" sqref="AB10:AB40" xr:uid="{00000000-0002-0000-0900-000003000000}">
      <formula1>5</formula1>
      <formula2>9</formula2>
    </dataValidation>
    <dataValidation type="whole" allowBlank="1" showInputMessage="1" showErrorMessage="1" sqref="Y10:Y40" xr:uid="{00000000-0002-0000-0900-000004000000}">
      <formula1>3</formula1>
      <formula2>9</formula2>
    </dataValidation>
  </dataValidations>
  <pageMargins left="0.75" right="0.75" top="1" bottom="1" header="0.5" footer="0.5"/>
  <pageSetup orientation="portrait" horizont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49"/>
  <sheetViews>
    <sheetView workbookViewId="0">
      <pane xSplit="2" ySplit="9" topLeftCell="C10" activePane="bottomRight" state="frozen"/>
      <selection activeCell="AM2" sqref="AM2"/>
      <selection pane="topRight" activeCell="AM2" sqref="AM2"/>
      <selection pane="bottomLeft" activeCell="AM2" sqref="AM2"/>
      <selection pane="bottomRight" activeCell="AM41" sqref="AM41"/>
    </sheetView>
  </sheetViews>
  <sheetFormatPr defaultRowHeight="12.75" x14ac:dyDescent="0.2"/>
  <cols>
    <col min="1" max="1" width="4.28515625" bestFit="1" customWidth="1"/>
    <col min="2" max="2" width="5.140625" bestFit="1" customWidth="1"/>
    <col min="3" max="3" width="4" bestFit="1" customWidth="1"/>
    <col min="4" max="5" width="3" bestFit="1" customWidth="1"/>
    <col min="6" max="6" width="4" bestFit="1" customWidth="1"/>
    <col min="7" max="10" width="3" bestFit="1" customWidth="1"/>
    <col min="11" max="11" width="8.5703125" bestFit="1" customWidth="1"/>
    <col min="12" max="16" width="5" bestFit="1" customWidth="1"/>
    <col min="17" max="17" width="4" bestFit="1" customWidth="1"/>
    <col min="18" max="22" width="3" bestFit="1" customWidth="1"/>
    <col min="23" max="23" width="5.28515625" bestFit="1" customWidth="1"/>
    <col min="24" max="26" width="3" bestFit="1" customWidth="1"/>
    <col min="27" max="27" width="5.28515625" bestFit="1" customWidth="1"/>
    <col min="28" max="29" width="3" bestFit="1" customWidth="1"/>
    <col min="30" max="30" width="5.28515625" bestFit="1" customWidth="1"/>
    <col min="31" max="32" width="3" bestFit="1" customWidth="1"/>
    <col min="33" max="33" width="5.28515625" bestFit="1" customWidth="1"/>
    <col min="34" max="34" width="5.42578125" customWidth="1"/>
    <col min="40" max="42" width="4.7109375" customWidth="1"/>
    <col min="50" max="58" width="0" hidden="1" customWidth="1"/>
  </cols>
  <sheetData>
    <row r="1" spans="1:5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  <c r="P1" s="1"/>
      <c r="Q1" s="1"/>
      <c r="R1" s="1"/>
    </row>
    <row r="2" spans="1:57" ht="36.75" customHeight="1" x14ac:dyDescent="0.2">
      <c r="A2" s="1"/>
      <c r="B2" s="1"/>
      <c r="C2" s="1"/>
      <c r="D2" s="1"/>
      <c r="E2" s="1"/>
      <c r="F2" s="1"/>
      <c r="G2" s="1"/>
      <c r="H2" s="1"/>
      <c r="I2" s="2"/>
      <c r="J2" s="2"/>
      <c r="K2" s="1"/>
      <c r="L2" s="1"/>
      <c r="M2" s="1"/>
      <c r="O2" s="2"/>
      <c r="P2" s="1"/>
      <c r="Q2" s="1"/>
      <c r="R2" s="1"/>
    </row>
    <row r="3" spans="1:5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80"/>
      <c r="Q3" s="80"/>
      <c r="R3" s="80"/>
      <c r="S3" s="80"/>
      <c r="T3" s="80"/>
    </row>
    <row r="4" spans="1:5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7" spans="1:57" ht="14.25" x14ac:dyDescent="0.25">
      <c r="A7" s="7"/>
      <c r="B7" s="7"/>
      <c r="C7" s="7"/>
      <c r="D7" s="7"/>
      <c r="E7" s="81" t="s">
        <v>20</v>
      </c>
      <c r="F7" s="81"/>
      <c r="G7" s="7"/>
      <c r="H7" s="7"/>
      <c r="I7" s="7"/>
      <c r="J7" s="7"/>
      <c r="K7" s="7"/>
      <c r="L7" s="82" t="s">
        <v>11</v>
      </c>
      <c r="M7" s="82"/>
      <c r="N7" s="82"/>
      <c r="O7" s="82"/>
      <c r="P7" s="82"/>
      <c r="Q7" s="83" t="s">
        <v>29</v>
      </c>
      <c r="R7" s="83"/>
      <c r="S7" s="83"/>
      <c r="T7" s="83"/>
      <c r="U7" s="84" t="s">
        <v>33</v>
      </c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98" t="s">
        <v>8</v>
      </c>
      <c r="AI7" s="99"/>
      <c r="AJ7" s="99"/>
      <c r="AK7" s="99"/>
      <c r="AL7" s="100"/>
      <c r="AN7" s="73" t="s">
        <v>80</v>
      </c>
      <c r="AO7" s="74"/>
      <c r="AP7" s="75"/>
      <c r="AY7" s="76" t="s">
        <v>81</v>
      </c>
      <c r="AZ7" s="77"/>
      <c r="BA7" s="78"/>
    </row>
    <row r="8" spans="1:57" ht="16.5" customHeight="1" x14ac:dyDescent="0.2">
      <c r="A8" s="85" t="s">
        <v>18</v>
      </c>
      <c r="B8" s="89" t="s">
        <v>19</v>
      </c>
      <c r="C8" s="90" t="s">
        <v>23</v>
      </c>
      <c r="D8" s="88" t="s">
        <v>24</v>
      </c>
      <c r="E8" s="91" t="s">
        <v>25</v>
      </c>
      <c r="F8" s="86" t="s">
        <v>26</v>
      </c>
      <c r="G8" s="88" t="s">
        <v>27</v>
      </c>
      <c r="H8" s="88" t="s">
        <v>0</v>
      </c>
      <c r="I8" s="88" t="s">
        <v>21</v>
      </c>
      <c r="J8" s="88" t="s">
        <v>22</v>
      </c>
      <c r="K8" s="85" t="s">
        <v>28</v>
      </c>
      <c r="L8" s="79" t="s">
        <v>1</v>
      </c>
      <c r="M8" s="79" t="s">
        <v>2</v>
      </c>
      <c r="N8" s="79" t="s">
        <v>3</v>
      </c>
      <c r="O8" s="79" t="s">
        <v>4</v>
      </c>
      <c r="P8" s="79" t="s">
        <v>5</v>
      </c>
      <c r="Q8" s="92" t="s">
        <v>34</v>
      </c>
      <c r="R8" s="92" t="s">
        <v>30</v>
      </c>
      <c r="S8" s="92" t="s">
        <v>31</v>
      </c>
      <c r="T8" s="92" t="s">
        <v>32</v>
      </c>
      <c r="U8" s="93" t="s">
        <v>38</v>
      </c>
      <c r="V8" s="93"/>
      <c r="W8" s="93"/>
      <c r="X8" s="93" t="s">
        <v>39</v>
      </c>
      <c r="Y8" s="93"/>
      <c r="Z8" s="93"/>
      <c r="AA8" s="93"/>
      <c r="AB8" s="93" t="s">
        <v>40</v>
      </c>
      <c r="AC8" s="93"/>
      <c r="AD8" s="93"/>
      <c r="AE8" s="93" t="s">
        <v>41</v>
      </c>
      <c r="AF8" s="94"/>
      <c r="AG8" s="95"/>
      <c r="AH8" s="101"/>
      <c r="AI8" s="102"/>
      <c r="AJ8" s="102"/>
      <c r="AK8" s="102"/>
      <c r="AL8" s="103"/>
      <c r="AN8" s="79" t="s">
        <v>3</v>
      </c>
      <c r="AO8" s="79" t="s">
        <v>4</v>
      </c>
      <c r="AP8" s="79" t="s">
        <v>5</v>
      </c>
      <c r="AY8" s="79" t="s">
        <v>3</v>
      </c>
      <c r="AZ8" s="79" t="s">
        <v>4</v>
      </c>
      <c r="BA8" s="79" t="s">
        <v>5</v>
      </c>
    </row>
    <row r="9" spans="1:57" s="3" customFormat="1" ht="72" customHeight="1" x14ac:dyDescent="0.2">
      <c r="A9" s="85"/>
      <c r="B9" s="89"/>
      <c r="C9" s="90"/>
      <c r="D9" s="88"/>
      <c r="E9" s="91"/>
      <c r="F9" s="87"/>
      <c r="G9" s="88"/>
      <c r="H9" s="88"/>
      <c r="I9" s="88"/>
      <c r="J9" s="88"/>
      <c r="K9" s="85"/>
      <c r="L9" s="79"/>
      <c r="M9" s="79"/>
      <c r="N9" s="79"/>
      <c r="O9" s="79"/>
      <c r="P9" s="79"/>
      <c r="Q9" s="92"/>
      <c r="R9" s="92"/>
      <c r="S9" s="92"/>
      <c r="T9" s="92"/>
      <c r="U9" s="8" t="s">
        <v>16</v>
      </c>
      <c r="V9" s="8" t="s">
        <v>6</v>
      </c>
      <c r="W9" s="9" t="s">
        <v>7</v>
      </c>
      <c r="X9" s="8" t="s">
        <v>17</v>
      </c>
      <c r="Y9" s="8" t="s">
        <v>16</v>
      </c>
      <c r="Z9" s="8" t="s">
        <v>6</v>
      </c>
      <c r="AA9" s="9" t="s">
        <v>7</v>
      </c>
      <c r="AB9" s="8" t="s">
        <v>16</v>
      </c>
      <c r="AC9" s="8" t="s">
        <v>6</v>
      </c>
      <c r="AD9" s="9" t="s">
        <v>7</v>
      </c>
      <c r="AE9" s="8" t="s">
        <v>16</v>
      </c>
      <c r="AF9" s="8" t="s">
        <v>6</v>
      </c>
      <c r="AG9" s="9" t="s">
        <v>7</v>
      </c>
      <c r="AH9" s="104"/>
      <c r="AI9" s="105"/>
      <c r="AJ9" s="105"/>
      <c r="AK9" s="105"/>
      <c r="AL9" s="106"/>
      <c r="AN9" s="79"/>
      <c r="AO9" s="79"/>
      <c r="AP9" s="79"/>
      <c r="AY9" s="79"/>
      <c r="AZ9" s="79"/>
      <c r="BA9" s="79"/>
      <c r="BC9" s="3" t="s">
        <v>82</v>
      </c>
      <c r="BD9" s="3" t="s">
        <v>83</v>
      </c>
      <c r="BE9" s="3" t="s">
        <v>84</v>
      </c>
    </row>
    <row r="10" spans="1:57" x14ac:dyDescent="0.2">
      <c r="A10" s="13">
        <v>1</v>
      </c>
      <c r="B10" s="3">
        <v>9</v>
      </c>
      <c r="C10" s="17">
        <v>7</v>
      </c>
      <c r="D10" s="3">
        <v>4</v>
      </c>
      <c r="E10" s="18">
        <v>11</v>
      </c>
      <c r="F10" s="18">
        <v>13</v>
      </c>
      <c r="G10" s="18">
        <v>72</v>
      </c>
      <c r="H10" s="19">
        <v>1</v>
      </c>
      <c r="I10" s="18">
        <v>6</v>
      </c>
      <c r="J10" s="18">
        <v>22</v>
      </c>
      <c r="K10" s="20">
        <v>152</v>
      </c>
      <c r="L10" s="18">
        <v>281</v>
      </c>
      <c r="M10" s="18">
        <v>255</v>
      </c>
      <c r="N10" s="18">
        <v>306</v>
      </c>
      <c r="O10" s="18">
        <v>81</v>
      </c>
      <c r="P10" s="18">
        <v>244</v>
      </c>
      <c r="Q10" s="17">
        <v>3</v>
      </c>
      <c r="R10" s="17">
        <v>8</v>
      </c>
      <c r="S10" s="17">
        <v>0</v>
      </c>
      <c r="T10" s="17">
        <v>8</v>
      </c>
      <c r="U10" s="17">
        <v>3</v>
      </c>
      <c r="V10" s="3">
        <v>8</v>
      </c>
      <c r="W10" s="20">
        <v>57</v>
      </c>
      <c r="X10" s="17">
        <v>8</v>
      </c>
      <c r="Y10" s="17">
        <v>7</v>
      </c>
      <c r="Z10" s="17">
        <v>2</v>
      </c>
      <c r="AA10" s="20">
        <v>780</v>
      </c>
      <c r="AB10" s="3"/>
      <c r="AC10" s="3"/>
      <c r="AD10" s="20"/>
      <c r="AE10" s="3"/>
      <c r="AF10" s="3"/>
      <c r="AG10" s="20"/>
      <c r="AH10" s="96" t="s">
        <v>85</v>
      </c>
      <c r="AI10" s="96"/>
      <c r="AJ10" s="96"/>
      <c r="AK10" s="96"/>
      <c r="AL10" s="97"/>
      <c r="AN10" s="67">
        <f>N10-AY10</f>
        <v>-2.3662500657403598</v>
      </c>
      <c r="AO10" s="67">
        <f>O10-AZ10</f>
        <v>-9.7603978862949248E-2</v>
      </c>
      <c r="AP10" s="67">
        <f>P10-BA10</f>
        <v>-1.5166770562994429</v>
      </c>
      <c r="AY10" s="67">
        <f t="shared" ref="AY10:AY40" si="0">10*(BE10-BD10*((L10/10)-(M10/10))*0.00066*(1+(0.00115*(M10/10))))</f>
        <v>308.36625006574036</v>
      </c>
      <c r="AZ10" s="67">
        <f t="shared" ref="AZ10:AZ40" si="1">((AY10/10)*100)/BC10</f>
        <v>81.097603978862949</v>
      </c>
      <c r="BA10" s="67">
        <f>(243.5*LN((AY10/10)/6.112))/(17.67-LN((AY10/10)/6.112))*10</f>
        <v>245.51667705629944</v>
      </c>
      <c r="BC10">
        <f>6.112*2.718^((17.67*(L10/10))/((L10/10)+243.5))</f>
        <v>38.024088867793438</v>
      </c>
      <c r="BD10">
        <v>1013.2</v>
      </c>
      <c r="BE10">
        <f>6.112*2.718^((17.67*(M10/10))/((M10/10)+243.5))</f>
        <v>32.626262153014039</v>
      </c>
    </row>
    <row r="11" spans="1:57" x14ac:dyDescent="0.2">
      <c r="A11" s="13">
        <v>2</v>
      </c>
      <c r="B11" s="3">
        <v>9</v>
      </c>
      <c r="C11" s="17">
        <v>4</v>
      </c>
      <c r="D11" s="3">
        <v>4</v>
      </c>
      <c r="E11" s="18">
        <v>10</v>
      </c>
      <c r="F11" s="18">
        <v>15</v>
      </c>
      <c r="G11" s="18">
        <v>72</v>
      </c>
      <c r="H11" s="19">
        <v>1</v>
      </c>
      <c r="I11" s="18">
        <v>6</v>
      </c>
      <c r="J11" s="18">
        <v>0</v>
      </c>
      <c r="K11" s="20">
        <v>143</v>
      </c>
      <c r="L11" s="18">
        <v>288</v>
      </c>
      <c r="M11" s="18">
        <v>254</v>
      </c>
      <c r="N11" s="18">
        <v>296</v>
      </c>
      <c r="O11" s="18">
        <v>75</v>
      </c>
      <c r="P11" s="18">
        <v>239</v>
      </c>
      <c r="Q11" s="17">
        <v>4</v>
      </c>
      <c r="R11" s="17">
        <v>2</v>
      </c>
      <c r="S11" s="17">
        <v>0</v>
      </c>
      <c r="T11" s="17">
        <v>2</v>
      </c>
      <c r="U11" s="17">
        <v>4</v>
      </c>
      <c r="V11" s="3">
        <v>8</v>
      </c>
      <c r="W11" s="20">
        <v>60</v>
      </c>
      <c r="X11" s="17">
        <v>8</v>
      </c>
      <c r="Y11" s="3"/>
      <c r="Z11" s="3"/>
      <c r="AA11" s="20"/>
      <c r="AB11" s="3"/>
      <c r="AC11" s="3"/>
      <c r="AD11" s="20"/>
      <c r="AE11" s="3"/>
      <c r="AF11" s="3"/>
      <c r="AG11" s="20"/>
      <c r="AH11" s="107" t="s">
        <v>85</v>
      </c>
      <c r="AI11" s="107"/>
      <c r="AJ11" s="107"/>
      <c r="AK11" s="107"/>
      <c r="AL11" s="108"/>
      <c r="AN11" s="67">
        <f t="shared" ref="AN11:AP39" si="2">N11-AY11</f>
        <v>-4.9275434140005245</v>
      </c>
      <c r="AO11" s="67">
        <f t="shared" si="2"/>
        <v>-0.98336379842866961</v>
      </c>
      <c r="AP11" s="67">
        <f t="shared" si="2"/>
        <v>-2.4450912709971249</v>
      </c>
      <c r="AY11" s="67">
        <f t="shared" si="0"/>
        <v>300.92754341400052</v>
      </c>
      <c r="AZ11" s="67">
        <f t="shared" si="1"/>
        <v>75.98336379842867</v>
      </c>
      <c r="BA11" s="67">
        <f t="shared" ref="BA11:BA40" si="3">(243.5*LN((AY11/10)/6.112))/(17.67-LN((AY11/10)/6.112))*10</f>
        <v>241.44509127099712</v>
      </c>
      <c r="BC11">
        <f t="shared" ref="BC11:BC40" si="4">6.112*2.718^((17.67*(L11/10))/((L11/10)+243.5))</f>
        <v>39.60439869605031</v>
      </c>
      <c r="BD11">
        <v>1013.2</v>
      </c>
      <c r="BE11">
        <f t="shared" ref="BE11:BE40" si="5">6.112*2.718^((17.67*(M11/10))/((M11/10)+243.5))</f>
        <v>32.432787604968055</v>
      </c>
    </row>
    <row r="12" spans="1:57" x14ac:dyDescent="0.2">
      <c r="A12" s="13">
        <v>3</v>
      </c>
      <c r="B12" s="3">
        <v>9</v>
      </c>
      <c r="C12" s="17">
        <v>2</v>
      </c>
      <c r="D12" s="3">
        <v>4</v>
      </c>
      <c r="E12" s="18">
        <v>10</v>
      </c>
      <c r="F12" s="18">
        <v>16</v>
      </c>
      <c r="G12" s="18">
        <v>74</v>
      </c>
      <c r="H12" s="19">
        <v>1</v>
      </c>
      <c r="I12" s="18">
        <v>5</v>
      </c>
      <c r="J12" s="18">
        <v>0</v>
      </c>
      <c r="K12" s="20">
        <v>141</v>
      </c>
      <c r="L12" s="18">
        <v>289</v>
      </c>
      <c r="M12" s="18">
        <v>250</v>
      </c>
      <c r="N12" s="18">
        <v>285</v>
      </c>
      <c r="O12" s="18">
        <v>72</v>
      </c>
      <c r="P12" s="18">
        <v>232</v>
      </c>
      <c r="Q12" s="17">
        <v>1</v>
      </c>
      <c r="R12" s="17">
        <v>8</v>
      </c>
      <c r="S12" s="17">
        <v>0</v>
      </c>
      <c r="T12" s="17">
        <v>1</v>
      </c>
      <c r="U12" s="17">
        <v>1</v>
      </c>
      <c r="V12" s="3">
        <v>8</v>
      </c>
      <c r="W12" s="20">
        <v>63</v>
      </c>
      <c r="X12" s="17">
        <v>8</v>
      </c>
      <c r="Y12" s="3"/>
      <c r="Z12" s="3"/>
      <c r="AA12" s="20"/>
      <c r="AB12" s="3"/>
      <c r="AC12" s="3"/>
      <c r="AD12" s="20"/>
      <c r="AE12" s="3"/>
      <c r="AF12" s="3"/>
      <c r="AG12" s="20"/>
      <c r="AH12" s="107" t="s">
        <v>85</v>
      </c>
      <c r="AI12" s="107"/>
      <c r="AJ12" s="107"/>
      <c r="AK12" s="107"/>
      <c r="AL12" s="108"/>
      <c r="AN12" s="67">
        <f t="shared" si="2"/>
        <v>-4.8593547661599814</v>
      </c>
      <c r="AO12" s="67">
        <f t="shared" si="2"/>
        <v>-0.76540389712464219</v>
      </c>
      <c r="AP12" s="67">
        <f t="shared" si="2"/>
        <v>-3.2207056115195201</v>
      </c>
      <c r="AY12" s="67">
        <f t="shared" si="0"/>
        <v>289.85935476615998</v>
      </c>
      <c r="AZ12" s="67">
        <f t="shared" si="1"/>
        <v>72.765403897124642</v>
      </c>
      <c r="BA12" s="67">
        <f t="shared" si="3"/>
        <v>235.22070561151952</v>
      </c>
      <c r="BC12">
        <f t="shared" si="4"/>
        <v>39.834775764587476</v>
      </c>
      <c r="BD12">
        <v>1013.2</v>
      </c>
      <c r="BE12">
        <f t="shared" si="5"/>
        <v>31.668891609615997</v>
      </c>
    </row>
    <row r="13" spans="1:57" x14ac:dyDescent="0.2">
      <c r="A13" s="13">
        <v>4</v>
      </c>
      <c r="B13" s="3">
        <v>9</v>
      </c>
      <c r="C13" s="17">
        <v>6</v>
      </c>
      <c r="D13" s="3">
        <v>4</v>
      </c>
      <c r="E13" s="18">
        <v>11</v>
      </c>
      <c r="F13" s="18">
        <v>13</v>
      </c>
      <c r="G13" s="18">
        <v>75</v>
      </c>
      <c r="H13" s="19">
        <v>2</v>
      </c>
      <c r="I13" s="18"/>
      <c r="J13" s="18"/>
      <c r="K13" s="20">
        <v>146</v>
      </c>
      <c r="L13" s="18">
        <v>293</v>
      </c>
      <c r="M13" s="18">
        <v>254</v>
      </c>
      <c r="N13" s="18">
        <v>294</v>
      </c>
      <c r="O13" s="18">
        <v>72</v>
      </c>
      <c r="P13" s="18">
        <v>237</v>
      </c>
      <c r="Q13" s="17">
        <v>2</v>
      </c>
      <c r="R13" s="17">
        <v>2</v>
      </c>
      <c r="S13" s="17">
        <v>0</v>
      </c>
      <c r="T13" s="17">
        <v>8</v>
      </c>
      <c r="U13" s="17">
        <v>2</v>
      </c>
      <c r="V13" s="3">
        <v>8</v>
      </c>
      <c r="W13" s="20">
        <v>66</v>
      </c>
      <c r="X13" s="17">
        <v>8</v>
      </c>
      <c r="Y13" s="17">
        <v>5</v>
      </c>
      <c r="Z13" s="17">
        <v>2</v>
      </c>
      <c r="AA13" s="20">
        <v>780</v>
      </c>
      <c r="AB13" s="3"/>
      <c r="AC13" s="3"/>
      <c r="AD13" s="20"/>
      <c r="AE13" s="3"/>
      <c r="AF13" s="3"/>
      <c r="AG13" s="20"/>
      <c r="AH13" s="107"/>
      <c r="AI13" s="107"/>
      <c r="AJ13" s="107"/>
      <c r="AK13" s="107"/>
      <c r="AL13" s="108"/>
      <c r="AN13" s="67">
        <f t="shared" si="2"/>
        <v>-3.4863180264005678</v>
      </c>
      <c r="AO13" s="67">
        <f t="shared" si="2"/>
        <v>-0.97049215610734052</v>
      </c>
      <c r="AP13" s="67">
        <f t="shared" si="2"/>
        <v>-2.5316425858506193</v>
      </c>
      <c r="AY13" s="67">
        <f t="shared" si="0"/>
        <v>297.48631802640057</v>
      </c>
      <c r="AZ13" s="67">
        <f t="shared" si="1"/>
        <v>72.970492156107341</v>
      </c>
      <c r="BA13" s="67">
        <f t="shared" si="3"/>
        <v>239.53164258585062</v>
      </c>
      <c r="BC13">
        <f t="shared" si="4"/>
        <v>40.768029546790189</v>
      </c>
      <c r="BD13">
        <v>1013.2</v>
      </c>
      <c r="BE13">
        <f t="shared" si="5"/>
        <v>32.432787604968055</v>
      </c>
    </row>
    <row r="14" spans="1:57" x14ac:dyDescent="0.2">
      <c r="A14" s="13">
        <v>5</v>
      </c>
      <c r="B14" s="3">
        <v>9</v>
      </c>
      <c r="C14" s="17">
        <v>2</v>
      </c>
      <c r="D14" s="3">
        <v>4</v>
      </c>
      <c r="E14" s="18">
        <v>10</v>
      </c>
      <c r="F14" s="18">
        <v>14</v>
      </c>
      <c r="G14" s="18">
        <v>70</v>
      </c>
      <c r="H14" s="19">
        <v>1</v>
      </c>
      <c r="I14" s="18">
        <v>5</v>
      </c>
      <c r="J14" s="18">
        <v>0</v>
      </c>
      <c r="K14" s="20">
        <v>157</v>
      </c>
      <c r="L14" s="18">
        <v>288</v>
      </c>
      <c r="M14" s="18">
        <v>256</v>
      </c>
      <c r="N14" s="18">
        <v>301</v>
      </c>
      <c r="O14" s="18">
        <v>76</v>
      </c>
      <c r="P14" s="18">
        <v>242</v>
      </c>
      <c r="Q14" s="17">
        <v>2</v>
      </c>
      <c r="R14" s="17">
        <v>2</v>
      </c>
      <c r="S14" s="17">
        <v>0</v>
      </c>
      <c r="T14" s="17">
        <v>1</v>
      </c>
      <c r="U14" s="17">
        <v>2</v>
      </c>
      <c r="V14" s="3">
        <v>8</v>
      </c>
      <c r="W14" s="20">
        <v>60</v>
      </c>
      <c r="X14" s="17">
        <v>8</v>
      </c>
      <c r="Y14" s="3"/>
      <c r="Z14" s="3"/>
      <c r="AA14" s="20"/>
      <c r="AB14" s="3"/>
      <c r="AC14" s="3"/>
      <c r="AD14" s="20"/>
      <c r="AE14" s="3"/>
      <c r="AF14" s="3"/>
      <c r="AG14" s="20"/>
      <c r="AH14" s="107" t="s">
        <v>85</v>
      </c>
      <c r="AI14" s="107"/>
      <c r="AJ14" s="107"/>
      <c r="AK14" s="107"/>
      <c r="AL14" s="108"/>
      <c r="AN14" s="67">
        <f t="shared" si="2"/>
        <v>-5.1786935215789072</v>
      </c>
      <c r="AO14" s="67">
        <f t="shared" si="2"/>
        <v>-1.309264526749061</v>
      </c>
      <c r="AP14" s="67">
        <f t="shared" si="2"/>
        <v>-2.328321500044126</v>
      </c>
      <c r="AY14" s="67">
        <f t="shared" si="0"/>
        <v>306.17869352157891</v>
      </c>
      <c r="AZ14" s="67">
        <f t="shared" si="1"/>
        <v>77.309264526749061</v>
      </c>
      <c r="BA14" s="67">
        <f t="shared" si="3"/>
        <v>244.32832150004413</v>
      </c>
      <c r="BC14">
        <f t="shared" si="4"/>
        <v>39.60439869605031</v>
      </c>
      <c r="BD14">
        <v>1013.2</v>
      </c>
      <c r="BE14">
        <f t="shared" si="5"/>
        <v>32.820745772253893</v>
      </c>
    </row>
    <row r="15" spans="1:57" x14ac:dyDescent="0.2">
      <c r="A15" s="13">
        <v>6</v>
      </c>
      <c r="B15" s="3">
        <v>9</v>
      </c>
      <c r="C15" s="17">
        <v>1</v>
      </c>
      <c r="D15" s="3">
        <v>4</v>
      </c>
      <c r="E15" s="18">
        <v>9</v>
      </c>
      <c r="F15" s="18">
        <v>15</v>
      </c>
      <c r="G15" s="18">
        <v>75</v>
      </c>
      <c r="H15" s="19">
        <v>2</v>
      </c>
      <c r="I15" s="18"/>
      <c r="J15" s="18"/>
      <c r="K15" s="20">
        <v>148</v>
      </c>
      <c r="L15" s="18">
        <v>287</v>
      </c>
      <c r="M15" s="18">
        <v>255</v>
      </c>
      <c r="N15" s="18">
        <v>300</v>
      </c>
      <c r="O15" s="18">
        <v>76</v>
      </c>
      <c r="P15" s="18">
        <v>241</v>
      </c>
      <c r="Q15" s="17">
        <v>1</v>
      </c>
      <c r="R15" s="17">
        <v>1</v>
      </c>
      <c r="S15" s="17">
        <v>0</v>
      </c>
      <c r="T15" s="17">
        <v>1</v>
      </c>
      <c r="U15" s="17">
        <v>1</v>
      </c>
      <c r="V15" s="3">
        <v>8</v>
      </c>
      <c r="W15" s="20">
        <v>69</v>
      </c>
      <c r="X15" s="17">
        <v>8</v>
      </c>
      <c r="Y15" s="3"/>
      <c r="Z15" s="3"/>
      <c r="AA15" s="20"/>
      <c r="AB15" s="3"/>
      <c r="AC15" s="3"/>
      <c r="AD15" s="20"/>
      <c r="AE15" s="3"/>
      <c r="AF15" s="3"/>
      <c r="AG15" s="20"/>
      <c r="AH15" s="107"/>
      <c r="AI15" s="107"/>
      <c r="AJ15" s="107"/>
      <c r="AK15" s="107"/>
      <c r="AL15" s="108"/>
      <c r="AN15" s="67">
        <f t="shared" si="2"/>
        <v>-4.2363181893404089</v>
      </c>
      <c r="AO15" s="67">
        <f t="shared" si="2"/>
        <v>-1.2660012063356447</v>
      </c>
      <c r="AP15" s="67">
        <f t="shared" si="2"/>
        <v>-2.2669102527805478</v>
      </c>
      <c r="AY15" s="67">
        <f t="shared" si="0"/>
        <v>304.23631818934041</v>
      </c>
      <c r="AZ15" s="67">
        <f t="shared" si="1"/>
        <v>77.266001206335645</v>
      </c>
      <c r="BA15" s="67">
        <f t="shared" si="3"/>
        <v>243.26691025278055</v>
      </c>
      <c r="BC15">
        <f t="shared" si="4"/>
        <v>39.375186167184964</v>
      </c>
      <c r="BD15">
        <v>1013.2</v>
      </c>
      <c r="BE15">
        <f t="shared" si="5"/>
        <v>32.626262153014039</v>
      </c>
    </row>
    <row r="16" spans="1:57" x14ac:dyDescent="0.2">
      <c r="A16" s="13">
        <v>7</v>
      </c>
      <c r="B16" s="3">
        <v>9</v>
      </c>
      <c r="C16" s="17">
        <v>7</v>
      </c>
      <c r="D16" s="3">
        <v>4</v>
      </c>
      <c r="E16" s="18">
        <v>10</v>
      </c>
      <c r="F16" s="18">
        <v>15</v>
      </c>
      <c r="G16" s="18">
        <v>70</v>
      </c>
      <c r="H16" s="19">
        <v>1</v>
      </c>
      <c r="I16" s="18">
        <v>5</v>
      </c>
      <c r="J16" s="18">
        <v>22</v>
      </c>
      <c r="K16" s="20">
        <v>138</v>
      </c>
      <c r="L16" s="18">
        <v>285</v>
      </c>
      <c r="M16" s="18">
        <v>248</v>
      </c>
      <c r="N16" s="18">
        <v>283</v>
      </c>
      <c r="O16" s="18">
        <v>73</v>
      </c>
      <c r="P16" s="18">
        <v>231</v>
      </c>
      <c r="Q16" s="17">
        <v>1</v>
      </c>
      <c r="R16" s="17">
        <v>2</v>
      </c>
      <c r="S16" s="17">
        <v>0</v>
      </c>
      <c r="T16" s="17">
        <v>1</v>
      </c>
      <c r="U16" s="17">
        <v>1</v>
      </c>
      <c r="V16" s="3">
        <v>8</v>
      </c>
      <c r="W16" s="20">
        <v>63</v>
      </c>
      <c r="X16" s="17">
        <v>8</v>
      </c>
      <c r="Y16" s="17">
        <v>7</v>
      </c>
      <c r="Z16" s="17">
        <v>0</v>
      </c>
      <c r="AA16" s="20">
        <v>840</v>
      </c>
      <c r="AB16" s="3"/>
      <c r="AC16" s="3"/>
      <c r="AD16" s="20"/>
      <c r="AE16" s="3"/>
      <c r="AF16" s="3"/>
      <c r="AG16" s="20"/>
      <c r="AH16" s="107" t="s">
        <v>85</v>
      </c>
      <c r="AI16" s="107"/>
      <c r="AJ16" s="107"/>
      <c r="AK16" s="107"/>
      <c r="AL16" s="108"/>
      <c r="AN16" s="67">
        <f t="shared" si="2"/>
        <v>-4.4808384071650948</v>
      </c>
      <c r="AO16" s="67">
        <f t="shared" si="2"/>
        <v>-0.86410682568028108</v>
      </c>
      <c r="AP16" s="67">
        <f t="shared" si="2"/>
        <v>-2.8559855183187892</v>
      </c>
      <c r="AY16" s="67">
        <f t="shared" si="0"/>
        <v>287.48083840716509</v>
      </c>
      <c r="AZ16" s="67">
        <f t="shared" si="1"/>
        <v>73.864106825680281</v>
      </c>
      <c r="BA16" s="67">
        <f t="shared" si="3"/>
        <v>233.85598551831879</v>
      </c>
      <c r="BC16">
        <f t="shared" si="4"/>
        <v>38.920234842292423</v>
      </c>
      <c r="BD16">
        <v>1013.2</v>
      </c>
      <c r="BE16">
        <f t="shared" si="5"/>
        <v>31.29288340580451</v>
      </c>
    </row>
    <row r="17" spans="1:57" x14ac:dyDescent="0.2">
      <c r="A17" s="13">
        <v>8</v>
      </c>
      <c r="B17" s="3">
        <v>9</v>
      </c>
      <c r="C17" s="17">
        <v>1</v>
      </c>
      <c r="D17" s="3">
        <v>4</v>
      </c>
      <c r="E17" s="18">
        <v>11</v>
      </c>
      <c r="F17" s="18">
        <v>16</v>
      </c>
      <c r="G17" s="18">
        <v>72</v>
      </c>
      <c r="H17" s="19">
        <v>1</v>
      </c>
      <c r="I17" s="18">
        <v>5</v>
      </c>
      <c r="J17" s="18">
        <v>0</v>
      </c>
      <c r="K17" s="20">
        <v>136</v>
      </c>
      <c r="L17" s="18">
        <v>286</v>
      </c>
      <c r="M17" s="18">
        <v>250</v>
      </c>
      <c r="N17" s="18">
        <v>287</v>
      </c>
      <c r="O17" s="18">
        <v>73</v>
      </c>
      <c r="P17" s="18">
        <v>234</v>
      </c>
      <c r="Q17" s="17">
        <v>1</v>
      </c>
      <c r="R17" s="17">
        <v>2</v>
      </c>
      <c r="S17" s="17">
        <v>0</v>
      </c>
      <c r="T17" s="17">
        <v>0</v>
      </c>
      <c r="U17" s="17">
        <v>1</v>
      </c>
      <c r="V17" s="3">
        <v>8</v>
      </c>
      <c r="W17" s="20">
        <v>66</v>
      </c>
      <c r="X17" s="17">
        <v>8</v>
      </c>
      <c r="Y17" s="3"/>
      <c r="Z17" s="3"/>
      <c r="AA17" s="20"/>
      <c r="AB17" s="3"/>
      <c r="AC17" s="3"/>
      <c r="AD17" s="20"/>
      <c r="AE17" s="3"/>
      <c r="AF17" s="3"/>
      <c r="AG17" s="20"/>
      <c r="AH17" s="107" t="s">
        <v>85</v>
      </c>
      <c r="AI17" s="107"/>
      <c r="AJ17" s="107"/>
      <c r="AK17" s="107"/>
      <c r="AL17" s="108"/>
      <c r="AN17" s="67">
        <f t="shared" si="2"/>
        <v>-4.92316717615995</v>
      </c>
      <c r="AO17" s="67">
        <f t="shared" si="2"/>
        <v>-1.5707650336170218</v>
      </c>
      <c r="AP17" s="67">
        <f t="shared" si="2"/>
        <v>-2.3969333970113951</v>
      </c>
      <c r="AY17" s="67">
        <f t="shared" si="0"/>
        <v>291.92316717615995</v>
      </c>
      <c r="AZ17" s="67">
        <f t="shared" si="1"/>
        <v>74.570765033617022</v>
      </c>
      <c r="BA17" s="67">
        <f t="shared" si="3"/>
        <v>236.3969333970114</v>
      </c>
      <c r="BC17">
        <f t="shared" si="4"/>
        <v>39.147133202208529</v>
      </c>
      <c r="BD17">
        <v>1013.2</v>
      </c>
      <c r="BE17">
        <f t="shared" si="5"/>
        <v>31.668891609615997</v>
      </c>
    </row>
    <row r="18" spans="1:57" x14ac:dyDescent="0.2">
      <c r="A18" s="13">
        <v>9</v>
      </c>
      <c r="B18" s="3">
        <v>9</v>
      </c>
      <c r="C18" s="17">
        <v>3</v>
      </c>
      <c r="D18" s="3">
        <v>4</v>
      </c>
      <c r="E18" s="18">
        <v>11</v>
      </c>
      <c r="F18" s="18">
        <v>16</v>
      </c>
      <c r="G18" s="18">
        <v>74</v>
      </c>
      <c r="H18" s="19">
        <v>1</v>
      </c>
      <c r="I18" s="18">
        <v>5</v>
      </c>
      <c r="J18" s="18">
        <v>0</v>
      </c>
      <c r="K18" s="20">
        <v>142</v>
      </c>
      <c r="L18" s="18">
        <v>290</v>
      </c>
      <c r="M18" s="18">
        <v>255</v>
      </c>
      <c r="N18" s="18">
        <v>299</v>
      </c>
      <c r="O18" s="18">
        <v>74</v>
      </c>
      <c r="P18" s="18">
        <v>240</v>
      </c>
      <c r="Q18" s="17">
        <v>3</v>
      </c>
      <c r="R18" s="17">
        <v>2</v>
      </c>
      <c r="S18" s="17">
        <v>0</v>
      </c>
      <c r="T18" s="17">
        <v>0</v>
      </c>
      <c r="U18" s="17">
        <v>3</v>
      </c>
      <c r="V18" s="3">
        <v>8</v>
      </c>
      <c r="W18" s="20">
        <v>63</v>
      </c>
      <c r="X18" s="17">
        <v>8</v>
      </c>
      <c r="Y18" s="3"/>
      <c r="Z18" s="3"/>
      <c r="AA18" s="20"/>
      <c r="AB18" s="3"/>
      <c r="AC18" s="3"/>
      <c r="AD18" s="20"/>
      <c r="AE18" s="3"/>
      <c r="AF18" s="3"/>
      <c r="AG18" s="20"/>
      <c r="AH18" s="107" t="s">
        <v>85</v>
      </c>
      <c r="AI18" s="107"/>
      <c r="AJ18" s="107"/>
      <c r="AK18" s="107"/>
      <c r="AL18" s="108"/>
      <c r="AN18" s="67">
        <f t="shared" si="2"/>
        <v>-3.1713522511403767</v>
      </c>
      <c r="AO18" s="67">
        <f t="shared" si="2"/>
        <v>-1.4177909053042868</v>
      </c>
      <c r="AP18" s="67">
        <f t="shared" si="2"/>
        <v>-2.1319830549777521</v>
      </c>
      <c r="AY18" s="67">
        <f t="shared" si="0"/>
        <v>302.17135225114038</v>
      </c>
      <c r="AZ18" s="67">
        <f t="shared" si="1"/>
        <v>75.417790905304287</v>
      </c>
      <c r="BA18" s="67">
        <f t="shared" si="3"/>
        <v>242.13198305497775</v>
      </c>
      <c r="BC18">
        <f t="shared" si="4"/>
        <v>40.066322365574365</v>
      </c>
      <c r="BD18">
        <v>1013.2</v>
      </c>
      <c r="BE18">
        <f t="shared" si="5"/>
        <v>32.626262153014039</v>
      </c>
    </row>
    <row r="19" spans="1:57" x14ac:dyDescent="0.2">
      <c r="A19" s="13">
        <v>10</v>
      </c>
      <c r="B19" s="3">
        <v>9</v>
      </c>
      <c r="C19" s="17">
        <v>7</v>
      </c>
      <c r="D19" s="3">
        <v>4</v>
      </c>
      <c r="E19" s="18">
        <v>8</v>
      </c>
      <c r="F19" s="18">
        <v>14</v>
      </c>
      <c r="G19" s="18">
        <v>66</v>
      </c>
      <c r="H19" s="19">
        <v>1</v>
      </c>
      <c r="I19" s="18">
        <v>5</v>
      </c>
      <c r="J19" s="18">
        <v>22</v>
      </c>
      <c r="K19" s="20">
        <v>129</v>
      </c>
      <c r="L19" s="18">
        <v>288</v>
      </c>
      <c r="M19" s="18">
        <v>256</v>
      </c>
      <c r="N19" s="18">
        <v>302</v>
      </c>
      <c r="O19" s="18">
        <v>76</v>
      </c>
      <c r="P19" s="18">
        <v>242</v>
      </c>
      <c r="Q19" s="17">
        <v>2</v>
      </c>
      <c r="R19" s="17">
        <v>2</v>
      </c>
      <c r="S19" s="17">
        <v>0</v>
      </c>
      <c r="T19" s="17">
        <v>2</v>
      </c>
      <c r="U19" s="17">
        <v>2</v>
      </c>
      <c r="V19" s="3">
        <v>8</v>
      </c>
      <c r="W19" s="20">
        <v>69</v>
      </c>
      <c r="X19" s="17">
        <v>8</v>
      </c>
      <c r="Y19" s="17">
        <v>6</v>
      </c>
      <c r="Z19" s="17">
        <v>0</v>
      </c>
      <c r="AA19" s="20">
        <v>840</v>
      </c>
      <c r="AB19" s="3"/>
      <c r="AC19" s="3"/>
      <c r="AD19" s="20"/>
      <c r="AE19" s="3"/>
      <c r="AF19" s="3"/>
      <c r="AG19" s="20"/>
      <c r="AH19" s="107" t="s">
        <v>85</v>
      </c>
      <c r="AI19" s="107"/>
      <c r="AJ19" s="107"/>
      <c r="AK19" s="107"/>
      <c r="AL19" s="108"/>
      <c r="AN19" s="67">
        <f t="shared" si="2"/>
        <v>-4.1786935215789072</v>
      </c>
      <c r="AO19" s="67">
        <f t="shared" si="2"/>
        <v>-1.309264526749061</v>
      </c>
      <c r="AP19" s="67">
        <f t="shared" si="2"/>
        <v>-2.328321500044126</v>
      </c>
      <c r="AY19" s="67">
        <f t="shared" si="0"/>
        <v>306.17869352157891</v>
      </c>
      <c r="AZ19" s="67">
        <f t="shared" si="1"/>
        <v>77.309264526749061</v>
      </c>
      <c r="BA19" s="67">
        <f t="shared" si="3"/>
        <v>244.32832150004413</v>
      </c>
      <c r="BC19">
        <f t="shared" si="4"/>
        <v>39.60439869605031</v>
      </c>
      <c r="BD19">
        <v>1013.2</v>
      </c>
      <c r="BE19">
        <f t="shared" si="5"/>
        <v>32.820745772253893</v>
      </c>
    </row>
    <row r="20" spans="1:57" x14ac:dyDescent="0.2">
      <c r="A20" s="13">
        <v>11</v>
      </c>
      <c r="B20" s="3">
        <v>9</v>
      </c>
      <c r="C20" s="17">
        <v>3</v>
      </c>
      <c r="D20" s="3">
        <v>4</v>
      </c>
      <c r="E20" s="18">
        <v>13</v>
      </c>
      <c r="F20" s="18">
        <v>10</v>
      </c>
      <c r="G20" s="18">
        <v>70</v>
      </c>
      <c r="H20" s="19">
        <v>1</v>
      </c>
      <c r="I20" s="18">
        <v>5</v>
      </c>
      <c r="J20" s="18">
        <v>0</v>
      </c>
      <c r="K20" s="20">
        <v>116</v>
      </c>
      <c r="L20" s="18">
        <v>285</v>
      </c>
      <c r="M20" s="18">
        <v>253</v>
      </c>
      <c r="N20" s="18">
        <v>296</v>
      </c>
      <c r="O20" s="18">
        <v>76</v>
      </c>
      <c r="P20" s="18">
        <v>239</v>
      </c>
      <c r="Q20" s="17">
        <v>1</v>
      </c>
      <c r="R20" s="17">
        <v>2</v>
      </c>
      <c r="S20" s="17">
        <v>0</v>
      </c>
      <c r="T20" s="17">
        <v>2</v>
      </c>
      <c r="U20" s="17">
        <v>1</v>
      </c>
      <c r="V20" s="3">
        <v>8</v>
      </c>
      <c r="W20" s="20">
        <v>66</v>
      </c>
      <c r="X20" s="17">
        <v>8</v>
      </c>
      <c r="Y20" s="3"/>
      <c r="Z20" s="3"/>
      <c r="AA20" s="20"/>
      <c r="AB20" s="3"/>
      <c r="AC20" s="3"/>
      <c r="AD20" s="20"/>
      <c r="AE20" s="3"/>
      <c r="AF20" s="3"/>
      <c r="AG20" s="20"/>
      <c r="AH20" s="107" t="s">
        <v>85</v>
      </c>
      <c r="AI20" s="107"/>
      <c r="AJ20" s="107"/>
      <c r="AK20" s="107"/>
      <c r="AL20" s="108"/>
      <c r="AN20" s="67">
        <f t="shared" si="2"/>
        <v>-4.3817952859554907</v>
      </c>
      <c r="AO20" s="67">
        <f t="shared" si="2"/>
        <v>-1.1788239467526296</v>
      </c>
      <c r="AP20" s="67">
        <f t="shared" si="2"/>
        <v>-2.1429176514349422</v>
      </c>
      <c r="AY20" s="67">
        <f t="shared" si="0"/>
        <v>300.38179528595549</v>
      </c>
      <c r="AZ20" s="67">
        <f t="shared" si="1"/>
        <v>77.17882394675263</v>
      </c>
      <c r="BA20" s="67">
        <f t="shared" si="3"/>
        <v>241.14291765143494</v>
      </c>
      <c r="BC20">
        <f t="shared" si="4"/>
        <v>38.920234842292423</v>
      </c>
      <c r="BD20">
        <v>1013.2</v>
      </c>
      <c r="BE20">
        <f t="shared" si="5"/>
        <v>32.24031769064355</v>
      </c>
    </row>
    <row r="21" spans="1:57" x14ac:dyDescent="0.2">
      <c r="A21" s="13">
        <v>12</v>
      </c>
      <c r="B21" s="3">
        <v>9</v>
      </c>
      <c r="C21" s="17">
        <v>7</v>
      </c>
      <c r="D21" s="3">
        <v>4</v>
      </c>
      <c r="E21" s="18">
        <v>99</v>
      </c>
      <c r="F21" s="18">
        <v>3</v>
      </c>
      <c r="G21" s="18">
        <v>75</v>
      </c>
      <c r="H21" s="19">
        <v>2</v>
      </c>
      <c r="I21" s="18"/>
      <c r="J21" s="18"/>
      <c r="K21" s="20">
        <v>128</v>
      </c>
      <c r="L21" s="18">
        <v>278</v>
      </c>
      <c r="M21" s="18">
        <v>240</v>
      </c>
      <c r="N21" s="18">
        <v>268</v>
      </c>
      <c r="O21" s="18">
        <v>72</v>
      </c>
      <c r="P21" s="18">
        <v>222</v>
      </c>
      <c r="Q21" s="17">
        <v>6</v>
      </c>
      <c r="R21" s="17">
        <v>8</v>
      </c>
      <c r="S21" s="17">
        <v>4</v>
      </c>
      <c r="T21" s="17">
        <v>2</v>
      </c>
      <c r="U21" s="17">
        <v>2</v>
      </c>
      <c r="V21" s="3">
        <v>8</v>
      </c>
      <c r="W21" s="20">
        <v>54</v>
      </c>
      <c r="X21" s="17">
        <v>8</v>
      </c>
      <c r="Y21" s="17">
        <v>5</v>
      </c>
      <c r="Z21" s="17">
        <v>6</v>
      </c>
      <c r="AA21" s="20">
        <v>120</v>
      </c>
      <c r="AB21" s="17">
        <v>5</v>
      </c>
      <c r="AC21" s="17">
        <v>0</v>
      </c>
      <c r="AD21" s="20">
        <v>840</v>
      </c>
      <c r="AE21" s="3"/>
      <c r="AF21" s="3"/>
      <c r="AG21" s="20"/>
      <c r="AH21" s="107"/>
      <c r="AI21" s="107"/>
      <c r="AJ21" s="107"/>
      <c r="AK21" s="107"/>
      <c r="AL21" s="108"/>
      <c r="AN21" s="67">
        <f t="shared" si="2"/>
        <v>-4.1639959974206704</v>
      </c>
      <c r="AO21" s="67">
        <f t="shared" si="2"/>
        <v>-0.84150500007420703</v>
      </c>
      <c r="AP21" s="67">
        <f t="shared" si="2"/>
        <v>-2.8228702433588069</v>
      </c>
      <c r="AY21" s="67">
        <f t="shared" si="0"/>
        <v>272.16399599742067</v>
      </c>
      <c r="AZ21" s="67">
        <f t="shared" si="1"/>
        <v>72.841505000074207</v>
      </c>
      <c r="BA21" s="67">
        <f t="shared" si="3"/>
        <v>224.82287024335881</v>
      </c>
      <c r="BC21">
        <f t="shared" si="4"/>
        <v>37.363862264672235</v>
      </c>
      <c r="BD21">
        <v>1013.2</v>
      </c>
      <c r="BE21">
        <f t="shared" si="5"/>
        <v>29.827639714302066</v>
      </c>
    </row>
    <row r="22" spans="1:57" x14ac:dyDescent="0.2">
      <c r="A22" s="13">
        <v>13</v>
      </c>
      <c r="B22" s="3">
        <v>9</v>
      </c>
      <c r="C22" s="17">
        <v>5</v>
      </c>
      <c r="D22" s="3">
        <v>4</v>
      </c>
      <c r="E22" s="18">
        <v>4</v>
      </c>
      <c r="F22" s="18">
        <v>12</v>
      </c>
      <c r="G22" s="18">
        <v>70</v>
      </c>
      <c r="H22" s="19">
        <v>1</v>
      </c>
      <c r="I22" s="18">
        <v>5</v>
      </c>
      <c r="J22" s="18">
        <v>22</v>
      </c>
      <c r="K22" s="20">
        <v>144</v>
      </c>
      <c r="L22" s="18">
        <v>295</v>
      </c>
      <c r="M22" s="18">
        <v>245</v>
      </c>
      <c r="N22" s="18">
        <v>269</v>
      </c>
      <c r="O22" s="18">
        <v>65</v>
      </c>
      <c r="P22" s="18">
        <v>222</v>
      </c>
      <c r="Q22" s="17">
        <v>4</v>
      </c>
      <c r="R22" s="17">
        <v>8</v>
      </c>
      <c r="S22" s="17">
        <v>0</v>
      </c>
      <c r="T22" s="17">
        <v>2</v>
      </c>
      <c r="U22" s="17">
        <v>1</v>
      </c>
      <c r="V22" s="3">
        <v>8</v>
      </c>
      <c r="W22" s="20">
        <v>57</v>
      </c>
      <c r="X22" s="17">
        <v>8</v>
      </c>
      <c r="Y22" s="17">
        <v>4</v>
      </c>
      <c r="Z22" s="17">
        <v>6</v>
      </c>
      <c r="AA22" s="20">
        <v>114</v>
      </c>
      <c r="AB22" s="3"/>
      <c r="AC22" s="3"/>
      <c r="AD22" s="20"/>
      <c r="AE22" s="3"/>
      <c r="AF22" s="3"/>
      <c r="AG22" s="20"/>
      <c r="AH22" s="107" t="s">
        <v>85</v>
      </c>
      <c r="AI22" s="107"/>
      <c r="AJ22" s="107"/>
      <c r="AK22" s="107"/>
      <c r="AL22" s="108"/>
      <c r="AN22" s="67">
        <f t="shared" si="2"/>
        <v>-3.9843303292706764</v>
      </c>
      <c r="AO22" s="67">
        <f t="shared" si="2"/>
        <v>-1.1912187260643918</v>
      </c>
      <c r="AP22" s="67">
        <f t="shared" si="2"/>
        <v>-3.3178155971138779</v>
      </c>
      <c r="AY22" s="67">
        <f t="shared" si="0"/>
        <v>272.98433032927068</v>
      </c>
      <c r="AZ22" s="67">
        <f t="shared" si="1"/>
        <v>66.191218726064392</v>
      </c>
      <c r="BA22" s="67">
        <f t="shared" si="3"/>
        <v>225.31781559711388</v>
      </c>
      <c r="BC22">
        <f t="shared" si="4"/>
        <v>41.241774299251048</v>
      </c>
      <c r="BD22">
        <v>1013.2</v>
      </c>
      <c r="BE22">
        <f t="shared" si="5"/>
        <v>30.736197835927069</v>
      </c>
    </row>
    <row r="23" spans="1:57" x14ac:dyDescent="0.2">
      <c r="A23" s="13">
        <v>14</v>
      </c>
      <c r="B23" s="3">
        <v>9</v>
      </c>
      <c r="C23" s="17">
        <v>4</v>
      </c>
      <c r="D23" s="3">
        <v>4</v>
      </c>
      <c r="E23" s="18">
        <v>9</v>
      </c>
      <c r="F23" s="18">
        <v>11</v>
      </c>
      <c r="G23" s="18">
        <v>70</v>
      </c>
      <c r="H23" s="19">
        <v>1</v>
      </c>
      <c r="I23" s="18">
        <v>5</v>
      </c>
      <c r="J23" s="18">
        <v>0</v>
      </c>
      <c r="K23" s="20">
        <v>142</v>
      </c>
      <c r="L23" s="18">
        <v>299</v>
      </c>
      <c r="M23" s="18">
        <v>241</v>
      </c>
      <c r="N23" s="18">
        <v>254</v>
      </c>
      <c r="O23" s="18">
        <v>60</v>
      </c>
      <c r="P23" s="18">
        <v>213</v>
      </c>
      <c r="Q23" s="17">
        <v>1</v>
      </c>
      <c r="R23" s="17">
        <v>2</v>
      </c>
      <c r="S23" s="17">
        <v>0</v>
      </c>
      <c r="T23" s="17">
        <v>2</v>
      </c>
      <c r="U23" s="17">
        <v>1</v>
      </c>
      <c r="V23" s="3">
        <v>8</v>
      </c>
      <c r="W23" s="20">
        <v>66</v>
      </c>
      <c r="X23" s="17">
        <v>8</v>
      </c>
      <c r="Y23" s="17">
        <v>3</v>
      </c>
      <c r="Z23" s="17">
        <v>0</v>
      </c>
      <c r="AA23" s="20">
        <v>840</v>
      </c>
      <c r="AB23" s="3"/>
      <c r="AC23" s="3"/>
      <c r="AD23" s="20"/>
      <c r="AE23" s="3"/>
      <c r="AF23" s="3"/>
      <c r="AG23" s="20"/>
      <c r="AH23" s="107" t="s">
        <v>85</v>
      </c>
      <c r="AI23" s="107"/>
      <c r="AJ23" s="107"/>
      <c r="AK23" s="107"/>
      <c r="AL23" s="108"/>
      <c r="AN23" s="67">
        <f t="shared" si="2"/>
        <v>-6.2142309022511881</v>
      </c>
      <c r="AO23" s="67">
        <f t="shared" si="2"/>
        <v>-1.6567297076878091</v>
      </c>
      <c r="AP23" s="67">
        <f t="shared" si="2"/>
        <v>-4.4606605592402389</v>
      </c>
      <c r="AY23" s="67">
        <f t="shared" si="0"/>
        <v>260.21423090225119</v>
      </c>
      <c r="AZ23" s="67">
        <f t="shared" si="1"/>
        <v>61.656729707687809</v>
      </c>
      <c r="BA23" s="67">
        <f t="shared" si="3"/>
        <v>217.46066055924024</v>
      </c>
      <c r="BC23">
        <f t="shared" si="4"/>
        <v>42.203703007914449</v>
      </c>
      <c r="BD23">
        <v>1013.2</v>
      </c>
      <c r="BE23">
        <f t="shared" si="5"/>
        <v>30.007446138089119</v>
      </c>
    </row>
    <row r="24" spans="1:57" x14ac:dyDescent="0.2">
      <c r="A24" s="13">
        <v>15</v>
      </c>
      <c r="B24" s="3">
        <v>9</v>
      </c>
      <c r="C24" s="17">
        <v>6</v>
      </c>
      <c r="D24" s="3">
        <v>4</v>
      </c>
      <c r="E24" s="18">
        <v>99</v>
      </c>
      <c r="F24" s="18">
        <v>2</v>
      </c>
      <c r="G24" s="18">
        <v>60</v>
      </c>
      <c r="H24" s="19">
        <v>1</v>
      </c>
      <c r="I24" s="18">
        <v>5</v>
      </c>
      <c r="J24" s="18">
        <v>22</v>
      </c>
      <c r="K24" s="20">
        <v>137</v>
      </c>
      <c r="L24" s="18">
        <v>277</v>
      </c>
      <c r="M24" s="18">
        <v>244</v>
      </c>
      <c r="N24" s="18">
        <v>280</v>
      </c>
      <c r="O24" s="18">
        <v>75</v>
      </c>
      <c r="P24" s="18">
        <v>229</v>
      </c>
      <c r="Q24" s="17">
        <v>6</v>
      </c>
      <c r="R24" s="17">
        <v>8</v>
      </c>
      <c r="S24" s="17">
        <v>0</v>
      </c>
      <c r="T24" s="17">
        <v>1</v>
      </c>
      <c r="U24" s="17">
        <v>6</v>
      </c>
      <c r="V24" s="3">
        <v>8</v>
      </c>
      <c r="W24" s="20">
        <v>60</v>
      </c>
      <c r="X24" s="17">
        <v>8</v>
      </c>
      <c r="Y24" s="3"/>
      <c r="Z24" s="3"/>
      <c r="AA24" s="20"/>
      <c r="AB24" s="3"/>
      <c r="AC24" s="3"/>
      <c r="AD24" s="20"/>
      <c r="AE24" s="3"/>
      <c r="AF24" s="3"/>
      <c r="AG24" s="20"/>
      <c r="AH24" s="107" t="s">
        <v>85</v>
      </c>
      <c r="AI24" s="107"/>
      <c r="AJ24" s="107"/>
      <c r="AK24" s="107"/>
      <c r="AL24" s="108"/>
      <c r="AN24" s="67">
        <f t="shared" si="2"/>
        <v>-2.839015124924515</v>
      </c>
      <c r="AO24" s="67">
        <f t="shared" si="2"/>
        <v>-1.1424730765893685</v>
      </c>
      <c r="AP24" s="67">
        <f t="shared" si="2"/>
        <v>-2.1639166316250567</v>
      </c>
      <c r="AY24" s="67">
        <f t="shared" si="0"/>
        <v>282.83901512492452</v>
      </c>
      <c r="AZ24" s="67">
        <f t="shared" si="1"/>
        <v>76.142473076589368</v>
      </c>
      <c r="BA24" s="67">
        <f t="shared" si="3"/>
        <v>231.16391663162506</v>
      </c>
      <c r="BC24">
        <f t="shared" si="4"/>
        <v>37.146024248572211</v>
      </c>
      <c r="BD24">
        <v>1013.2</v>
      </c>
      <c r="BE24">
        <f t="shared" si="5"/>
        <v>30.552572506268454</v>
      </c>
    </row>
    <row r="25" spans="1:57" x14ac:dyDescent="0.2">
      <c r="A25" s="13">
        <v>16</v>
      </c>
      <c r="B25" s="3">
        <v>9</v>
      </c>
      <c r="C25" s="17">
        <v>7</v>
      </c>
      <c r="D25" s="3">
        <v>4</v>
      </c>
      <c r="E25" s="18">
        <v>5</v>
      </c>
      <c r="F25" s="18">
        <v>8</v>
      </c>
      <c r="G25" s="18">
        <v>70</v>
      </c>
      <c r="H25" s="19">
        <v>1</v>
      </c>
      <c r="I25" s="18">
        <v>5</v>
      </c>
      <c r="J25" s="18">
        <v>22</v>
      </c>
      <c r="K25" s="20">
        <v>145</v>
      </c>
      <c r="L25" s="18">
        <v>272</v>
      </c>
      <c r="M25" s="18">
        <v>237</v>
      </c>
      <c r="N25" s="18">
        <v>267</v>
      </c>
      <c r="O25" s="18">
        <v>74</v>
      </c>
      <c r="P25" s="18">
        <v>221</v>
      </c>
      <c r="Q25" s="17">
        <v>6</v>
      </c>
      <c r="R25" s="17">
        <v>8</v>
      </c>
      <c r="S25" s="17">
        <v>0</v>
      </c>
      <c r="T25" s="17">
        <v>2</v>
      </c>
      <c r="U25" s="17">
        <v>3</v>
      </c>
      <c r="V25" s="3">
        <v>8</v>
      </c>
      <c r="W25" s="20">
        <v>54</v>
      </c>
      <c r="X25" s="17">
        <v>8</v>
      </c>
      <c r="Y25" s="17">
        <v>5</v>
      </c>
      <c r="Z25" s="17">
        <v>6</v>
      </c>
      <c r="AA25" s="20">
        <v>114</v>
      </c>
      <c r="AB25" s="3"/>
      <c r="AC25" s="3"/>
      <c r="AD25" s="20"/>
      <c r="AE25" s="3"/>
      <c r="AF25" s="3"/>
      <c r="AG25" s="20"/>
      <c r="AH25" s="107" t="s">
        <v>85</v>
      </c>
      <c r="AI25" s="107"/>
      <c r="AJ25" s="107"/>
      <c r="AK25" s="107"/>
      <c r="AL25" s="108"/>
      <c r="AN25" s="67">
        <f t="shared" si="2"/>
        <v>-1.8958632088346121</v>
      </c>
      <c r="AO25" s="67">
        <f t="shared" si="2"/>
        <v>-0.54131478131428423</v>
      </c>
      <c r="AP25" s="67">
        <f t="shared" si="2"/>
        <v>-1.8379851905711746</v>
      </c>
      <c r="AY25" s="67">
        <f t="shared" si="0"/>
        <v>268.89586320883461</v>
      </c>
      <c r="AZ25" s="67">
        <f t="shared" si="1"/>
        <v>74.541314781314284</v>
      </c>
      <c r="BA25" s="67">
        <f t="shared" si="3"/>
        <v>222.83798519057117</v>
      </c>
      <c r="BC25">
        <f t="shared" si="4"/>
        <v>36.073399563411016</v>
      </c>
      <c r="BD25">
        <v>1013.2</v>
      </c>
      <c r="BE25">
        <f t="shared" si="5"/>
        <v>29.293868430343458</v>
      </c>
    </row>
    <row r="26" spans="1:57" x14ac:dyDescent="0.2">
      <c r="A26" s="13">
        <v>17</v>
      </c>
      <c r="B26" s="3">
        <v>9</v>
      </c>
      <c r="C26" s="17">
        <v>7</v>
      </c>
      <c r="D26" s="3">
        <v>4</v>
      </c>
      <c r="E26" s="18">
        <v>10</v>
      </c>
      <c r="F26" s="18">
        <v>8</v>
      </c>
      <c r="G26" s="18">
        <v>68</v>
      </c>
      <c r="H26" s="19">
        <v>1</v>
      </c>
      <c r="I26" s="18">
        <v>80</v>
      </c>
      <c r="J26" s="18">
        <v>22</v>
      </c>
      <c r="K26" s="20">
        <v>157</v>
      </c>
      <c r="L26" s="18">
        <v>267</v>
      </c>
      <c r="M26" s="18">
        <v>248</v>
      </c>
      <c r="N26" s="18">
        <v>298</v>
      </c>
      <c r="O26" s="18">
        <v>85</v>
      </c>
      <c r="P26" s="18">
        <v>240</v>
      </c>
      <c r="Q26" s="17">
        <v>7</v>
      </c>
      <c r="R26" s="17">
        <v>8</v>
      </c>
      <c r="S26" s="17">
        <v>3</v>
      </c>
      <c r="T26" s="17">
        <v>2</v>
      </c>
      <c r="U26" s="17">
        <v>6</v>
      </c>
      <c r="V26" s="3">
        <v>8</v>
      </c>
      <c r="W26" s="20">
        <v>54</v>
      </c>
      <c r="X26" s="17">
        <v>8</v>
      </c>
      <c r="Y26" s="17">
        <v>4</v>
      </c>
      <c r="Z26" s="17">
        <v>3</v>
      </c>
      <c r="AA26" s="20">
        <v>360</v>
      </c>
      <c r="AB26" s="3"/>
      <c r="AC26" s="3"/>
      <c r="AD26" s="20"/>
      <c r="AE26" s="3"/>
      <c r="AF26" s="3"/>
      <c r="AG26" s="20"/>
      <c r="AH26" s="107" t="s">
        <v>103</v>
      </c>
      <c r="AI26" s="107"/>
      <c r="AJ26" s="107"/>
      <c r="AK26" s="107"/>
      <c r="AL26" s="108"/>
      <c r="AN26" s="67">
        <f t="shared" si="2"/>
        <v>-1.8609443994851063</v>
      </c>
      <c r="AO26" s="67">
        <f t="shared" si="2"/>
        <v>-0.60619490736614523</v>
      </c>
      <c r="AP26" s="67">
        <f t="shared" si="2"/>
        <v>-0.85408066088760393</v>
      </c>
      <c r="AY26" s="67">
        <f t="shared" si="0"/>
        <v>299.86094439948511</v>
      </c>
      <c r="AZ26" s="67">
        <f t="shared" si="1"/>
        <v>85.606194907366145</v>
      </c>
      <c r="BA26" s="67">
        <f t="shared" si="3"/>
        <v>240.8540806608876</v>
      </c>
      <c r="BC26">
        <f t="shared" si="4"/>
        <v>35.027949171664794</v>
      </c>
      <c r="BD26">
        <v>1013.2</v>
      </c>
      <c r="BE26">
        <f t="shared" si="5"/>
        <v>31.29288340580451</v>
      </c>
    </row>
    <row r="27" spans="1:57" x14ac:dyDescent="0.2">
      <c r="A27" s="13">
        <v>18</v>
      </c>
      <c r="B27" s="3">
        <v>9</v>
      </c>
      <c r="C27" s="17">
        <v>7</v>
      </c>
      <c r="D27" s="3">
        <v>4</v>
      </c>
      <c r="E27" s="18">
        <v>9</v>
      </c>
      <c r="F27" s="18">
        <v>7</v>
      </c>
      <c r="G27" s="18">
        <v>58</v>
      </c>
      <c r="H27" s="19">
        <v>1</v>
      </c>
      <c r="I27" s="18">
        <v>15</v>
      </c>
      <c r="J27" s="18">
        <v>22</v>
      </c>
      <c r="K27" s="20">
        <v>160</v>
      </c>
      <c r="L27" s="18">
        <v>272</v>
      </c>
      <c r="M27" s="18">
        <v>260</v>
      </c>
      <c r="N27" s="18">
        <v>328</v>
      </c>
      <c r="O27" s="18">
        <v>90</v>
      </c>
      <c r="P27" s="18">
        <v>255</v>
      </c>
      <c r="Q27" s="17">
        <v>7</v>
      </c>
      <c r="R27" s="17">
        <v>4</v>
      </c>
      <c r="S27" s="17" t="s">
        <v>89</v>
      </c>
      <c r="T27" s="17" t="s">
        <v>89</v>
      </c>
      <c r="U27" s="17">
        <v>4</v>
      </c>
      <c r="V27" s="3">
        <v>8</v>
      </c>
      <c r="W27" s="20">
        <v>42</v>
      </c>
      <c r="X27" s="17">
        <v>8</v>
      </c>
      <c r="Y27" s="17">
        <v>6</v>
      </c>
      <c r="Z27" s="17">
        <v>6</v>
      </c>
      <c r="AA27" s="20">
        <v>114</v>
      </c>
      <c r="AB27" s="3"/>
      <c r="AC27" s="3"/>
      <c r="AD27" s="20"/>
      <c r="AE27" s="3"/>
      <c r="AF27" s="3"/>
      <c r="AG27" s="20"/>
      <c r="AH27" s="107" t="s">
        <v>113</v>
      </c>
      <c r="AI27" s="107"/>
      <c r="AJ27" s="107"/>
      <c r="AK27" s="107"/>
      <c r="AL27" s="108"/>
      <c r="AN27" s="67">
        <f t="shared" si="2"/>
        <v>0.17587526423562849</v>
      </c>
      <c r="AO27" s="67">
        <f t="shared" si="2"/>
        <v>-0.87696992890960246</v>
      </c>
      <c r="AP27" s="67">
        <f t="shared" si="2"/>
        <v>-0.77399926764837801</v>
      </c>
      <c r="AY27" s="67">
        <f t="shared" si="0"/>
        <v>327.82412473576437</v>
      </c>
      <c r="AZ27" s="67">
        <f t="shared" si="1"/>
        <v>90.876969928909602</v>
      </c>
      <c r="BA27" s="67">
        <f t="shared" si="3"/>
        <v>255.77399926764838</v>
      </c>
      <c r="BC27">
        <f t="shared" si="4"/>
        <v>36.073399563411016</v>
      </c>
      <c r="BD27">
        <v>1013.2</v>
      </c>
      <c r="BE27">
        <f t="shared" si="5"/>
        <v>33.608860260136439</v>
      </c>
    </row>
    <row r="28" spans="1:57" x14ac:dyDescent="0.2">
      <c r="A28" s="13">
        <v>19</v>
      </c>
      <c r="B28" s="3">
        <v>9</v>
      </c>
      <c r="C28" s="17">
        <v>6</v>
      </c>
      <c r="D28" s="3">
        <v>4</v>
      </c>
      <c r="E28" s="18">
        <v>9</v>
      </c>
      <c r="F28" s="18">
        <v>14</v>
      </c>
      <c r="G28" s="69">
        <v>75</v>
      </c>
      <c r="H28" s="19">
        <v>2</v>
      </c>
      <c r="I28" s="18"/>
      <c r="J28" s="18"/>
      <c r="K28" s="20">
        <v>143</v>
      </c>
      <c r="L28" s="18">
        <v>284</v>
      </c>
      <c r="M28" s="18">
        <v>244</v>
      </c>
      <c r="N28" s="18">
        <v>285</v>
      </c>
      <c r="O28" s="18">
        <v>72</v>
      </c>
      <c r="P28" s="18">
        <v>226</v>
      </c>
      <c r="Q28" s="17">
        <v>5</v>
      </c>
      <c r="R28" s="17">
        <v>8</v>
      </c>
      <c r="S28" s="17">
        <v>0</v>
      </c>
      <c r="T28" s="17">
        <v>1</v>
      </c>
      <c r="U28" s="17">
        <v>2</v>
      </c>
      <c r="V28" s="3">
        <v>8</v>
      </c>
      <c r="W28" s="20">
        <v>57</v>
      </c>
      <c r="X28" s="17">
        <v>8</v>
      </c>
      <c r="Y28" s="17">
        <v>5</v>
      </c>
      <c r="Z28" s="17">
        <v>6</v>
      </c>
      <c r="AA28" s="20">
        <v>120</v>
      </c>
      <c r="AB28" s="3"/>
      <c r="AC28" s="3"/>
      <c r="AD28" s="20"/>
      <c r="AE28" s="3"/>
      <c r="AF28" s="3"/>
      <c r="AG28" s="20"/>
      <c r="AH28" s="107"/>
      <c r="AI28" s="107"/>
      <c r="AJ28" s="107"/>
      <c r="AK28" s="107"/>
      <c r="AL28" s="108"/>
      <c r="AN28" s="67">
        <f t="shared" si="2"/>
        <v>6.9733172861154458</v>
      </c>
      <c r="AO28" s="67">
        <f t="shared" si="2"/>
        <v>0.14824270613546275</v>
      </c>
      <c r="AP28" s="67">
        <f t="shared" si="2"/>
        <v>-2.3317813434368873</v>
      </c>
      <c r="AY28" s="67">
        <f t="shared" si="0"/>
        <v>278.02668271388455</v>
      </c>
      <c r="AZ28" s="67">
        <f t="shared" si="1"/>
        <v>71.851757293864537</v>
      </c>
      <c r="BA28" s="67">
        <f t="shared" si="3"/>
        <v>228.33178134343689</v>
      </c>
      <c r="BC28">
        <f t="shared" si="4"/>
        <v>38.694486145521928</v>
      </c>
      <c r="BD28">
        <v>1013.2</v>
      </c>
      <c r="BE28">
        <f t="shared" si="5"/>
        <v>30.552572506268454</v>
      </c>
    </row>
    <row r="29" spans="1:57" x14ac:dyDescent="0.2">
      <c r="A29" s="13">
        <v>20</v>
      </c>
      <c r="B29" s="3">
        <v>9</v>
      </c>
      <c r="C29" s="17">
        <v>7</v>
      </c>
      <c r="D29" s="3">
        <v>4</v>
      </c>
      <c r="E29" s="18">
        <v>11</v>
      </c>
      <c r="F29" s="18">
        <v>11</v>
      </c>
      <c r="G29" s="18">
        <v>68</v>
      </c>
      <c r="H29" s="19">
        <v>1</v>
      </c>
      <c r="I29" s="18">
        <v>5</v>
      </c>
      <c r="J29" s="18">
        <v>22</v>
      </c>
      <c r="K29" s="20">
        <v>134</v>
      </c>
      <c r="L29" s="18">
        <v>274</v>
      </c>
      <c r="M29" s="18">
        <v>248</v>
      </c>
      <c r="N29" s="18">
        <v>294</v>
      </c>
      <c r="O29" s="18">
        <v>80</v>
      </c>
      <c r="P29" s="18">
        <v>237</v>
      </c>
      <c r="Q29" s="17">
        <v>5</v>
      </c>
      <c r="R29" s="17">
        <v>8</v>
      </c>
      <c r="S29" s="17">
        <v>7</v>
      </c>
      <c r="T29" s="17">
        <v>8</v>
      </c>
      <c r="U29" s="17">
        <v>3</v>
      </c>
      <c r="V29" s="3">
        <v>8</v>
      </c>
      <c r="W29" s="20">
        <v>54</v>
      </c>
      <c r="X29" s="17">
        <v>8</v>
      </c>
      <c r="Y29" s="17">
        <v>4</v>
      </c>
      <c r="Z29" s="17">
        <v>6</v>
      </c>
      <c r="AA29" s="20">
        <v>114</v>
      </c>
      <c r="AB29" s="17">
        <v>5</v>
      </c>
      <c r="AC29" s="17">
        <v>4</v>
      </c>
      <c r="AD29" s="20">
        <v>240</v>
      </c>
      <c r="AE29" s="3"/>
      <c r="AF29" s="3"/>
      <c r="AG29" s="20"/>
      <c r="AH29" s="107" t="s">
        <v>85</v>
      </c>
      <c r="AI29" s="107"/>
      <c r="AJ29" s="107"/>
      <c r="AK29" s="107"/>
      <c r="AL29" s="108"/>
      <c r="AN29" s="67">
        <f t="shared" si="2"/>
        <v>-1.0464587358051176</v>
      </c>
      <c r="AO29" s="67">
        <f t="shared" si="2"/>
        <v>-0.83651667085327119</v>
      </c>
      <c r="AP29" s="67">
        <f t="shared" si="2"/>
        <v>-1.1632126908172893</v>
      </c>
      <c r="AY29" s="67">
        <f t="shared" si="0"/>
        <v>295.04645873580512</v>
      </c>
      <c r="AZ29" s="67">
        <f t="shared" si="1"/>
        <v>80.836516670853271</v>
      </c>
      <c r="BA29" s="67">
        <f t="shared" si="3"/>
        <v>238.16321269081729</v>
      </c>
      <c r="BC29">
        <f t="shared" si="4"/>
        <v>36.499155441984577</v>
      </c>
      <c r="BD29">
        <v>1013.2</v>
      </c>
      <c r="BE29">
        <f t="shared" si="5"/>
        <v>31.29288340580451</v>
      </c>
    </row>
    <row r="30" spans="1:57" x14ac:dyDescent="0.2">
      <c r="A30" s="13">
        <v>21</v>
      </c>
      <c r="B30" s="3">
        <v>9</v>
      </c>
      <c r="C30" s="17">
        <v>2</v>
      </c>
      <c r="D30" s="3">
        <v>4</v>
      </c>
      <c r="E30" s="18">
        <v>10</v>
      </c>
      <c r="F30" s="18">
        <v>13</v>
      </c>
      <c r="G30" s="18">
        <v>66</v>
      </c>
      <c r="H30" s="19">
        <v>1</v>
      </c>
      <c r="I30" s="18">
        <v>5</v>
      </c>
      <c r="J30" s="18">
        <v>0</v>
      </c>
      <c r="K30" s="20">
        <v>131</v>
      </c>
      <c r="L30" s="18">
        <v>287</v>
      </c>
      <c r="M30" s="18">
        <v>256</v>
      </c>
      <c r="N30" s="69">
        <v>304</v>
      </c>
      <c r="O30" s="69">
        <v>77</v>
      </c>
      <c r="P30" s="69">
        <v>243</v>
      </c>
      <c r="Q30" s="17">
        <v>2</v>
      </c>
      <c r="R30" s="17">
        <v>8</v>
      </c>
      <c r="S30" s="17">
        <v>0</v>
      </c>
      <c r="T30" s="17">
        <v>2</v>
      </c>
      <c r="U30" s="17">
        <v>2</v>
      </c>
      <c r="V30" s="3">
        <v>8</v>
      </c>
      <c r="W30" s="20">
        <v>60</v>
      </c>
      <c r="X30" s="17">
        <v>8</v>
      </c>
      <c r="Y30" s="3"/>
      <c r="Z30" s="3"/>
      <c r="AA30" s="20"/>
      <c r="AB30" s="3"/>
      <c r="AC30" s="3"/>
      <c r="AD30" s="20"/>
      <c r="AE30" s="3"/>
      <c r="AF30" s="3"/>
      <c r="AG30" s="20"/>
      <c r="AH30" s="107" t="s">
        <v>85</v>
      </c>
      <c r="AI30" s="107"/>
      <c r="AJ30" s="107"/>
      <c r="AK30" s="107"/>
      <c r="AL30" s="108"/>
      <c r="AN30" s="67">
        <f t="shared" si="2"/>
        <v>-2.8670924028589866</v>
      </c>
      <c r="AO30" s="67">
        <f t="shared" si="2"/>
        <v>-0.93413118097207359</v>
      </c>
      <c r="AP30" s="67">
        <f t="shared" si="2"/>
        <v>-1.7030826114177842</v>
      </c>
      <c r="AY30" s="67">
        <f t="shared" si="0"/>
        <v>306.86709240285899</v>
      </c>
      <c r="AZ30" s="67">
        <f t="shared" si="1"/>
        <v>77.934131180972074</v>
      </c>
      <c r="BA30" s="67">
        <f t="shared" si="3"/>
        <v>244.70308261141778</v>
      </c>
      <c r="BC30">
        <f t="shared" si="4"/>
        <v>39.375186167184964</v>
      </c>
      <c r="BD30">
        <v>1013.2</v>
      </c>
      <c r="BE30">
        <f t="shared" si="5"/>
        <v>32.820745772253893</v>
      </c>
    </row>
    <row r="31" spans="1:57" x14ac:dyDescent="0.2">
      <c r="A31" s="13">
        <v>22</v>
      </c>
      <c r="B31" s="3">
        <v>9</v>
      </c>
      <c r="C31" s="17">
        <v>7</v>
      </c>
      <c r="D31" s="3">
        <v>4</v>
      </c>
      <c r="E31" s="18">
        <v>8</v>
      </c>
      <c r="F31" s="18">
        <v>8</v>
      </c>
      <c r="G31" s="18">
        <v>70</v>
      </c>
      <c r="H31" s="19">
        <v>1</v>
      </c>
      <c r="I31" s="18">
        <v>5</v>
      </c>
      <c r="J31" s="18">
        <v>22</v>
      </c>
      <c r="K31" s="20">
        <v>146</v>
      </c>
      <c r="L31" s="18">
        <v>284</v>
      </c>
      <c r="M31" s="18">
        <v>250</v>
      </c>
      <c r="N31" s="18">
        <v>290</v>
      </c>
      <c r="O31" s="18">
        <v>75</v>
      </c>
      <c r="P31" s="18">
        <v>235</v>
      </c>
      <c r="Q31" s="17">
        <v>7</v>
      </c>
      <c r="R31" s="17">
        <v>8</v>
      </c>
      <c r="S31" s="17" t="s">
        <v>89</v>
      </c>
      <c r="T31" s="17" t="s">
        <v>89</v>
      </c>
      <c r="U31" s="17">
        <v>4</v>
      </c>
      <c r="V31" s="3">
        <v>8</v>
      </c>
      <c r="W31" s="20">
        <v>54</v>
      </c>
      <c r="X31" s="17">
        <v>8</v>
      </c>
      <c r="Y31" s="17">
        <v>6</v>
      </c>
      <c r="Z31" s="17">
        <v>6</v>
      </c>
      <c r="AA31" s="20">
        <v>105</v>
      </c>
      <c r="AB31" s="3"/>
      <c r="AC31" s="3"/>
      <c r="AD31" s="20"/>
      <c r="AE31" s="3"/>
      <c r="AF31" s="3"/>
      <c r="AG31" s="20"/>
      <c r="AH31" s="107" t="s">
        <v>85</v>
      </c>
      <c r="AI31" s="107"/>
      <c r="AJ31" s="107"/>
      <c r="AK31" s="107"/>
      <c r="AL31" s="108"/>
      <c r="AN31" s="67">
        <f t="shared" si="2"/>
        <v>-3.299042116159967</v>
      </c>
      <c r="AO31" s="67">
        <f t="shared" si="2"/>
        <v>-0.79866573576481414</v>
      </c>
      <c r="AP31" s="67">
        <f t="shared" si="2"/>
        <v>-2.1770456407085135</v>
      </c>
      <c r="AY31" s="67">
        <f t="shared" si="0"/>
        <v>293.29904211615997</v>
      </c>
      <c r="AZ31" s="67">
        <f t="shared" si="1"/>
        <v>75.798665735764814</v>
      </c>
      <c r="BA31" s="67">
        <f t="shared" si="3"/>
        <v>237.17704564070851</v>
      </c>
      <c r="BC31">
        <f t="shared" si="4"/>
        <v>38.694486145521928</v>
      </c>
      <c r="BD31">
        <v>1013.2</v>
      </c>
      <c r="BE31">
        <f t="shared" si="5"/>
        <v>31.668891609615997</v>
      </c>
    </row>
    <row r="32" spans="1:57" x14ac:dyDescent="0.2">
      <c r="A32" s="13">
        <v>23</v>
      </c>
      <c r="B32" s="3">
        <v>9</v>
      </c>
      <c r="C32" s="17">
        <v>6</v>
      </c>
      <c r="D32" s="3">
        <v>4</v>
      </c>
      <c r="E32" s="18">
        <v>6</v>
      </c>
      <c r="F32" s="18">
        <v>12</v>
      </c>
      <c r="G32" s="18">
        <v>65</v>
      </c>
      <c r="H32" s="19">
        <v>1</v>
      </c>
      <c r="I32" s="18">
        <v>6</v>
      </c>
      <c r="J32" s="18">
        <v>22</v>
      </c>
      <c r="K32" s="20">
        <v>130</v>
      </c>
      <c r="L32" s="18">
        <v>290</v>
      </c>
      <c r="M32" s="18">
        <v>241</v>
      </c>
      <c r="N32" s="18">
        <v>261</v>
      </c>
      <c r="O32" s="18">
        <v>65</v>
      </c>
      <c r="P32" s="18">
        <v>218</v>
      </c>
      <c r="Q32" s="17">
        <v>2</v>
      </c>
      <c r="R32" s="17">
        <v>2</v>
      </c>
      <c r="S32" s="17">
        <v>0</v>
      </c>
      <c r="T32" s="17">
        <v>8</v>
      </c>
      <c r="U32" s="17">
        <v>2</v>
      </c>
      <c r="V32" s="3">
        <v>8</v>
      </c>
      <c r="W32" s="20">
        <v>63</v>
      </c>
      <c r="X32" s="17">
        <v>8</v>
      </c>
      <c r="Y32" s="17">
        <v>6</v>
      </c>
      <c r="Z32" s="17">
        <v>2</v>
      </c>
      <c r="AA32" s="20">
        <v>840</v>
      </c>
      <c r="AB32" s="3"/>
      <c r="AC32" s="3"/>
      <c r="AD32" s="20"/>
      <c r="AE32" s="3"/>
      <c r="AF32" s="3"/>
      <c r="AG32" s="20"/>
      <c r="AH32" s="107" t="s">
        <v>141</v>
      </c>
      <c r="AI32" s="107"/>
      <c r="AJ32" s="107"/>
      <c r="AK32" s="107"/>
      <c r="AL32" s="108"/>
      <c r="AN32" s="67">
        <f t="shared" si="2"/>
        <v>-5.3994390799712164</v>
      </c>
      <c r="AO32" s="67">
        <f t="shared" si="2"/>
        <v>-1.4896160544212904</v>
      </c>
      <c r="AP32" s="67">
        <f t="shared" si="2"/>
        <v>-3.3074989801957599</v>
      </c>
      <c r="AY32" s="67">
        <f t="shared" si="0"/>
        <v>266.39943907997122</v>
      </c>
      <c r="AZ32" s="67">
        <f t="shared" si="1"/>
        <v>66.48961605442129</v>
      </c>
      <c r="BA32" s="67">
        <f t="shared" si="3"/>
        <v>221.30749898019576</v>
      </c>
      <c r="BC32">
        <f t="shared" si="4"/>
        <v>40.066322365574365</v>
      </c>
      <c r="BD32">
        <v>1013.2</v>
      </c>
      <c r="BE32">
        <f t="shared" si="5"/>
        <v>30.007446138089119</v>
      </c>
    </row>
    <row r="33" spans="1:57" x14ac:dyDescent="0.2">
      <c r="A33" s="13">
        <v>24</v>
      </c>
      <c r="B33" s="3">
        <v>9</v>
      </c>
      <c r="C33" s="17">
        <v>7</v>
      </c>
      <c r="D33" s="3">
        <v>4</v>
      </c>
      <c r="E33" s="18">
        <v>11</v>
      </c>
      <c r="F33" s="18">
        <v>9</v>
      </c>
      <c r="G33" s="18">
        <v>57</v>
      </c>
      <c r="H33" s="19">
        <v>1</v>
      </c>
      <c r="I33" s="18">
        <v>80</v>
      </c>
      <c r="J33" s="18">
        <v>22</v>
      </c>
      <c r="K33" s="20">
        <v>134</v>
      </c>
      <c r="L33" s="18">
        <v>250</v>
      </c>
      <c r="M33" s="18">
        <v>242</v>
      </c>
      <c r="N33" s="18">
        <v>295</v>
      </c>
      <c r="O33" s="18">
        <v>93</v>
      </c>
      <c r="P33" s="18">
        <v>238</v>
      </c>
      <c r="Q33" s="17">
        <v>7</v>
      </c>
      <c r="R33" s="17">
        <v>8</v>
      </c>
      <c r="S33" s="17">
        <v>0</v>
      </c>
      <c r="T33" s="17">
        <v>2</v>
      </c>
      <c r="U33" s="17">
        <v>4</v>
      </c>
      <c r="V33" s="3">
        <v>8</v>
      </c>
      <c r="W33" s="20">
        <v>42</v>
      </c>
      <c r="X33" s="17">
        <v>8</v>
      </c>
      <c r="Y33" s="17">
        <v>5</v>
      </c>
      <c r="Z33" s="17">
        <v>6</v>
      </c>
      <c r="AA33" s="20">
        <v>105</v>
      </c>
      <c r="AB33" s="3"/>
      <c r="AC33" s="3"/>
      <c r="AD33" s="20"/>
      <c r="AE33" s="3"/>
      <c r="AF33" s="3"/>
      <c r="AG33" s="20"/>
      <c r="AH33" s="107" t="s">
        <v>148</v>
      </c>
      <c r="AI33" s="107"/>
      <c r="AJ33" s="107"/>
      <c r="AK33" s="107"/>
      <c r="AL33" s="108"/>
      <c r="AN33" s="67">
        <f t="shared" si="2"/>
        <v>-1.3834311337278677</v>
      </c>
      <c r="AO33" s="67">
        <f t="shared" si="2"/>
        <v>-0.5881920931307576</v>
      </c>
      <c r="AP33" s="67">
        <f t="shared" si="2"/>
        <v>-0.91429468591425689</v>
      </c>
      <c r="AY33" s="67">
        <f t="shared" si="0"/>
        <v>296.38343113372787</v>
      </c>
      <c r="AZ33" s="67">
        <f t="shared" si="1"/>
        <v>93.588192093130758</v>
      </c>
      <c r="BA33" s="67">
        <f t="shared" si="3"/>
        <v>238.91429468591426</v>
      </c>
      <c r="BC33">
        <f t="shared" si="4"/>
        <v>31.668891609615997</v>
      </c>
      <c r="BD33">
        <v>1013.2</v>
      </c>
      <c r="BE33">
        <f t="shared" si="5"/>
        <v>30.188200917340787</v>
      </c>
    </row>
    <row r="34" spans="1:57" x14ac:dyDescent="0.2">
      <c r="A34" s="13">
        <v>25</v>
      </c>
      <c r="B34" s="3">
        <v>9</v>
      </c>
      <c r="C34" s="17">
        <v>7</v>
      </c>
      <c r="D34" s="3">
        <v>4</v>
      </c>
      <c r="E34" s="18">
        <v>11</v>
      </c>
      <c r="F34" s="18">
        <v>8</v>
      </c>
      <c r="G34" s="18">
        <v>60</v>
      </c>
      <c r="H34" s="19">
        <v>1</v>
      </c>
      <c r="I34" s="18">
        <v>15</v>
      </c>
      <c r="J34" s="18">
        <v>82</v>
      </c>
      <c r="K34" s="20">
        <v>141</v>
      </c>
      <c r="L34" s="18">
        <v>247</v>
      </c>
      <c r="M34" s="18">
        <v>245</v>
      </c>
      <c r="N34" s="18">
        <v>305</v>
      </c>
      <c r="O34" s="18">
        <v>98</v>
      </c>
      <c r="P34" s="18">
        <v>244</v>
      </c>
      <c r="Q34" s="17">
        <v>7</v>
      </c>
      <c r="R34" s="17">
        <v>8</v>
      </c>
      <c r="S34" s="17">
        <v>4</v>
      </c>
      <c r="T34" s="17">
        <v>2</v>
      </c>
      <c r="U34" s="17">
        <v>5</v>
      </c>
      <c r="V34" s="3">
        <v>8</v>
      </c>
      <c r="W34" s="20">
        <f>8*3</f>
        <v>24</v>
      </c>
      <c r="X34" s="17">
        <v>8</v>
      </c>
      <c r="Y34" s="17">
        <v>3</v>
      </c>
      <c r="Z34" s="17">
        <v>6</v>
      </c>
      <c r="AA34" s="20">
        <f>36*3</f>
        <v>108</v>
      </c>
      <c r="AB34" s="3"/>
      <c r="AC34" s="3"/>
      <c r="AD34" s="20"/>
      <c r="AE34" s="3"/>
      <c r="AF34" s="3"/>
      <c r="AG34" s="20"/>
      <c r="AH34" s="107" t="s">
        <v>163</v>
      </c>
      <c r="AI34" s="107"/>
      <c r="AJ34" s="107"/>
      <c r="AK34" s="107"/>
      <c r="AL34" s="108"/>
      <c r="AN34" s="67">
        <f t="shared" si="2"/>
        <v>-0.98687243807069081</v>
      </c>
      <c r="AO34" s="67">
        <f t="shared" si="2"/>
        <v>-0.36798032318095864</v>
      </c>
      <c r="AP34" s="67">
        <f t="shared" si="2"/>
        <v>-0.22376359840353643</v>
      </c>
      <c r="AY34" s="67">
        <f t="shared" si="0"/>
        <v>305.98687243807069</v>
      </c>
      <c r="AZ34" s="67">
        <f t="shared" si="1"/>
        <v>98.367980323180959</v>
      </c>
      <c r="BA34" s="67">
        <f t="shared" si="3"/>
        <v>244.22376359840354</v>
      </c>
      <c r="BC34">
        <f t="shared" si="4"/>
        <v>31.106348979899021</v>
      </c>
      <c r="BD34">
        <v>1013.2</v>
      </c>
      <c r="BE34">
        <f t="shared" si="5"/>
        <v>30.736197835927069</v>
      </c>
    </row>
    <row r="35" spans="1:57" x14ac:dyDescent="0.2">
      <c r="A35" s="13">
        <v>26</v>
      </c>
      <c r="B35" s="3">
        <v>9</v>
      </c>
      <c r="C35" s="17">
        <v>2</v>
      </c>
      <c r="D35" s="3">
        <v>4</v>
      </c>
      <c r="E35" s="18">
        <v>10</v>
      </c>
      <c r="F35" s="18">
        <v>12</v>
      </c>
      <c r="G35" s="18">
        <v>70</v>
      </c>
      <c r="H35" s="19">
        <v>1</v>
      </c>
      <c r="I35" s="18">
        <v>5</v>
      </c>
      <c r="J35" s="18">
        <v>11</v>
      </c>
      <c r="K35" s="20">
        <v>151</v>
      </c>
      <c r="L35" s="18">
        <v>287</v>
      </c>
      <c r="M35" s="18">
        <v>253</v>
      </c>
      <c r="N35" s="18">
        <v>295</v>
      </c>
      <c r="O35" s="18">
        <v>75</v>
      </c>
      <c r="P35" s="18">
        <v>238</v>
      </c>
      <c r="Q35" s="17">
        <v>1</v>
      </c>
      <c r="R35" s="17">
        <v>8</v>
      </c>
      <c r="S35" s="17">
        <v>4</v>
      </c>
      <c r="T35" s="17">
        <v>0</v>
      </c>
      <c r="U35" s="17">
        <v>1</v>
      </c>
      <c r="V35" s="3">
        <v>8</v>
      </c>
      <c r="W35" s="20">
        <v>60</v>
      </c>
      <c r="X35" s="17">
        <v>8</v>
      </c>
      <c r="Y35" s="3"/>
      <c r="Z35" s="3"/>
      <c r="AA35" s="20"/>
      <c r="AB35" s="3"/>
      <c r="AC35" s="3"/>
      <c r="AD35" s="20"/>
      <c r="AE35" s="3"/>
      <c r="AF35" s="3"/>
      <c r="AG35" s="20"/>
      <c r="AH35" s="107" t="s">
        <v>85</v>
      </c>
      <c r="AI35" s="107"/>
      <c r="AJ35" s="107"/>
      <c r="AK35" s="107"/>
      <c r="AL35" s="108"/>
      <c r="AN35" s="67">
        <f t="shared" si="2"/>
        <v>-4.0054589346755165</v>
      </c>
      <c r="AO35" s="67">
        <f t="shared" si="2"/>
        <v>-0.93753529573525896</v>
      </c>
      <c r="AP35" s="67">
        <f t="shared" si="2"/>
        <v>-2.3787179006272652</v>
      </c>
      <c r="AY35" s="67">
        <f t="shared" si="0"/>
        <v>299.00545893467552</v>
      </c>
      <c r="AZ35" s="67">
        <f t="shared" si="1"/>
        <v>75.937535295735259</v>
      </c>
      <c r="BA35" s="67">
        <f t="shared" si="3"/>
        <v>240.37871790062727</v>
      </c>
      <c r="BC35">
        <f t="shared" si="4"/>
        <v>39.375186167184964</v>
      </c>
      <c r="BD35">
        <v>1013.2</v>
      </c>
      <c r="BE35">
        <f t="shared" si="5"/>
        <v>32.24031769064355</v>
      </c>
    </row>
    <row r="36" spans="1:57" x14ac:dyDescent="0.2">
      <c r="A36" s="13">
        <v>27</v>
      </c>
      <c r="B36" s="3">
        <v>9</v>
      </c>
      <c r="C36" s="17">
        <v>6</v>
      </c>
      <c r="D36" s="3">
        <v>4</v>
      </c>
      <c r="E36" s="18">
        <v>8</v>
      </c>
      <c r="F36" s="18">
        <v>13</v>
      </c>
      <c r="G36" s="18">
        <v>68</v>
      </c>
      <c r="H36" s="19">
        <v>1</v>
      </c>
      <c r="I36" s="18">
        <v>5</v>
      </c>
      <c r="J36" s="18">
        <v>22</v>
      </c>
      <c r="K36" s="20">
        <v>147</v>
      </c>
      <c r="L36" s="18">
        <v>285</v>
      </c>
      <c r="M36" s="18">
        <v>252</v>
      </c>
      <c r="N36" s="18">
        <v>294</v>
      </c>
      <c r="O36" s="18">
        <v>75</v>
      </c>
      <c r="P36" s="18">
        <v>237</v>
      </c>
      <c r="Q36" s="17">
        <v>4</v>
      </c>
      <c r="R36" s="17">
        <v>8</v>
      </c>
      <c r="S36" s="17">
        <v>4</v>
      </c>
      <c r="T36" s="17">
        <v>1</v>
      </c>
      <c r="U36" s="17">
        <v>3</v>
      </c>
      <c r="V36" s="3">
        <v>8</v>
      </c>
      <c r="W36" s="20">
        <v>54</v>
      </c>
      <c r="X36" s="17">
        <v>8</v>
      </c>
      <c r="Y36" s="17">
        <v>3</v>
      </c>
      <c r="Z36" s="17">
        <v>0</v>
      </c>
      <c r="AA36" s="20">
        <v>840</v>
      </c>
      <c r="AB36" s="3"/>
      <c r="AC36" s="3"/>
      <c r="AD36" s="20"/>
      <c r="AE36" s="3"/>
      <c r="AF36" s="3"/>
      <c r="AG36" s="20"/>
      <c r="AH36" s="107" t="s">
        <v>85</v>
      </c>
      <c r="AI36" s="107"/>
      <c r="AJ36" s="107"/>
      <c r="AK36" s="107"/>
      <c r="AL36" s="108"/>
      <c r="AN36" s="67">
        <f t="shared" si="2"/>
        <v>-3.7814678479858799</v>
      </c>
      <c r="AO36" s="67">
        <f t="shared" si="2"/>
        <v>-1.5107068481517842</v>
      </c>
      <c r="AP36" s="67">
        <f t="shared" si="2"/>
        <v>-2.696514588409002</v>
      </c>
      <c r="AY36" s="67">
        <f t="shared" si="0"/>
        <v>297.78146784798588</v>
      </c>
      <c r="AZ36" s="67">
        <f t="shared" si="1"/>
        <v>76.510706848151784</v>
      </c>
      <c r="BA36" s="67">
        <f t="shared" si="3"/>
        <v>239.696514588409</v>
      </c>
      <c r="BC36">
        <f t="shared" si="4"/>
        <v>38.920234842292423</v>
      </c>
      <c r="BD36">
        <v>1013.2</v>
      </c>
      <c r="BE36">
        <f t="shared" si="5"/>
        <v>32.048847988206589</v>
      </c>
    </row>
    <row r="37" spans="1:57" x14ac:dyDescent="0.2">
      <c r="A37" s="13">
        <v>28</v>
      </c>
      <c r="B37" s="3">
        <v>9</v>
      </c>
      <c r="C37" s="17">
        <v>7</v>
      </c>
      <c r="D37" s="3">
        <v>4</v>
      </c>
      <c r="E37" s="18">
        <v>6</v>
      </c>
      <c r="F37" s="18">
        <v>5</v>
      </c>
      <c r="G37" s="18">
        <v>59</v>
      </c>
      <c r="H37" s="19">
        <v>1</v>
      </c>
      <c r="I37" s="18">
        <v>61</v>
      </c>
      <c r="J37" s="18">
        <v>22</v>
      </c>
      <c r="K37" s="20">
        <v>167</v>
      </c>
      <c r="L37" s="18">
        <v>244</v>
      </c>
      <c r="M37" s="18">
        <v>240</v>
      </c>
      <c r="N37" s="18">
        <v>295</v>
      </c>
      <c r="O37" s="18">
        <v>97</v>
      </c>
      <c r="P37" s="18">
        <v>238</v>
      </c>
      <c r="Q37" s="17">
        <v>7</v>
      </c>
      <c r="R37" s="17">
        <v>8</v>
      </c>
      <c r="S37" s="17" t="s">
        <v>89</v>
      </c>
      <c r="T37" s="17" t="s">
        <v>89</v>
      </c>
      <c r="U37" s="17">
        <v>3</v>
      </c>
      <c r="V37" s="3">
        <v>8</v>
      </c>
      <c r="W37" s="20">
        <v>54</v>
      </c>
      <c r="X37" s="17">
        <v>8</v>
      </c>
      <c r="Y37" s="17">
        <v>7</v>
      </c>
      <c r="Z37" s="17">
        <v>6</v>
      </c>
      <c r="AA37" s="20">
        <v>114</v>
      </c>
      <c r="AB37" s="3"/>
      <c r="AC37" s="3"/>
      <c r="AD37" s="20"/>
      <c r="AE37" s="3"/>
      <c r="AF37" s="3"/>
      <c r="AG37" s="20"/>
      <c r="AH37" s="107" t="s">
        <v>85</v>
      </c>
      <c r="AI37" s="107"/>
      <c r="AJ37" s="107"/>
      <c r="AK37" s="107"/>
      <c r="AL37" s="108"/>
      <c r="AN37" s="67">
        <f t="shared" si="2"/>
        <v>-0.5277233382206532</v>
      </c>
      <c r="AO37" s="67">
        <f t="shared" si="2"/>
        <v>0.27239276575240012</v>
      </c>
      <c r="AP37" s="67">
        <f t="shared" si="2"/>
        <v>-0.43391936876037107</v>
      </c>
      <c r="AY37" s="67">
        <f t="shared" si="0"/>
        <v>295.52772333822065</v>
      </c>
      <c r="AZ37" s="67">
        <f t="shared" si="1"/>
        <v>96.7276072342476</v>
      </c>
      <c r="BA37" s="67">
        <f t="shared" si="3"/>
        <v>238.43391936876037</v>
      </c>
      <c r="BC37">
        <f t="shared" si="4"/>
        <v>30.552572506268454</v>
      </c>
      <c r="BD37">
        <v>1013.2</v>
      </c>
      <c r="BE37">
        <f t="shared" si="5"/>
        <v>29.827639714302066</v>
      </c>
    </row>
    <row r="38" spans="1:57" x14ac:dyDescent="0.2">
      <c r="A38" s="13">
        <v>29</v>
      </c>
      <c r="B38" s="3">
        <v>9</v>
      </c>
      <c r="C38" s="17">
        <v>8</v>
      </c>
      <c r="D38" s="3">
        <v>4</v>
      </c>
      <c r="E38" s="18">
        <v>6</v>
      </c>
      <c r="F38" s="18">
        <v>6</v>
      </c>
      <c r="G38" s="18">
        <v>58</v>
      </c>
      <c r="H38" s="19">
        <v>1</v>
      </c>
      <c r="I38" s="18">
        <v>61</v>
      </c>
      <c r="J38" s="18">
        <v>22</v>
      </c>
      <c r="K38" s="20">
        <v>162</v>
      </c>
      <c r="L38" s="18">
        <v>248</v>
      </c>
      <c r="M38" s="18">
        <v>244</v>
      </c>
      <c r="N38" s="18">
        <v>302</v>
      </c>
      <c r="O38" s="18">
        <v>97</v>
      </c>
      <c r="P38" s="18">
        <v>242</v>
      </c>
      <c r="Q38" s="17">
        <v>7</v>
      </c>
      <c r="R38" s="17">
        <v>8</v>
      </c>
      <c r="S38" s="17">
        <v>7</v>
      </c>
      <c r="T38" s="17" t="s">
        <v>89</v>
      </c>
      <c r="U38" s="17">
        <v>4</v>
      </c>
      <c r="V38" s="3">
        <v>8</v>
      </c>
      <c r="W38" s="20">
        <f>13*3</f>
        <v>39</v>
      </c>
      <c r="X38" s="17">
        <v>8</v>
      </c>
      <c r="Y38" s="17">
        <v>6</v>
      </c>
      <c r="Z38" s="17">
        <v>6</v>
      </c>
      <c r="AA38" s="20">
        <v>90</v>
      </c>
      <c r="AB38" s="17">
        <v>7</v>
      </c>
      <c r="AC38" s="17">
        <v>4</v>
      </c>
      <c r="AD38" s="20">
        <v>210</v>
      </c>
      <c r="AE38" s="3"/>
      <c r="AF38" s="3"/>
      <c r="AG38" s="20"/>
      <c r="AH38" s="107" t="s">
        <v>202</v>
      </c>
      <c r="AI38" s="107"/>
      <c r="AJ38" s="107"/>
      <c r="AK38" s="107"/>
      <c r="AL38" s="108"/>
      <c r="AN38" s="67">
        <f t="shared" si="2"/>
        <v>-0.77582082780452311</v>
      </c>
      <c r="AO38" s="67">
        <f t="shared" si="2"/>
        <v>0.24451189063559298</v>
      </c>
      <c r="AP38" s="67">
        <f t="shared" si="2"/>
        <v>-0.46490657074500064</v>
      </c>
      <c r="AY38" s="67">
        <f t="shared" si="0"/>
        <v>302.77582082780452</v>
      </c>
      <c r="AZ38" s="67">
        <f t="shared" si="1"/>
        <v>96.755488109364407</v>
      </c>
      <c r="BA38" s="67">
        <f t="shared" si="3"/>
        <v>242.464906570745</v>
      </c>
      <c r="BC38">
        <f t="shared" si="4"/>
        <v>31.29288340580451</v>
      </c>
      <c r="BD38">
        <v>1013.2</v>
      </c>
      <c r="BE38">
        <f t="shared" si="5"/>
        <v>30.552572506268454</v>
      </c>
    </row>
    <row r="39" spans="1:57" x14ac:dyDescent="0.2">
      <c r="A39" s="13">
        <v>30</v>
      </c>
      <c r="B39" s="3">
        <v>9</v>
      </c>
      <c r="C39" s="17">
        <v>7</v>
      </c>
      <c r="D39" s="3">
        <v>4</v>
      </c>
      <c r="E39" s="18">
        <v>7</v>
      </c>
      <c r="F39" s="18">
        <v>10</v>
      </c>
      <c r="G39" s="18">
        <v>64</v>
      </c>
      <c r="H39" s="19">
        <v>1</v>
      </c>
      <c r="I39" s="18">
        <v>5</v>
      </c>
      <c r="J39" s="18">
        <v>22</v>
      </c>
      <c r="K39" s="20">
        <v>145</v>
      </c>
      <c r="L39" s="18">
        <v>275</v>
      </c>
      <c r="M39" s="18">
        <v>240</v>
      </c>
      <c r="N39" s="18">
        <v>271</v>
      </c>
      <c r="O39" s="18">
        <v>74</v>
      </c>
      <c r="P39" s="18">
        <v>224</v>
      </c>
      <c r="Q39" s="17">
        <v>6</v>
      </c>
      <c r="R39" s="17">
        <v>8</v>
      </c>
      <c r="S39" s="17">
        <v>7</v>
      </c>
      <c r="T39" s="17">
        <v>0</v>
      </c>
      <c r="U39" s="17">
        <v>3</v>
      </c>
      <c r="V39" s="3">
        <v>8</v>
      </c>
      <c r="W39" s="20">
        <v>54</v>
      </c>
      <c r="X39" s="17">
        <v>8</v>
      </c>
      <c r="Y39" s="17">
        <v>5</v>
      </c>
      <c r="Z39" s="17">
        <v>6</v>
      </c>
      <c r="AA39" s="20">
        <v>114</v>
      </c>
      <c r="AB39" s="3"/>
      <c r="AC39" s="3"/>
      <c r="AD39" s="20"/>
      <c r="AE39" s="3"/>
      <c r="AF39" s="3"/>
      <c r="AG39" s="20"/>
      <c r="AH39" s="107" t="s">
        <v>85</v>
      </c>
      <c r="AI39" s="107"/>
      <c r="AJ39" s="107"/>
      <c r="AK39" s="107"/>
      <c r="AL39" s="108"/>
      <c r="AN39" s="67">
        <f t="shared" si="2"/>
        <v>-3.2255013510206254</v>
      </c>
      <c r="AO39" s="67">
        <f t="shared" si="2"/>
        <v>-0.69301199524635138</v>
      </c>
      <c r="AP39" s="67">
        <f t="shared" si="2"/>
        <v>-2.0641987635065107</v>
      </c>
      <c r="AY39" s="67">
        <f t="shared" si="0"/>
        <v>274.22550135102063</v>
      </c>
      <c r="AZ39" s="67">
        <f t="shared" si="1"/>
        <v>74.693011995246351</v>
      </c>
      <c r="BA39" s="67">
        <f t="shared" si="3"/>
        <v>226.06419876350651</v>
      </c>
      <c r="BC39">
        <f t="shared" si="4"/>
        <v>36.713675620481474</v>
      </c>
      <c r="BD39">
        <v>1013.2</v>
      </c>
      <c r="BE39">
        <f t="shared" si="5"/>
        <v>29.827639714302066</v>
      </c>
    </row>
    <row r="40" spans="1:57" x14ac:dyDescent="0.2">
      <c r="A40" s="13"/>
      <c r="B40" s="3"/>
      <c r="C40" s="17"/>
      <c r="D40" s="3"/>
      <c r="E40" s="18"/>
      <c r="F40" s="18"/>
      <c r="G40" s="18"/>
      <c r="H40" s="19"/>
      <c r="I40" s="18"/>
      <c r="J40" s="18"/>
      <c r="K40" s="20"/>
      <c r="L40" s="18"/>
      <c r="M40" s="18"/>
      <c r="N40" s="18"/>
      <c r="O40" s="18"/>
      <c r="P40" s="18"/>
      <c r="Q40" s="17"/>
      <c r="R40" s="17"/>
      <c r="S40" s="17"/>
      <c r="T40" s="17"/>
      <c r="U40" s="17"/>
      <c r="V40" s="3"/>
      <c r="W40" s="20"/>
      <c r="X40" s="17"/>
      <c r="Y40" s="3"/>
      <c r="Z40" s="3"/>
      <c r="AA40" s="20"/>
      <c r="AB40" s="3"/>
      <c r="AC40" s="3"/>
      <c r="AD40" s="20"/>
      <c r="AE40" s="3"/>
      <c r="AF40" s="3"/>
      <c r="AG40" s="20"/>
      <c r="AH40" s="107"/>
      <c r="AI40" s="107"/>
      <c r="AJ40" s="107"/>
      <c r="AK40" s="107"/>
      <c r="AL40" s="108"/>
      <c r="AN40" s="67"/>
      <c r="AO40" s="67"/>
      <c r="AP40" s="67"/>
      <c r="AY40" s="67">
        <f t="shared" si="0"/>
        <v>61.120000000000005</v>
      </c>
      <c r="AZ40" s="67">
        <f t="shared" si="1"/>
        <v>100</v>
      </c>
      <c r="BA40" s="67">
        <f t="shared" si="3"/>
        <v>0</v>
      </c>
      <c r="BC40">
        <f t="shared" si="4"/>
        <v>6.1120000000000001</v>
      </c>
      <c r="BD40">
        <v>1013.2</v>
      </c>
      <c r="BE40">
        <f t="shared" si="5"/>
        <v>6.1120000000000001</v>
      </c>
    </row>
    <row r="41" spans="1:57" x14ac:dyDescent="0.2">
      <c r="A41" s="18"/>
      <c r="B41" s="3"/>
      <c r="C41" s="17"/>
      <c r="D41" s="3"/>
      <c r="E41" s="18"/>
      <c r="F41" s="18"/>
      <c r="G41" s="18"/>
      <c r="H41" s="19"/>
      <c r="I41" s="18"/>
      <c r="J41" s="18"/>
      <c r="K41" s="20"/>
      <c r="L41" s="18"/>
      <c r="M41" s="18"/>
      <c r="N41" s="18"/>
      <c r="O41" s="18"/>
      <c r="P41" s="18"/>
      <c r="Q41" s="17"/>
      <c r="R41" s="17"/>
      <c r="S41" s="17"/>
      <c r="T41" s="17"/>
      <c r="U41" s="17"/>
      <c r="V41" s="3"/>
      <c r="W41" s="20"/>
      <c r="X41" s="3"/>
      <c r="Y41" s="3"/>
      <c r="Z41" s="3"/>
      <c r="AA41" s="20"/>
      <c r="AB41" s="3"/>
      <c r="AC41" s="3"/>
      <c r="AD41" s="20"/>
      <c r="AE41" s="3"/>
      <c r="AF41" s="3"/>
      <c r="AG41" s="20"/>
      <c r="AH41" s="109" t="s">
        <v>231</v>
      </c>
      <c r="AI41" s="107"/>
      <c r="AJ41" s="107"/>
      <c r="AK41" s="107"/>
      <c r="AL41" s="108"/>
      <c r="AN41" s="67"/>
      <c r="AO41" s="67"/>
      <c r="AP41" s="67"/>
    </row>
    <row r="42" spans="1:57" x14ac:dyDescent="0.2">
      <c r="A42" s="13" t="s">
        <v>9</v>
      </c>
      <c r="B42" s="1"/>
      <c r="C42" s="21">
        <f>SUM(C10:C40)</f>
        <v>158</v>
      </c>
      <c r="D42" s="1"/>
      <c r="E42" s="13"/>
      <c r="F42" s="13">
        <f>SUM(F10:F40)</f>
        <v>329</v>
      </c>
      <c r="G42" s="13"/>
      <c r="H42" s="2"/>
      <c r="I42" s="13"/>
      <c r="J42" s="13"/>
      <c r="K42" s="22">
        <f>SUM(K10:K40)</f>
        <v>4292</v>
      </c>
      <c r="L42" s="13">
        <f>SUM(L10:L40)</f>
        <v>8375</v>
      </c>
      <c r="M42" s="13">
        <f>SUM(M10:M40)</f>
        <v>7456</v>
      </c>
      <c r="N42" s="13">
        <f>SUM(N10:N40)</f>
        <v>8704</v>
      </c>
      <c r="O42" s="13">
        <f>SUM(O10:O40)</f>
        <v>2323</v>
      </c>
      <c r="P42" s="13">
        <f t="shared" ref="P42" si="6">SUM(P10:P40)</f>
        <v>7043</v>
      </c>
      <c r="Q42" s="21">
        <f>SUM(Q10:Q40)</f>
        <v>118</v>
      </c>
      <c r="R42" s="21"/>
      <c r="S42" s="21"/>
      <c r="T42" s="21"/>
      <c r="U42" s="21"/>
      <c r="V42" s="1"/>
      <c r="W42" s="22"/>
      <c r="X42" s="1"/>
      <c r="Y42" s="1"/>
      <c r="Z42" s="1"/>
      <c r="AA42" s="22"/>
      <c r="AB42" s="1"/>
      <c r="AC42" s="1"/>
      <c r="AD42" s="22"/>
      <c r="AE42" s="1"/>
      <c r="AF42" s="1"/>
      <c r="AG42" s="22"/>
      <c r="AH42" s="116"/>
      <c r="AI42" s="116"/>
      <c r="AJ42" s="116"/>
      <c r="AK42" s="116"/>
      <c r="AL42" s="117"/>
      <c r="AN42" s="67"/>
      <c r="AO42" s="67"/>
      <c r="AP42" s="67"/>
    </row>
    <row r="43" spans="1:57" ht="13.5" thickBot="1" x14ac:dyDescent="0.25">
      <c r="A43" s="23" t="s">
        <v>10</v>
      </c>
      <c r="B43" s="24"/>
      <c r="C43" s="25">
        <f>AVERAGE(C10:C40)</f>
        <v>5.2666666666666666</v>
      </c>
      <c r="D43" s="24"/>
      <c r="E43" s="23">
        <f>MODE(E10:E40)</f>
        <v>11</v>
      </c>
      <c r="F43" s="23">
        <f>AVERAGE(F10:F40)</f>
        <v>10.966666666666667</v>
      </c>
      <c r="G43" s="23"/>
      <c r="H43" s="26"/>
      <c r="I43" s="23"/>
      <c r="J43" s="23"/>
      <c r="K43" s="27">
        <f>AVERAGE(K10:K40)</f>
        <v>143.06666666666666</v>
      </c>
      <c r="L43" s="23">
        <f t="shared" ref="L43:Q43" si="7">AVERAGE(L10:L40)</f>
        <v>279.16666666666669</v>
      </c>
      <c r="M43" s="23">
        <f t="shared" si="7"/>
        <v>248.53333333333333</v>
      </c>
      <c r="N43" s="23">
        <f t="shared" si="7"/>
        <v>290.13333333333333</v>
      </c>
      <c r="O43" s="23">
        <f t="shared" si="7"/>
        <v>77.433333333333337</v>
      </c>
      <c r="P43" s="23">
        <f>AVERAGE(P10:P40)</f>
        <v>234.76666666666668</v>
      </c>
      <c r="Q43" s="25">
        <f t="shared" si="7"/>
        <v>3.9333333333333331</v>
      </c>
      <c r="R43" s="25"/>
      <c r="S43" s="25"/>
      <c r="T43" s="25"/>
      <c r="U43" s="25"/>
      <c r="V43" s="24"/>
      <c r="W43" s="27"/>
      <c r="X43" s="24"/>
      <c r="Y43" s="24"/>
      <c r="Z43" s="24"/>
      <c r="AA43" s="27"/>
      <c r="AB43" s="24"/>
      <c r="AC43" s="24"/>
      <c r="AD43" s="27"/>
      <c r="AE43" s="24"/>
      <c r="AF43" s="24"/>
      <c r="AG43" s="27"/>
      <c r="AH43" s="111"/>
      <c r="AI43" s="111"/>
      <c r="AJ43" s="111"/>
      <c r="AK43" s="111"/>
      <c r="AL43" s="112"/>
      <c r="AN43" s="67">
        <f>AVERAGE(AN10:AN40)</f>
        <v>-2.9099273414452438</v>
      </c>
      <c r="AO43" s="67">
        <f t="shared" ref="AO43:AP43" si="8">AVERAGE(AO10:AO40)</f>
        <v>-0.86934985882168336</v>
      </c>
      <c r="AP43" s="67">
        <f t="shared" si="8"/>
        <v>-2.0751918097555233</v>
      </c>
    </row>
    <row r="44" spans="1:57" x14ac:dyDescent="0.2">
      <c r="E44" s="11"/>
      <c r="G44" s="11"/>
      <c r="K44" s="4"/>
      <c r="M44" s="11"/>
      <c r="P44" s="11"/>
      <c r="Q44" s="11"/>
      <c r="W44" s="4"/>
      <c r="AA44" s="4"/>
      <c r="AD44" s="4"/>
    </row>
    <row r="45" spans="1:57" x14ac:dyDescent="0.2">
      <c r="E45" s="11"/>
      <c r="G45" s="11"/>
      <c r="K45" s="4"/>
      <c r="M45" s="11"/>
      <c r="P45" s="11"/>
      <c r="Q45" s="11"/>
      <c r="W45" s="4"/>
      <c r="AA45" s="4"/>
    </row>
    <row r="46" spans="1:57" x14ac:dyDescent="0.2">
      <c r="E46" s="11"/>
      <c r="G46" s="11"/>
      <c r="M46" s="11"/>
      <c r="P46" s="11"/>
      <c r="Q46" s="11"/>
      <c r="W46" s="4"/>
      <c r="AA46" s="4"/>
    </row>
    <row r="47" spans="1:57" x14ac:dyDescent="0.2">
      <c r="E47" s="11"/>
      <c r="G47" s="11"/>
      <c r="M47" s="11"/>
      <c r="P47" s="11"/>
      <c r="Q47" s="11"/>
    </row>
    <row r="48" spans="1:57" x14ac:dyDescent="0.2">
      <c r="E48" s="11"/>
      <c r="G48" s="11"/>
      <c r="M48" s="11"/>
      <c r="P48" s="11"/>
      <c r="Q48" s="11"/>
    </row>
    <row r="49" spans="5:17" x14ac:dyDescent="0.2">
      <c r="E49" s="11"/>
      <c r="G49" s="11"/>
      <c r="M49" s="11"/>
      <c r="P49" s="11"/>
      <c r="Q49" s="11"/>
    </row>
  </sheetData>
  <mergeCells count="72">
    <mergeCell ref="AH41:AL41"/>
    <mergeCell ref="AH42:AL42"/>
    <mergeCell ref="AH43:AL43"/>
    <mergeCell ref="AH36:AL36"/>
    <mergeCell ref="AH37:AL37"/>
    <mergeCell ref="AH38:AL38"/>
    <mergeCell ref="AH39:AL39"/>
    <mergeCell ref="AH40:AL40"/>
    <mergeCell ref="AH31:AL31"/>
    <mergeCell ref="AH32:AL32"/>
    <mergeCell ref="AH33:AL33"/>
    <mergeCell ref="AH34:AL34"/>
    <mergeCell ref="AH35:AL35"/>
    <mergeCell ref="AH26:AL26"/>
    <mergeCell ref="AH27:AL27"/>
    <mergeCell ref="AH28:AL28"/>
    <mergeCell ref="AH29:AL29"/>
    <mergeCell ref="AH30:AL30"/>
    <mergeCell ref="AH21:AL21"/>
    <mergeCell ref="AH22:AL22"/>
    <mergeCell ref="AH23:AL23"/>
    <mergeCell ref="AH24:AL24"/>
    <mergeCell ref="AH25:AL25"/>
    <mergeCell ref="AH16:AL16"/>
    <mergeCell ref="AH17:AL17"/>
    <mergeCell ref="AH18:AL18"/>
    <mergeCell ref="AH20:AL20"/>
    <mergeCell ref="AH19:AL19"/>
    <mergeCell ref="AH11:AL11"/>
    <mergeCell ref="AH12:AL12"/>
    <mergeCell ref="AH13:AL13"/>
    <mergeCell ref="AH14:AL14"/>
    <mergeCell ref="AH15:AL15"/>
    <mergeCell ref="U8:W8"/>
    <mergeCell ref="X8:AA8"/>
    <mergeCell ref="AB8:AD8"/>
    <mergeCell ref="AE8:AG8"/>
    <mergeCell ref="AH10:AL10"/>
    <mergeCell ref="AH7:AL9"/>
    <mergeCell ref="P8:P9"/>
    <mergeCell ref="Q8:Q9"/>
    <mergeCell ref="R8:R9"/>
    <mergeCell ref="S8:S9"/>
    <mergeCell ref="T8:T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3:T3"/>
    <mergeCell ref="E7:F7"/>
    <mergeCell ref="L7:P7"/>
    <mergeCell ref="Q7:T7"/>
    <mergeCell ref="U7:AG7"/>
    <mergeCell ref="AN7:AP7"/>
    <mergeCell ref="AY7:BA7"/>
    <mergeCell ref="AN8:AN9"/>
    <mergeCell ref="AO8:AO9"/>
    <mergeCell ref="AP8:AP9"/>
    <mergeCell ref="AY8:AY9"/>
    <mergeCell ref="AZ8:AZ9"/>
    <mergeCell ref="BA8:BA9"/>
  </mergeCells>
  <phoneticPr fontId="2" type="noConversion"/>
  <dataValidations count="5">
    <dataValidation type="whole" allowBlank="1" showInputMessage="1" showErrorMessage="1" sqref="C10:C40" xr:uid="{00000000-0002-0000-0A00-000000000000}">
      <formula1>0</formula1>
      <formula2>9</formula2>
    </dataValidation>
    <dataValidation type="whole" allowBlank="1" showInputMessage="1" showErrorMessage="1" sqref="Y10:Y40" xr:uid="{00000000-0002-0000-0A00-000001000000}">
      <formula1>3</formula1>
      <formula2>9</formula2>
    </dataValidation>
    <dataValidation type="whole" allowBlank="1" showInputMessage="1" showErrorMessage="1" sqref="AB10:AB40" xr:uid="{00000000-0002-0000-0A00-000002000000}">
      <formula1>5</formula1>
      <formula2>9</formula2>
    </dataValidation>
    <dataValidation type="whole" allowBlank="1" showInputMessage="1" showErrorMessage="1" sqref="D10:D40" xr:uid="{00000000-0002-0000-0A00-000003000000}">
      <formula1>0</formula1>
      <formula2>4</formula2>
    </dataValidation>
    <dataValidation type="whole" allowBlank="1" showInputMessage="1" showErrorMessage="1" sqref="AE10:AE40" xr:uid="{00000000-0002-0000-0A00-000004000000}">
      <formula1>1</formula1>
      <formula2>9</formula2>
    </dataValidation>
  </dataValidations>
  <pageMargins left="0.75" right="0.75" top="1" bottom="1" header="0.5" footer="0.5"/>
  <pageSetup orientation="portrait" horizont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49"/>
  <sheetViews>
    <sheetView workbookViewId="0">
      <pane xSplit="2" ySplit="9" topLeftCell="C11" activePane="bottomRight" state="frozen"/>
      <selection activeCell="AM2" sqref="AM2"/>
      <selection pane="topRight" activeCell="AM2" sqref="AM2"/>
      <selection pane="bottomLeft" activeCell="AM2" sqref="AM2"/>
      <selection pane="bottomRight" activeCell="AH42" sqref="AH42:AL42"/>
    </sheetView>
  </sheetViews>
  <sheetFormatPr defaultRowHeight="12.75" x14ac:dyDescent="0.2"/>
  <cols>
    <col min="1" max="1" width="4.28515625" bestFit="1" customWidth="1"/>
    <col min="2" max="2" width="5.140625" bestFit="1" customWidth="1"/>
    <col min="3" max="3" width="4" bestFit="1" customWidth="1"/>
    <col min="4" max="5" width="3" bestFit="1" customWidth="1"/>
    <col min="6" max="6" width="4" bestFit="1" customWidth="1"/>
    <col min="7" max="10" width="3" bestFit="1" customWidth="1"/>
    <col min="11" max="11" width="8.5703125" bestFit="1" customWidth="1"/>
    <col min="12" max="16" width="5" bestFit="1" customWidth="1"/>
    <col min="17" max="17" width="4" bestFit="1" customWidth="1"/>
    <col min="18" max="22" width="3" bestFit="1" customWidth="1"/>
    <col min="23" max="23" width="5.28515625" bestFit="1" customWidth="1"/>
    <col min="24" max="26" width="3" bestFit="1" customWidth="1"/>
    <col min="27" max="27" width="5.28515625" bestFit="1" customWidth="1"/>
    <col min="28" max="29" width="3" bestFit="1" customWidth="1"/>
    <col min="30" max="30" width="5.28515625" bestFit="1" customWidth="1"/>
    <col min="31" max="32" width="3" bestFit="1" customWidth="1"/>
    <col min="33" max="33" width="5.28515625" bestFit="1" customWidth="1"/>
    <col min="34" max="34" width="5.42578125" customWidth="1"/>
    <col min="40" max="42" width="4.7109375" customWidth="1"/>
    <col min="50" max="58" width="0" hidden="1" customWidth="1"/>
  </cols>
  <sheetData>
    <row r="1" spans="1:5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  <c r="P1" s="1"/>
      <c r="Q1" s="1"/>
      <c r="R1" s="1"/>
    </row>
    <row r="2" spans="1:57" ht="36.75" customHeight="1" x14ac:dyDescent="0.2">
      <c r="A2" s="1"/>
      <c r="B2" s="1"/>
      <c r="C2" s="1"/>
      <c r="D2" s="1"/>
      <c r="E2" s="1"/>
      <c r="F2" s="1"/>
      <c r="G2" s="1"/>
      <c r="H2" s="1"/>
      <c r="I2" s="2"/>
      <c r="J2" s="2"/>
      <c r="K2" s="1"/>
      <c r="L2" s="1"/>
      <c r="M2" s="1"/>
      <c r="O2" s="2"/>
      <c r="P2" s="1"/>
      <c r="Q2" s="1"/>
      <c r="R2" s="1"/>
    </row>
    <row r="3" spans="1:5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80"/>
      <c r="Q3" s="80"/>
      <c r="R3" s="80"/>
      <c r="S3" s="80"/>
      <c r="T3" s="80"/>
    </row>
    <row r="4" spans="1:5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7" spans="1:57" ht="14.25" x14ac:dyDescent="0.25">
      <c r="A7" s="7"/>
      <c r="B7" s="7"/>
      <c r="C7" s="7"/>
      <c r="D7" s="7"/>
      <c r="E7" s="81" t="s">
        <v>20</v>
      </c>
      <c r="F7" s="81"/>
      <c r="G7" s="7"/>
      <c r="H7" s="7"/>
      <c r="I7" s="7"/>
      <c r="J7" s="7"/>
      <c r="K7" s="7"/>
      <c r="L7" s="82" t="s">
        <v>11</v>
      </c>
      <c r="M7" s="82"/>
      <c r="N7" s="82"/>
      <c r="O7" s="82"/>
      <c r="P7" s="82"/>
      <c r="Q7" s="83" t="s">
        <v>29</v>
      </c>
      <c r="R7" s="83"/>
      <c r="S7" s="83"/>
      <c r="T7" s="83"/>
      <c r="U7" s="84" t="s">
        <v>33</v>
      </c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98" t="s">
        <v>8</v>
      </c>
      <c r="AI7" s="99"/>
      <c r="AJ7" s="99"/>
      <c r="AK7" s="99"/>
      <c r="AL7" s="100"/>
      <c r="AN7" s="73" t="s">
        <v>80</v>
      </c>
      <c r="AO7" s="74"/>
      <c r="AP7" s="75"/>
      <c r="AY7" s="76" t="s">
        <v>81</v>
      </c>
      <c r="AZ7" s="77"/>
      <c r="BA7" s="78"/>
    </row>
    <row r="8" spans="1:57" ht="16.5" customHeight="1" x14ac:dyDescent="0.2">
      <c r="A8" s="85" t="s">
        <v>18</v>
      </c>
      <c r="B8" s="89" t="s">
        <v>19</v>
      </c>
      <c r="C8" s="90" t="s">
        <v>23</v>
      </c>
      <c r="D8" s="88" t="s">
        <v>24</v>
      </c>
      <c r="E8" s="91" t="s">
        <v>25</v>
      </c>
      <c r="F8" s="86" t="s">
        <v>26</v>
      </c>
      <c r="G8" s="88" t="s">
        <v>27</v>
      </c>
      <c r="H8" s="88" t="s">
        <v>0</v>
      </c>
      <c r="I8" s="88" t="s">
        <v>21</v>
      </c>
      <c r="J8" s="88" t="s">
        <v>22</v>
      </c>
      <c r="K8" s="85" t="s">
        <v>28</v>
      </c>
      <c r="L8" s="79" t="s">
        <v>1</v>
      </c>
      <c r="M8" s="79" t="s">
        <v>2</v>
      </c>
      <c r="N8" s="79" t="s">
        <v>3</v>
      </c>
      <c r="O8" s="79" t="s">
        <v>4</v>
      </c>
      <c r="P8" s="79" t="s">
        <v>5</v>
      </c>
      <c r="Q8" s="92" t="s">
        <v>34</v>
      </c>
      <c r="R8" s="92" t="s">
        <v>30</v>
      </c>
      <c r="S8" s="92" t="s">
        <v>31</v>
      </c>
      <c r="T8" s="92" t="s">
        <v>32</v>
      </c>
      <c r="U8" s="93" t="s">
        <v>38</v>
      </c>
      <c r="V8" s="93"/>
      <c r="W8" s="93"/>
      <c r="X8" s="93" t="s">
        <v>39</v>
      </c>
      <c r="Y8" s="93"/>
      <c r="Z8" s="93"/>
      <c r="AA8" s="93"/>
      <c r="AB8" s="93" t="s">
        <v>40</v>
      </c>
      <c r="AC8" s="93"/>
      <c r="AD8" s="93"/>
      <c r="AE8" s="93" t="s">
        <v>41</v>
      </c>
      <c r="AF8" s="94"/>
      <c r="AG8" s="95"/>
      <c r="AH8" s="101"/>
      <c r="AI8" s="102"/>
      <c r="AJ8" s="102"/>
      <c r="AK8" s="102"/>
      <c r="AL8" s="103"/>
      <c r="AN8" s="79" t="s">
        <v>3</v>
      </c>
      <c r="AO8" s="79" t="s">
        <v>4</v>
      </c>
      <c r="AP8" s="79" t="s">
        <v>5</v>
      </c>
      <c r="AY8" s="79" t="s">
        <v>3</v>
      </c>
      <c r="AZ8" s="79" t="s">
        <v>4</v>
      </c>
      <c r="BA8" s="79" t="s">
        <v>5</v>
      </c>
    </row>
    <row r="9" spans="1:57" s="3" customFormat="1" ht="72" customHeight="1" x14ac:dyDescent="0.2">
      <c r="A9" s="85"/>
      <c r="B9" s="89"/>
      <c r="C9" s="90"/>
      <c r="D9" s="88"/>
      <c r="E9" s="91"/>
      <c r="F9" s="87"/>
      <c r="G9" s="88"/>
      <c r="H9" s="88"/>
      <c r="I9" s="88"/>
      <c r="J9" s="88"/>
      <c r="K9" s="85"/>
      <c r="L9" s="79"/>
      <c r="M9" s="79"/>
      <c r="N9" s="79"/>
      <c r="O9" s="79"/>
      <c r="P9" s="79"/>
      <c r="Q9" s="92"/>
      <c r="R9" s="92"/>
      <c r="S9" s="92"/>
      <c r="T9" s="92"/>
      <c r="U9" s="8" t="s">
        <v>16</v>
      </c>
      <c r="V9" s="8" t="s">
        <v>6</v>
      </c>
      <c r="W9" s="9" t="s">
        <v>7</v>
      </c>
      <c r="X9" s="8" t="s">
        <v>17</v>
      </c>
      <c r="Y9" s="8" t="s">
        <v>16</v>
      </c>
      <c r="Z9" s="8" t="s">
        <v>6</v>
      </c>
      <c r="AA9" s="9" t="s">
        <v>7</v>
      </c>
      <c r="AB9" s="8" t="s">
        <v>16</v>
      </c>
      <c r="AC9" s="8" t="s">
        <v>6</v>
      </c>
      <c r="AD9" s="9" t="s">
        <v>7</v>
      </c>
      <c r="AE9" s="8" t="s">
        <v>16</v>
      </c>
      <c r="AF9" s="8" t="s">
        <v>6</v>
      </c>
      <c r="AG9" s="9" t="s">
        <v>7</v>
      </c>
      <c r="AH9" s="104"/>
      <c r="AI9" s="105"/>
      <c r="AJ9" s="105"/>
      <c r="AK9" s="105"/>
      <c r="AL9" s="106"/>
      <c r="AN9" s="79"/>
      <c r="AO9" s="79"/>
      <c r="AP9" s="79"/>
      <c r="AY9" s="79"/>
      <c r="AZ9" s="79"/>
      <c r="BA9" s="79"/>
      <c r="BC9" s="3" t="s">
        <v>82</v>
      </c>
      <c r="BD9" s="3" t="s">
        <v>83</v>
      </c>
      <c r="BE9" s="3" t="s">
        <v>84</v>
      </c>
    </row>
    <row r="10" spans="1:57" x14ac:dyDescent="0.2">
      <c r="A10" s="13">
        <v>1</v>
      </c>
      <c r="B10" s="3">
        <v>8</v>
      </c>
      <c r="C10" s="17">
        <v>7</v>
      </c>
      <c r="D10" s="3">
        <v>4</v>
      </c>
      <c r="E10" s="18">
        <v>10</v>
      </c>
      <c r="F10" s="18">
        <v>11</v>
      </c>
      <c r="G10" s="18">
        <v>68</v>
      </c>
      <c r="H10" s="19">
        <v>1</v>
      </c>
      <c r="I10" s="18">
        <v>6</v>
      </c>
      <c r="J10" s="18">
        <v>11</v>
      </c>
      <c r="K10" s="20">
        <v>150</v>
      </c>
      <c r="L10" s="18">
        <v>280</v>
      </c>
      <c r="M10" s="18">
        <v>242</v>
      </c>
      <c r="N10" s="18">
        <v>279</v>
      </c>
      <c r="O10" s="18">
        <v>74</v>
      </c>
      <c r="P10" s="18">
        <v>229</v>
      </c>
      <c r="Q10" s="17">
        <v>2</v>
      </c>
      <c r="R10" s="17">
        <v>8</v>
      </c>
      <c r="S10" s="17">
        <v>0</v>
      </c>
      <c r="T10" s="17">
        <v>8</v>
      </c>
      <c r="U10" s="17">
        <v>2</v>
      </c>
      <c r="V10" s="3">
        <v>8</v>
      </c>
      <c r="W10" s="20">
        <v>57</v>
      </c>
      <c r="X10" s="17">
        <v>8</v>
      </c>
      <c r="Y10" s="17">
        <v>7</v>
      </c>
      <c r="Z10" s="17">
        <v>2</v>
      </c>
      <c r="AA10" s="20">
        <v>780</v>
      </c>
      <c r="AB10" s="3"/>
      <c r="AC10" s="3"/>
      <c r="AD10" s="20"/>
      <c r="AE10" s="3"/>
      <c r="AF10" s="3"/>
      <c r="AG10" s="20"/>
      <c r="AH10" s="96" t="s">
        <v>85</v>
      </c>
      <c r="AI10" s="96"/>
      <c r="AJ10" s="96"/>
      <c r="AK10" s="96"/>
      <c r="AL10" s="97"/>
      <c r="AN10" s="67">
        <f>N10-AY10</f>
        <v>3.2362365150721644</v>
      </c>
      <c r="AO10" s="67">
        <f>O10-AZ10</f>
        <v>1.0522001434384833</v>
      </c>
      <c r="AP10" s="67">
        <f>P10-BA10</f>
        <v>2.0148582833373609</v>
      </c>
      <c r="AY10" s="67">
        <f t="shared" ref="AY10:AY40" si="0">10*(BE10-BD10*((L10/10)-(M10/10))*0.00066*(1+(0.00115*(M10/10))))</f>
        <v>275.76376348492784</v>
      </c>
      <c r="AZ10" s="67">
        <f t="shared" ref="AZ10:AZ40" si="1">((AY10/10)*100)/BC10</f>
        <v>72.947799856561517</v>
      </c>
      <c r="BA10" s="67">
        <f>(243.5*LN((AY10/10)/6.112))/(17.67-LN((AY10/10)/6.112))*10</f>
        <v>226.98514171666264</v>
      </c>
      <c r="BC10">
        <f>6.112*2.718^((17.67*(L10/10))/((L10/10)+243.5))</f>
        <v>37.802889741317315</v>
      </c>
      <c r="BD10">
        <v>1013.2</v>
      </c>
      <c r="BE10">
        <f>6.112*2.718^((17.67*(M10/10))/((M10/10)+243.5))</f>
        <v>30.188200917340787</v>
      </c>
    </row>
    <row r="11" spans="1:57" x14ac:dyDescent="0.2">
      <c r="A11" s="13">
        <v>2</v>
      </c>
      <c r="B11" s="3">
        <v>8</v>
      </c>
      <c r="C11" s="17">
        <v>2</v>
      </c>
      <c r="D11" s="3">
        <v>4</v>
      </c>
      <c r="E11" s="18">
        <v>11</v>
      </c>
      <c r="F11" s="18">
        <v>14</v>
      </c>
      <c r="G11" s="18">
        <v>70</v>
      </c>
      <c r="H11" s="19">
        <v>1</v>
      </c>
      <c r="I11" s="18">
        <v>6</v>
      </c>
      <c r="J11" s="18">
        <v>0</v>
      </c>
      <c r="K11" s="20">
        <v>135</v>
      </c>
      <c r="L11" s="18">
        <v>281</v>
      </c>
      <c r="M11" s="18">
        <v>253</v>
      </c>
      <c r="N11" s="18">
        <v>300</v>
      </c>
      <c r="O11" s="18">
        <v>79</v>
      </c>
      <c r="P11" s="18">
        <v>241</v>
      </c>
      <c r="Q11" s="17">
        <v>2</v>
      </c>
      <c r="R11" s="17">
        <v>2</v>
      </c>
      <c r="S11" s="17">
        <v>0</v>
      </c>
      <c r="T11" s="17">
        <v>2</v>
      </c>
      <c r="U11" s="17">
        <v>2</v>
      </c>
      <c r="V11" s="3">
        <v>8</v>
      </c>
      <c r="W11" s="20">
        <v>60</v>
      </c>
      <c r="X11" s="17">
        <v>8</v>
      </c>
      <c r="Y11" s="3"/>
      <c r="Z11" s="3"/>
      <c r="AA11" s="20"/>
      <c r="AB11" s="3"/>
      <c r="AC11" s="3"/>
      <c r="AD11" s="20"/>
      <c r="AE11" s="3"/>
      <c r="AF11" s="3"/>
      <c r="AG11" s="20"/>
      <c r="AH11" s="107" t="s">
        <v>85</v>
      </c>
      <c r="AI11" s="107"/>
      <c r="AJ11" s="107"/>
      <c r="AK11" s="107"/>
      <c r="AL11" s="108"/>
      <c r="AN11" s="67">
        <f t="shared" ref="AN11:AP39" si="2">N11-AY11</f>
        <v>-3.134467988515496</v>
      </c>
      <c r="AO11" s="67">
        <f t="shared" si="2"/>
        <v>-0.7216914368385261</v>
      </c>
      <c r="AP11" s="67">
        <f t="shared" si="2"/>
        <v>-1.6621639098070204</v>
      </c>
      <c r="AY11" s="67">
        <f t="shared" si="0"/>
        <v>303.1344679885155</v>
      </c>
      <c r="AZ11" s="67">
        <f t="shared" si="1"/>
        <v>79.721691436838526</v>
      </c>
      <c r="BA11" s="67">
        <f t="shared" ref="BA11:BA40" si="3">(243.5*LN((AY11/10)/6.112))/(17.67-LN((AY11/10)/6.112))*10</f>
        <v>242.66216390980702</v>
      </c>
      <c r="BC11">
        <f t="shared" ref="BC11:BC40" si="4">6.112*2.718^((17.67*(L11/10))/((L11/10)+243.5))</f>
        <v>38.024088867793438</v>
      </c>
      <c r="BD11">
        <v>1013.2</v>
      </c>
      <c r="BE11">
        <f t="shared" ref="BE11:BE40" si="5">6.112*2.718^((17.67*(M11/10))/((M11/10)+243.5))</f>
        <v>32.24031769064355</v>
      </c>
    </row>
    <row r="12" spans="1:57" x14ac:dyDescent="0.2">
      <c r="A12" s="13">
        <v>3</v>
      </c>
      <c r="B12" s="3">
        <v>8</v>
      </c>
      <c r="C12" s="17">
        <v>3</v>
      </c>
      <c r="D12" s="3">
        <v>4</v>
      </c>
      <c r="E12" s="18">
        <v>9</v>
      </c>
      <c r="F12" s="18">
        <v>12</v>
      </c>
      <c r="G12" s="18">
        <v>74</v>
      </c>
      <c r="H12" s="19">
        <v>1</v>
      </c>
      <c r="I12" s="18">
        <v>5</v>
      </c>
      <c r="J12" s="18">
        <v>11</v>
      </c>
      <c r="K12" s="20">
        <v>136</v>
      </c>
      <c r="L12" s="18">
        <v>281</v>
      </c>
      <c r="M12" s="18">
        <v>247</v>
      </c>
      <c r="N12" s="18">
        <v>285</v>
      </c>
      <c r="O12" s="18">
        <v>75</v>
      </c>
      <c r="P12" s="18">
        <v>232</v>
      </c>
      <c r="Q12" s="17">
        <v>2</v>
      </c>
      <c r="R12" s="17">
        <v>8</v>
      </c>
      <c r="S12" s="17">
        <v>0</v>
      </c>
      <c r="T12" s="17">
        <v>1</v>
      </c>
      <c r="U12" s="17">
        <v>1</v>
      </c>
      <c r="V12" s="3">
        <v>8</v>
      </c>
      <c r="W12" s="20">
        <v>63</v>
      </c>
      <c r="X12" s="17">
        <v>8</v>
      </c>
      <c r="Y12" s="3"/>
      <c r="Z12" s="3"/>
      <c r="AA12" s="20"/>
      <c r="AB12" s="3"/>
      <c r="AC12" s="3"/>
      <c r="AD12" s="20"/>
      <c r="AE12" s="3"/>
      <c r="AF12" s="3"/>
      <c r="AG12" s="20"/>
      <c r="AH12" s="107" t="s">
        <v>85</v>
      </c>
      <c r="AI12" s="107"/>
      <c r="AJ12" s="107"/>
      <c r="AK12" s="107"/>
      <c r="AL12" s="108"/>
      <c r="AN12" s="67">
        <f t="shared" si="2"/>
        <v>-2.6814598107501979</v>
      </c>
      <c r="AO12" s="67">
        <f t="shared" si="2"/>
        <v>-0.65768658152320825</v>
      </c>
      <c r="AP12" s="67">
        <f t="shared" si="2"/>
        <v>-1.9714771253063077</v>
      </c>
      <c r="AY12" s="67">
        <f t="shared" si="0"/>
        <v>287.6814598107502</v>
      </c>
      <c r="AZ12" s="67">
        <f t="shared" si="1"/>
        <v>75.657686581523208</v>
      </c>
      <c r="BA12" s="67">
        <f t="shared" si="3"/>
        <v>233.97147712530631</v>
      </c>
      <c r="BC12">
        <f t="shared" si="4"/>
        <v>38.024088867793438</v>
      </c>
      <c r="BD12">
        <v>1013.2</v>
      </c>
      <c r="BE12">
        <f t="shared" si="5"/>
        <v>31.106348979899021</v>
      </c>
    </row>
    <row r="13" spans="1:57" x14ac:dyDescent="0.2">
      <c r="A13" s="13">
        <v>4</v>
      </c>
      <c r="B13" s="3">
        <v>8</v>
      </c>
      <c r="C13" s="17">
        <v>5</v>
      </c>
      <c r="D13" s="3">
        <v>4</v>
      </c>
      <c r="E13" s="18">
        <v>9</v>
      </c>
      <c r="F13" s="18">
        <v>11</v>
      </c>
      <c r="G13" s="18">
        <v>75</v>
      </c>
      <c r="H13" s="19">
        <v>2</v>
      </c>
      <c r="I13" s="18"/>
      <c r="J13" s="18"/>
      <c r="K13" s="20">
        <v>141</v>
      </c>
      <c r="L13" s="18">
        <v>284</v>
      </c>
      <c r="M13" s="18">
        <v>250</v>
      </c>
      <c r="N13" s="18">
        <v>290</v>
      </c>
      <c r="O13" s="18">
        <v>75</v>
      </c>
      <c r="P13" s="18">
        <v>235</v>
      </c>
      <c r="Q13" s="17">
        <v>1</v>
      </c>
      <c r="R13" s="17">
        <v>2</v>
      </c>
      <c r="S13" s="17">
        <v>0</v>
      </c>
      <c r="T13" s="17">
        <v>2</v>
      </c>
      <c r="U13" s="17">
        <v>1</v>
      </c>
      <c r="V13" s="3">
        <v>8</v>
      </c>
      <c r="W13" s="20">
        <v>66</v>
      </c>
      <c r="X13" s="17">
        <v>8</v>
      </c>
      <c r="Y13" s="17">
        <v>5</v>
      </c>
      <c r="Z13" s="17">
        <v>0</v>
      </c>
      <c r="AA13" s="20">
        <v>870</v>
      </c>
      <c r="AB13" s="3"/>
      <c r="AC13" s="3"/>
      <c r="AD13" s="20"/>
      <c r="AE13" s="3"/>
      <c r="AF13" s="3"/>
      <c r="AG13" s="20"/>
      <c r="AH13" s="107"/>
      <c r="AI13" s="107"/>
      <c r="AJ13" s="107"/>
      <c r="AK13" s="107"/>
      <c r="AL13" s="108"/>
      <c r="AN13" s="67">
        <f t="shared" si="2"/>
        <v>-3.299042116159967</v>
      </c>
      <c r="AO13" s="67">
        <f t="shared" si="2"/>
        <v>-0.79866573576481414</v>
      </c>
      <c r="AP13" s="67">
        <f t="shared" si="2"/>
        <v>-2.1770456407085135</v>
      </c>
      <c r="AY13" s="67">
        <f t="shared" si="0"/>
        <v>293.29904211615997</v>
      </c>
      <c r="AZ13" s="67">
        <f t="shared" si="1"/>
        <v>75.798665735764814</v>
      </c>
      <c r="BA13" s="67">
        <f t="shared" si="3"/>
        <v>237.17704564070851</v>
      </c>
      <c r="BC13">
        <f t="shared" si="4"/>
        <v>38.694486145521928</v>
      </c>
      <c r="BD13">
        <v>1013.2</v>
      </c>
      <c r="BE13">
        <f t="shared" si="5"/>
        <v>31.668891609615997</v>
      </c>
    </row>
    <row r="14" spans="1:57" x14ac:dyDescent="0.2">
      <c r="A14" s="13">
        <v>5</v>
      </c>
      <c r="B14" s="3">
        <v>8</v>
      </c>
      <c r="C14" s="17">
        <v>3</v>
      </c>
      <c r="D14" s="3">
        <v>4</v>
      </c>
      <c r="E14" s="18">
        <v>10</v>
      </c>
      <c r="F14" s="18">
        <v>13</v>
      </c>
      <c r="G14" s="18">
        <v>70</v>
      </c>
      <c r="H14" s="19">
        <v>1</v>
      </c>
      <c r="I14" s="18">
        <v>5</v>
      </c>
      <c r="J14" s="18">
        <v>0</v>
      </c>
      <c r="K14" s="20">
        <v>150</v>
      </c>
      <c r="L14" s="18">
        <v>284</v>
      </c>
      <c r="M14" s="18">
        <v>254</v>
      </c>
      <c r="N14" s="18">
        <v>300</v>
      </c>
      <c r="O14" s="18">
        <v>78</v>
      </c>
      <c r="P14" s="18">
        <v>241</v>
      </c>
      <c r="Q14" s="17">
        <v>2</v>
      </c>
      <c r="R14" s="17">
        <v>2</v>
      </c>
      <c r="S14" s="17">
        <v>0</v>
      </c>
      <c r="T14" s="17">
        <v>1</v>
      </c>
      <c r="U14" s="17">
        <v>2</v>
      </c>
      <c r="V14" s="3">
        <v>8</v>
      </c>
      <c r="W14" s="20">
        <v>60</v>
      </c>
      <c r="X14" s="17">
        <v>8</v>
      </c>
      <c r="Y14" s="17">
        <v>3</v>
      </c>
      <c r="Z14" s="17">
        <v>0</v>
      </c>
      <c r="AA14" s="20">
        <v>840</v>
      </c>
      <c r="AB14" s="3"/>
      <c r="AC14" s="3"/>
      <c r="AD14" s="20"/>
      <c r="AE14" s="3"/>
      <c r="AF14" s="3"/>
      <c r="AG14" s="20"/>
      <c r="AH14" s="107" t="s">
        <v>85</v>
      </c>
      <c r="AI14" s="107"/>
      <c r="AJ14" s="107"/>
      <c r="AK14" s="107"/>
      <c r="AL14" s="108"/>
      <c r="AN14" s="67">
        <f t="shared" si="2"/>
        <v>-3.6805237240805582</v>
      </c>
      <c r="AO14" s="67">
        <f t="shared" si="2"/>
        <v>-0.48160137907017031</v>
      </c>
      <c r="AP14" s="67">
        <f t="shared" si="2"/>
        <v>-1.9621046633770902</v>
      </c>
      <c r="AY14" s="67">
        <f t="shared" si="0"/>
        <v>303.68052372408056</v>
      </c>
      <c r="AZ14" s="67">
        <f t="shared" si="1"/>
        <v>78.48160137907017</v>
      </c>
      <c r="BA14" s="67">
        <f t="shared" si="3"/>
        <v>242.96210466337709</v>
      </c>
      <c r="BC14">
        <f t="shared" si="4"/>
        <v>38.694486145521928</v>
      </c>
      <c r="BD14">
        <v>1013.2</v>
      </c>
      <c r="BE14">
        <f t="shared" si="5"/>
        <v>32.432787604968055</v>
      </c>
    </row>
    <row r="15" spans="1:57" x14ac:dyDescent="0.2">
      <c r="A15" s="13">
        <v>6</v>
      </c>
      <c r="B15" s="3">
        <v>8</v>
      </c>
      <c r="C15" s="17">
        <v>2</v>
      </c>
      <c r="D15" s="3">
        <v>4</v>
      </c>
      <c r="E15" s="18">
        <v>9</v>
      </c>
      <c r="F15" s="18">
        <v>18</v>
      </c>
      <c r="G15" s="18">
        <v>75</v>
      </c>
      <c r="H15" s="19">
        <v>2</v>
      </c>
      <c r="I15" s="18"/>
      <c r="J15" s="18"/>
      <c r="K15" s="20">
        <v>142</v>
      </c>
      <c r="L15" s="18">
        <v>282</v>
      </c>
      <c r="M15" s="18">
        <v>250</v>
      </c>
      <c r="N15" s="18">
        <v>291</v>
      </c>
      <c r="O15" s="18">
        <v>76</v>
      </c>
      <c r="P15" s="18">
        <v>236</v>
      </c>
      <c r="Q15" s="17">
        <v>1</v>
      </c>
      <c r="R15" s="17">
        <v>2</v>
      </c>
      <c r="S15" s="17">
        <v>0</v>
      </c>
      <c r="T15" s="17">
        <v>1</v>
      </c>
      <c r="U15" s="17">
        <v>1</v>
      </c>
      <c r="V15" s="3">
        <v>8</v>
      </c>
      <c r="W15" s="20">
        <v>66</v>
      </c>
      <c r="X15" s="17">
        <v>8</v>
      </c>
      <c r="Y15" s="3"/>
      <c r="Z15" s="3"/>
      <c r="AA15" s="20"/>
      <c r="AB15" s="3"/>
      <c r="AC15" s="3"/>
      <c r="AD15" s="20"/>
      <c r="AE15" s="3"/>
      <c r="AF15" s="3"/>
      <c r="AG15" s="20"/>
      <c r="AH15" s="107"/>
      <c r="AI15" s="107"/>
      <c r="AJ15" s="107"/>
      <c r="AK15" s="107"/>
      <c r="AL15" s="108"/>
      <c r="AN15" s="67">
        <f t="shared" si="2"/>
        <v>-3.674917056159984</v>
      </c>
      <c r="AO15" s="67">
        <f t="shared" si="2"/>
        <v>-1.0464090542119067</v>
      </c>
      <c r="AP15" s="67">
        <f t="shared" si="2"/>
        <v>-1.9539594647537228</v>
      </c>
      <c r="AY15" s="67">
        <f t="shared" si="0"/>
        <v>294.67491705615998</v>
      </c>
      <c r="AZ15" s="67">
        <f t="shared" si="1"/>
        <v>77.046409054211907</v>
      </c>
      <c r="BA15" s="67">
        <f t="shared" si="3"/>
        <v>237.95395946475372</v>
      </c>
      <c r="BC15">
        <f t="shared" si="4"/>
        <v>38.246418058084821</v>
      </c>
      <c r="BD15">
        <v>1013.2</v>
      </c>
      <c r="BE15">
        <f t="shared" si="5"/>
        <v>31.668891609615997</v>
      </c>
    </row>
    <row r="16" spans="1:57" x14ac:dyDescent="0.2">
      <c r="A16" s="13">
        <v>7</v>
      </c>
      <c r="B16" s="3">
        <v>8</v>
      </c>
      <c r="C16" s="17">
        <v>7</v>
      </c>
      <c r="D16" s="3">
        <v>4</v>
      </c>
      <c r="E16" s="18">
        <v>11</v>
      </c>
      <c r="F16" s="18">
        <v>14</v>
      </c>
      <c r="G16" s="18">
        <v>68</v>
      </c>
      <c r="H16" s="19">
        <v>1</v>
      </c>
      <c r="I16" s="18">
        <v>5</v>
      </c>
      <c r="J16" s="18">
        <v>11</v>
      </c>
      <c r="K16" s="20">
        <v>133</v>
      </c>
      <c r="L16" s="18">
        <v>278</v>
      </c>
      <c r="M16" s="18">
        <v>243</v>
      </c>
      <c r="N16" s="18">
        <v>276</v>
      </c>
      <c r="O16" s="18">
        <v>74</v>
      </c>
      <c r="P16" s="18">
        <v>227</v>
      </c>
      <c r="Q16" s="17">
        <v>1</v>
      </c>
      <c r="R16" s="17">
        <v>2</v>
      </c>
      <c r="S16" s="17">
        <v>0</v>
      </c>
      <c r="T16" s="17">
        <v>1</v>
      </c>
      <c r="U16" s="17">
        <v>1</v>
      </c>
      <c r="V16" s="3">
        <v>8</v>
      </c>
      <c r="W16" s="20">
        <v>63</v>
      </c>
      <c r="X16" s="17">
        <v>8</v>
      </c>
      <c r="Y16" s="17">
        <v>7</v>
      </c>
      <c r="Z16" s="17">
        <v>0</v>
      </c>
      <c r="AA16" s="20">
        <v>840</v>
      </c>
      <c r="AB16" s="3"/>
      <c r="AC16" s="3"/>
      <c r="AD16" s="20"/>
      <c r="AE16" s="3"/>
      <c r="AF16" s="3"/>
      <c r="AG16" s="20"/>
      <c r="AH16" s="107" t="s">
        <v>85</v>
      </c>
      <c r="AI16" s="107"/>
      <c r="AJ16" s="107"/>
      <c r="AK16" s="107"/>
      <c r="AL16" s="108"/>
      <c r="AN16" s="67">
        <f t="shared" si="2"/>
        <v>-3.6401124033181418</v>
      </c>
      <c r="AO16" s="67">
        <f t="shared" si="2"/>
        <v>-0.84239996990879717</v>
      </c>
      <c r="AP16" s="67">
        <f t="shared" si="2"/>
        <v>-2.2860640971018427</v>
      </c>
      <c r="AY16" s="67">
        <f t="shared" si="0"/>
        <v>279.64011240331814</v>
      </c>
      <c r="AZ16" s="67">
        <f t="shared" si="1"/>
        <v>74.842399969908797</v>
      </c>
      <c r="BA16" s="67">
        <f t="shared" si="3"/>
        <v>229.28606409710184</v>
      </c>
      <c r="BC16">
        <f t="shared" si="4"/>
        <v>37.363862264672235</v>
      </c>
      <c r="BD16">
        <v>1013.2</v>
      </c>
      <c r="BE16">
        <f t="shared" si="5"/>
        <v>30.369908289271816</v>
      </c>
    </row>
    <row r="17" spans="1:57" x14ac:dyDescent="0.2">
      <c r="A17" s="13">
        <v>8</v>
      </c>
      <c r="B17" s="3">
        <v>8</v>
      </c>
      <c r="C17" s="17">
        <v>3</v>
      </c>
      <c r="D17" s="3">
        <v>4</v>
      </c>
      <c r="E17" s="18">
        <v>11</v>
      </c>
      <c r="F17" s="18">
        <v>15</v>
      </c>
      <c r="G17" s="18">
        <v>72</v>
      </c>
      <c r="H17" s="19">
        <v>1</v>
      </c>
      <c r="I17" s="18">
        <v>5</v>
      </c>
      <c r="J17" s="18">
        <v>0</v>
      </c>
      <c r="K17" s="20">
        <v>136</v>
      </c>
      <c r="L17" s="18">
        <v>277</v>
      </c>
      <c r="M17" s="18">
        <v>246</v>
      </c>
      <c r="N17" s="18">
        <v>285</v>
      </c>
      <c r="O17" s="18">
        <v>76</v>
      </c>
      <c r="P17" s="18">
        <v>232</v>
      </c>
      <c r="Q17" s="17">
        <v>3</v>
      </c>
      <c r="R17" s="17">
        <v>2</v>
      </c>
      <c r="S17" s="17">
        <v>0</v>
      </c>
      <c r="T17" s="17">
        <v>0</v>
      </c>
      <c r="U17" s="17">
        <v>3</v>
      </c>
      <c r="V17" s="3">
        <v>8</v>
      </c>
      <c r="W17" s="20">
        <v>63</v>
      </c>
      <c r="X17" s="17">
        <v>8</v>
      </c>
      <c r="Y17" s="3"/>
      <c r="Z17" s="3"/>
      <c r="AA17" s="20"/>
      <c r="AB17" s="3"/>
      <c r="AC17" s="3"/>
      <c r="AD17" s="20"/>
      <c r="AE17" s="3"/>
      <c r="AF17" s="3"/>
      <c r="AG17" s="20"/>
      <c r="AH17" s="107" t="s">
        <v>85</v>
      </c>
      <c r="AI17" s="107"/>
      <c r="AJ17" s="107"/>
      <c r="AK17" s="107"/>
      <c r="AL17" s="108"/>
      <c r="AN17" s="67">
        <f t="shared" si="2"/>
        <v>-2.8913598740497264</v>
      </c>
      <c r="AO17" s="67">
        <f t="shared" si="2"/>
        <v>-1.5026037638780281</v>
      </c>
      <c r="AP17" s="67">
        <f t="shared" si="2"/>
        <v>-2.0922346790638358</v>
      </c>
      <c r="AY17" s="67">
        <f t="shared" si="0"/>
        <v>287.89135987404973</v>
      </c>
      <c r="AZ17" s="67">
        <f t="shared" si="1"/>
        <v>77.502603763878028</v>
      </c>
      <c r="BA17" s="67">
        <f t="shared" si="3"/>
        <v>234.09223467906384</v>
      </c>
      <c r="BC17">
        <f t="shared" si="4"/>
        <v>37.146024248572211</v>
      </c>
      <c r="BD17">
        <v>1013.2</v>
      </c>
      <c r="BE17">
        <f t="shared" si="5"/>
        <v>30.920788561092973</v>
      </c>
    </row>
    <row r="18" spans="1:57" x14ac:dyDescent="0.2">
      <c r="A18" s="13">
        <v>9</v>
      </c>
      <c r="B18" s="3">
        <v>8</v>
      </c>
      <c r="C18" s="17">
        <v>2</v>
      </c>
      <c r="D18" s="3">
        <v>4</v>
      </c>
      <c r="E18" s="18">
        <v>11</v>
      </c>
      <c r="F18" s="18">
        <v>16</v>
      </c>
      <c r="G18" s="18">
        <v>72</v>
      </c>
      <c r="H18" s="19">
        <v>1</v>
      </c>
      <c r="I18" s="18">
        <v>5</v>
      </c>
      <c r="J18" s="18">
        <v>0</v>
      </c>
      <c r="K18" s="20">
        <v>138</v>
      </c>
      <c r="L18" s="18">
        <v>281</v>
      </c>
      <c r="M18" s="18">
        <v>254</v>
      </c>
      <c r="N18" s="18">
        <v>304</v>
      </c>
      <c r="O18" s="18">
        <v>80</v>
      </c>
      <c r="P18" s="18">
        <v>243</v>
      </c>
      <c r="Q18" s="17">
        <v>2</v>
      </c>
      <c r="R18" s="17">
        <v>2</v>
      </c>
      <c r="S18" s="17">
        <v>0</v>
      </c>
      <c r="T18" s="17">
        <v>0</v>
      </c>
      <c r="U18" s="17">
        <v>2</v>
      </c>
      <c r="V18" s="3">
        <v>8</v>
      </c>
      <c r="W18" s="20">
        <v>60</v>
      </c>
      <c r="X18" s="17">
        <v>8</v>
      </c>
      <c r="Y18" s="3"/>
      <c r="Z18" s="3"/>
      <c r="AA18" s="20"/>
      <c r="AB18" s="3"/>
      <c r="AC18" s="3"/>
      <c r="AD18" s="20"/>
      <c r="AE18" s="3"/>
      <c r="AF18" s="3"/>
      <c r="AG18" s="20"/>
      <c r="AH18" s="107" t="s">
        <v>85</v>
      </c>
      <c r="AI18" s="107"/>
      <c r="AJ18" s="107"/>
      <c r="AK18" s="107"/>
      <c r="AL18" s="108"/>
      <c r="AN18" s="67">
        <f t="shared" si="2"/>
        <v>-1.745258956640555</v>
      </c>
      <c r="AO18" s="67">
        <f t="shared" si="2"/>
        <v>-0.40830643429514168</v>
      </c>
      <c r="AP18" s="67">
        <f t="shared" si="2"/>
        <v>-1.0919831487175884</v>
      </c>
      <c r="AY18" s="67">
        <f t="shared" si="0"/>
        <v>305.74525895664055</v>
      </c>
      <c r="AZ18" s="67">
        <f t="shared" si="1"/>
        <v>80.408306434295142</v>
      </c>
      <c r="BA18" s="67">
        <f t="shared" si="3"/>
        <v>244.09198314871759</v>
      </c>
      <c r="BC18">
        <f t="shared" si="4"/>
        <v>38.024088867793438</v>
      </c>
      <c r="BD18">
        <v>1013.2</v>
      </c>
      <c r="BE18">
        <f t="shared" si="5"/>
        <v>32.432787604968055</v>
      </c>
    </row>
    <row r="19" spans="1:57" x14ac:dyDescent="0.2">
      <c r="A19" s="13">
        <v>10</v>
      </c>
      <c r="B19" s="3">
        <v>8</v>
      </c>
      <c r="C19" s="17">
        <v>7</v>
      </c>
      <c r="D19" s="3">
        <v>4</v>
      </c>
      <c r="E19" s="18">
        <v>9</v>
      </c>
      <c r="F19" s="18">
        <v>12</v>
      </c>
      <c r="G19" s="18">
        <v>66</v>
      </c>
      <c r="H19" s="19">
        <v>1</v>
      </c>
      <c r="I19" s="18">
        <v>5</v>
      </c>
      <c r="J19" s="18">
        <v>11</v>
      </c>
      <c r="K19" s="20">
        <v>124</v>
      </c>
      <c r="L19" s="18">
        <v>282</v>
      </c>
      <c r="M19" s="18">
        <v>255</v>
      </c>
      <c r="N19" s="18">
        <v>305</v>
      </c>
      <c r="O19" s="18">
        <v>79</v>
      </c>
      <c r="P19" s="18">
        <v>244</v>
      </c>
      <c r="Q19" s="17">
        <v>3</v>
      </c>
      <c r="R19" s="17">
        <v>8</v>
      </c>
      <c r="S19" s="17">
        <v>0</v>
      </c>
      <c r="T19" s="17">
        <v>2</v>
      </c>
      <c r="U19" s="17">
        <v>3</v>
      </c>
      <c r="V19" s="3">
        <v>8</v>
      </c>
      <c r="W19" s="20">
        <v>60</v>
      </c>
      <c r="X19" s="17">
        <v>8</v>
      </c>
      <c r="Y19" s="17">
        <v>6</v>
      </c>
      <c r="Z19" s="17">
        <v>0</v>
      </c>
      <c r="AA19" s="20">
        <v>840</v>
      </c>
      <c r="AB19" s="3"/>
      <c r="AC19" s="3"/>
      <c r="AD19" s="20"/>
      <c r="AE19" s="3"/>
      <c r="AF19" s="3"/>
      <c r="AG19" s="20"/>
      <c r="AH19" s="107" t="s">
        <v>85</v>
      </c>
      <c r="AI19" s="107"/>
      <c r="AJ19" s="107"/>
      <c r="AK19" s="107"/>
      <c r="AL19" s="108"/>
      <c r="AN19" s="67">
        <f t="shared" si="2"/>
        <v>-2.6779280863403869</v>
      </c>
      <c r="AO19" s="67">
        <f t="shared" si="2"/>
        <v>-1.44620743805865</v>
      </c>
      <c r="AP19" s="67">
        <f t="shared" si="2"/>
        <v>-1.1435549234014104</v>
      </c>
      <c r="AY19" s="67">
        <f t="shared" si="0"/>
        <v>307.67792808634039</v>
      </c>
      <c r="AZ19" s="67">
        <f t="shared" si="1"/>
        <v>80.44620743805865</v>
      </c>
      <c r="BA19" s="67">
        <f t="shared" si="3"/>
        <v>245.14355492340141</v>
      </c>
      <c r="BC19">
        <f t="shared" si="4"/>
        <v>38.246418058084821</v>
      </c>
      <c r="BD19">
        <v>1013.2</v>
      </c>
      <c r="BE19">
        <f t="shared" si="5"/>
        <v>32.626262153014039</v>
      </c>
    </row>
    <row r="20" spans="1:57" x14ac:dyDescent="0.2">
      <c r="A20" s="13">
        <v>11</v>
      </c>
      <c r="B20" s="3">
        <v>8</v>
      </c>
      <c r="C20" s="17">
        <v>3</v>
      </c>
      <c r="D20" s="3">
        <v>4</v>
      </c>
      <c r="E20" s="18">
        <v>10</v>
      </c>
      <c r="F20" s="18">
        <v>8</v>
      </c>
      <c r="G20" s="18">
        <v>72</v>
      </c>
      <c r="H20" s="19">
        <v>1</v>
      </c>
      <c r="I20" s="18">
        <v>5</v>
      </c>
      <c r="J20" s="18">
        <v>0</v>
      </c>
      <c r="K20" s="20">
        <v>111</v>
      </c>
      <c r="L20" s="18">
        <v>275</v>
      </c>
      <c r="M20" s="18">
        <v>250</v>
      </c>
      <c r="N20" s="18">
        <v>298</v>
      </c>
      <c r="O20" s="18">
        <v>81</v>
      </c>
      <c r="P20" s="18">
        <v>239</v>
      </c>
      <c r="Q20" s="17">
        <v>1</v>
      </c>
      <c r="R20" s="17">
        <v>2</v>
      </c>
      <c r="S20" s="17">
        <v>0</v>
      </c>
      <c r="T20" s="17">
        <v>2</v>
      </c>
      <c r="U20" s="17">
        <v>1</v>
      </c>
      <c r="V20" s="3">
        <v>8</v>
      </c>
      <c r="W20" s="20">
        <v>63</v>
      </c>
      <c r="X20" s="17">
        <v>8</v>
      </c>
      <c r="Y20" s="3"/>
      <c r="Z20" s="3"/>
      <c r="AA20" s="20"/>
      <c r="AB20" s="3"/>
      <c r="AC20" s="3"/>
      <c r="AD20" s="20"/>
      <c r="AE20" s="3"/>
      <c r="AF20" s="3"/>
      <c r="AG20" s="20"/>
      <c r="AH20" s="107" t="s">
        <v>85</v>
      </c>
      <c r="AI20" s="107"/>
      <c r="AJ20" s="107"/>
      <c r="AK20" s="107"/>
      <c r="AL20" s="108"/>
      <c r="AN20" s="67">
        <f t="shared" si="2"/>
        <v>-1.4904793461599866</v>
      </c>
      <c r="AO20" s="67">
        <f t="shared" si="2"/>
        <v>-0.57463786575569031</v>
      </c>
      <c r="AP20" s="67">
        <f t="shared" si="2"/>
        <v>-1.6483724122381318</v>
      </c>
      <c r="AY20" s="67">
        <f t="shared" si="0"/>
        <v>299.49047934615999</v>
      </c>
      <c r="AZ20" s="67">
        <f t="shared" si="1"/>
        <v>81.57463786575569</v>
      </c>
      <c r="BA20" s="67">
        <f t="shared" si="3"/>
        <v>240.64837241223813</v>
      </c>
      <c r="BC20">
        <f t="shared" si="4"/>
        <v>36.713675620481474</v>
      </c>
      <c r="BD20">
        <v>1013.2</v>
      </c>
      <c r="BE20">
        <f t="shared" si="5"/>
        <v>31.668891609615997</v>
      </c>
    </row>
    <row r="21" spans="1:57" x14ac:dyDescent="0.2">
      <c r="A21" s="13">
        <v>12</v>
      </c>
      <c r="B21" s="3">
        <v>8</v>
      </c>
      <c r="C21" s="17">
        <v>7</v>
      </c>
      <c r="D21" s="3">
        <v>4</v>
      </c>
      <c r="E21" s="18">
        <v>0</v>
      </c>
      <c r="F21" s="18">
        <v>0</v>
      </c>
      <c r="G21" s="18">
        <v>75</v>
      </c>
      <c r="H21" s="19">
        <v>2</v>
      </c>
      <c r="I21" s="18"/>
      <c r="J21" s="18"/>
      <c r="K21" s="20">
        <v>122</v>
      </c>
      <c r="L21" s="18">
        <v>273</v>
      </c>
      <c r="M21" s="18">
        <v>235</v>
      </c>
      <c r="N21" s="18">
        <v>260</v>
      </c>
      <c r="O21" s="18">
        <v>72</v>
      </c>
      <c r="P21" s="18">
        <v>217</v>
      </c>
      <c r="Q21" s="17">
        <v>7</v>
      </c>
      <c r="R21" s="17">
        <v>8</v>
      </c>
      <c r="S21" s="17">
        <v>4</v>
      </c>
      <c r="T21" s="17">
        <v>2</v>
      </c>
      <c r="U21" s="17">
        <v>2</v>
      </c>
      <c r="V21" s="3">
        <v>8</v>
      </c>
      <c r="W21" s="20">
        <v>51</v>
      </c>
      <c r="X21" s="17">
        <v>8</v>
      </c>
      <c r="Y21" s="17">
        <v>6</v>
      </c>
      <c r="Z21" s="17">
        <v>6</v>
      </c>
      <c r="AA21" s="20">
        <v>114</v>
      </c>
      <c r="AB21" s="17">
        <v>5</v>
      </c>
      <c r="AC21" s="17">
        <v>0</v>
      </c>
      <c r="AD21" s="20">
        <v>840</v>
      </c>
      <c r="AE21" s="3"/>
      <c r="AF21" s="3"/>
      <c r="AG21" s="20"/>
      <c r="AH21" s="107"/>
      <c r="AI21" s="107"/>
      <c r="AJ21" s="107"/>
      <c r="AK21" s="107"/>
      <c r="AL21" s="108"/>
      <c r="AN21" s="67">
        <f t="shared" si="2"/>
        <v>-3.3290670312500765</v>
      </c>
      <c r="AO21" s="67">
        <f t="shared" si="2"/>
        <v>-0.57096795614346263</v>
      </c>
      <c r="AP21" s="67">
        <f t="shared" si="2"/>
        <v>-2.4078078358998596</v>
      </c>
      <c r="AY21" s="67">
        <f t="shared" si="0"/>
        <v>263.32906703125008</v>
      </c>
      <c r="AZ21" s="67">
        <f t="shared" si="1"/>
        <v>72.570967956143463</v>
      </c>
      <c r="BA21" s="67">
        <f t="shared" si="3"/>
        <v>219.40780783589986</v>
      </c>
      <c r="BC21">
        <f t="shared" si="4"/>
        <v>36.285731670326726</v>
      </c>
      <c r="BD21">
        <v>1013.2</v>
      </c>
      <c r="BE21">
        <f t="shared" si="5"/>
        <v>28.94268568196501</v>
      </c>
    </row>
    <row r="22" spans="1:57" x14ac:dyDescent="0.2">
      <c r="A22" s="13">
        <v>13</v>
      </c>
      <c r="B22" s="3">
        <v>8</v>
      </c>
      <c r="C22" s="17">
        <v>5</v>
      </c>
      <c r="D22" s="3">
        <v>4</v>
      </c>
      <c r="E22" s="18">
        <v>7</v>
      </c>
      <c r="F22" s="18">
        <v>10</v>
      </c>
      <c r="G22" s="18">
        <v>70</v>
      </c>
      <c r="H22" s="19">
        <v>1</v>
      </c>
      <c r="I22" s="18">
        <v>15</v>
      </c>
      <c r="J22" s="18">
        <v>11</v>
      </c>
      <c r="K22" s="20">
        <v>141</v>
      </c>
      <c r="L22" s="18">
        <v>279</v>
      </c>
      <c r="M22" s="18">
        <v>238</v>
      </c>
      <c r="N22" s="18">
        <v>263</v>
      </c>
      <c r="O22" s="18">
        <v>70</v>
      </c>
      <c r="P22" s="18">
        <v>219</v>
      </c>
      <c r="Q22" s="17">
        <v>4</v>
      </c>
      <c r="R22" s="17">
        <v>8</v>
      </c>
      <c r="S22" s="17">
        <v>0</v>
      </c>
      <c r="T22" s="17">
        <v>2</v>
      </c>
      <c r="U22" s="17">
        <v>1</v>
      </c>
      <c r="V22" s="3">
        <v>8</v>
      </c>
      <c r="W22" s="20">
        <v>57</v>
      </c>
      <c r="X22" s="17">
        <v>8</v>
      </c>
      <c r="Y22" s="17">
        <v>4</v>
      </c>
      <c r="Z22" s="17">
        <v>6</v>
      </c>
      <c r="AA22" s="20">
        <v>114</v>
      </c>
      <c r="AB22" s="3"/>
      <c r="AC22" s="3"/>
      <c r="AD22" s="20"/>
      <c r="AE22" s="3"/>
      <c r="AF22" s="3"/>
      <c r="AG22" s="20"/>
      <c r="AH22" s="107" t="s">
        <v>93</v>
      </c>
      <c r="AI22" s="107"/>
      <c r="AJ22" s="107"/>
      <c r="AK22" s="107"/>
      <c r="AL22" s="108"/>
      <c r="AN22" s="67">
        <f t="shared" si="2"/>
        <v>-3.5409500538483485</v>
      </c>
      <c r="AO22" s="67">
        <f t="shared" si="2"/>
        <v>-0.92096327359642771</v>
      </c>
      <c r="AP22" s="67">
        <f t="shared" si="2"/>
        <v>-2.3945907089758975</v>
      </c>
      <c r="AY22" s="67">
        <f t="shared" si="0"/>
        <v>266.54095005384835</v>
      </c>
      <c r="AZ22" s="67">
        <f t="shared" si="1"/>
        <v>70.920963273596428</v>
      </c>
      <c r="BA22" s="67">
        <f t="shared" si="3"/>
        <v>221.3945907089759</v>
      </c>
      <c r="BC22">
        <f t="shared" si="4"/>
        <v>37.582815820703949</v>
      </c>
      <c r="BD22">
        <v>1013.2</v>
      </c>
      <c r="BE22">
        <f t="shared" si="5"/>
        <v>29.470855059888834</v>
      </c>
    </row>
    <row r="23" spans="1:57" x14ac:dyDescent="0.2">
      <c r="A23" s="13">
        <v>14</v>
      </c>
      <c r="B23" s="3">
        <v>8</v>
      </c>
      <c r="C23" s="17">
        <v>4</v>
      </c>
      <c r="D23" s="3">
        <v>4</v>
      </c>
      <c r="E23" s="18">
        <v>8</v>
      </c>
      <c r="F23" s="18">
        <v>5</v>
      </c>
      <c r="G23" s="18">
        <v>70</v>
      </c>
      <c r="H23" s="19">
        <v>1</v>
      </c>
      <c r="I23" s="18">
        <v>5</v>
      </c>
      <c r="J23" s="18">
        <v>80</v>
      </c>
      <c r="K23" s="20">
        <v>138</v>
      </c>
      <c r="L23" s="18">
        <v>285</v>
      </c>
      <c r="M23" s="18">
        <v>240</v>
      </c>
      <c r="N23" s="18">
        <v>263</v>
      </c>
      <c r="O23" s="18">
        <v>68</v>
      </c>
      <c r="P23" s="18">
        <v>219</v>
      </c>
      <c r="Q23" s="17">
        <v>1</v>
      </c>
      <c r="R23" s="17">
        <v>2</v>
      </c>
      <c r="S23" s="17">
        <v>0</v>
      </c>
      <c r="T23" s="17">
        <v>2</v>
      </c>
      <c r="U23" s="17">
        <v>1</v>
      </c>
      <c r="V23" s="3">
        <v>8</v>
      </c>
      <c r="W23" s="20">
        <v>69</v>
      </c>
      <c r="X23" s="17">
        <v>8</v>
      </c>
      <c r="Y23" s="17">
        <v>3</v>
      </c>
      <c r="Z23" s="17">
        <v>0</v>
      </c>
      <c r="AA23" s="20">
        <v>840</v>
      </c>
      <c r="AB23" s="3"/>
      <c r="AC23" s="3"/>
      <c r="AD23" s="20"/>
      <c r="AE23" s="3"/>
      <c r="AF23" s="3"/>
      <c r="AG23" s="20"/>
      <c r="AH23" s="107" t="s">
        <v>85</v>
      </c>
      <c r="AI23" s="107"/>
      <c r="AJ23" s="107"/>
      <c r="AK23" s="107"/>
      <c r="AL23" s="108"/>
      <c r="AN23" s="67">
        <f t="shared" si="2"/>
        <v>-4.3538168390206806</v>
      </c>
      <c r="AO23" s="67">
        <f t="shared" si="2"/>
        <v>-0.69275530385607453</v>
      </c>
      <c r="AP23" s="67">
        <f t="shared" si="2"/>
        <v>-2.8940790533817449</v>
      </c>
      <c r="AY23" s="67">
        <f t="shared" si="0"/>
        <v>267.35381683902068</v>
      </c>
      <c r="AZ23" s="67">
        <f t="shared" si="1"/>
        <v>68.692755303856075</v>
      </c>
      <c r="BA23" s="67">
        <f t="shared" si="3"/>
        <v>221.89407905338174</v>
      </c>
      <c r="BC23">
        <f t="shared" si="4"/>
        <v>38.920234842292423</v>
      </c>
      <c r="BD23">
        <v>1013.2</v>
      </c>
      <c r="BE23">
        <f t="shared" si="5"/>
        <v>29.827639714302066</v>
      </c>
    </row>
    <row r="24" spans="1:57" x14ac:dyDescent="0.2">
      <c r="A24" s="13">
        <v>15</v>
      </c>
      <c r="B24" s="3">
        <v>8</v>
      </c>
      <c r="C24" s="17">
        <v>6</v>
      </c>
      <c r="D24" s="3">
        <v>4</v>
      </c>
      <c r="E24" s="18">
        <v>5</v>
      </c>
      <c r="F24" s="18">
        <v>10</v>
      </c>
      <c r="G24" s="18">
        <v>60</v>
      </c>
      <c r="H24" s="19">
        <v>1</v>
      </c>
      <c r="I24" s="18">
        <v>15</v>
      </c>
      <c r="J24" s="18">
        <v>11</v>
      </c>
      <c r="K24" s="20">
        <v>132</v>
      </c>
      <c r="L24" s="18">
        <v>278</v>
      </c>
      <c r="M24" s="18">
        <v>244</v>
      </c>
      <c r="N24" s="18">
        <v>280</v>
      </c>
      <c r="O24" s="18">
        <v>75</v>
      </c>
      <c r="P24" s="18">
        <v>229</v>
      </c>
      <c r="Q24" s="17">
        <v>5</v>
      </c>
      <c r="R24" s="17">
        <v>8</v>
      </c>
      <c r="S24" s="17">
        <v>0</v>
      </c>
      <c r="T24" s="17">
        <v>1</v>
      </c>
      <c r="U24" s="17">
        <v>5</v>
      </c>
      <c r="V24" s="3">
        <v>8</v>
      </c>
      <c r="W24" s="20">
        <v>57</v>
      </c>
      <c r="X24" s="17">
        <v>8</v>
      </c>
      <c r="Y24" s="3"/>
      <c r="Z24" s="3"/>
      <c r="AA24" s="20"/>
      <c r="AB24" s="3"/>
      <c r="AC24" s="3"/>
      <c r="AD24" s="20"/>
      <c r="AE24" s="3"/>
      <c r="AF24" s="3"/>
      <c r="AG24" s="20"/>
      <c r="AH24" s="107" t="s">
        <v>90</v>
      </c>
      <c r="AI24" s="107"/>
      <c r="AJ24" s="107"/>
      <c r="AK24" s="107"/>
      <c r="AL24" s="108"/>
      <c r="AN24" s="67">
        <f t="shared" si="2"/>
        <v>-2.1515390662045206</v>
      </c>
      <c r="AO24" s="67">
        <f t="shared" si="2"/>
        <v>-0.51455389369115778</v>
      </c>
      <c r="AP24" s="67">
        <f t="shared" si="2"/>
        <v>-1.7619228888753469</v>
      </c>
      <c r="AY24" s="67">
        <f t="shared" si="0"/>
        <v>282.15153906620452</v>
      </c>
      <c r="AZ24" s="67">
        <f t="shared" si="1"/>
        <v>75.514553893691158</v>
      </c>
      <c r="BA24" s="67">
        <f t="shared" si="3"/>
        <v>230.76192288887535</v>
      </c>
      <c r="BC24">
        <f t="shared" si="4"/>
        <v>37.363862264672235</v>
      </c>
      <c r="BD24">
        <v>1013.2</v>
      </c>
      <c r="BE24">
        <f t="shared" si="5"/>
        <v>30.552572506268454</v>
      </c>
    </row>
    <row r="25" spans="1:57" x14ac:dyDescent="0.2">
      <c r="A25" s="13">
        <v>16</v>
      </c>
      <c r="B25" s="3">
        <v>8</v>
      </c>
      <c r="C25" s="17">
        <v>7</v>
      </c>
      <c r="D25" s="3">
        <v>4</v>
      </c>
      <c r="E25" s="18">
        <v>7</v>
      </c>
      <c r="F25" s="18">
        <v>10</v>
      </c>
      <c r="G25" s="18">
        <v>66</v>
      </c>
      <c r="H25" s="19">
        <v>1</v>
      </c>
      <c r="I25" s="18">
        <v>15</v>
      </c>
      <c r="J25" s="18">
        <v>81</v>
      </c>
      <c r="K25" s="20">
        <v>140</v>
      </c>
      <c r="L25" s="18">
        <v>265</v>
      </c>
      <c r="M25" s="18">
        <v>240</v>
      </c>
      <c r="N25" s="18">
        <v>279</v>
      </c>
      <c r="O25" s="18">
        <v>81</v>
      </c>
      <c r="P25" s="18">
        <v>229</v>
      </c>
      <c r="Q25" s="17">
        <v>6</v>
      </c>
      <c r="R25" s="17">
        <v>4</v>
      </c>
      <c r="S25" s="17">
        <v>6</v>
      </c>
      <c r="T25" s="17">
        <v>1</v>
      </c>
      <c r="U25" s="17">
        <v>5</v>
      </c>
      <c r="V25" s="3">
        <v>8</v>
      </c>
      <c r="W25" s="20">
        <v>48</v>
      </c>
      <c r="X25" s="17">
        <v>8</v>
      </c>
      <c r="Y25" s="17">
        <v>5</v>
      </c>
      <c r="Z25" s="17">
        <v>0</v>
      </c>
      <c r="AA25" s="20">
        <v>840</v>
      </c>
      <c r="AB25" s="3"/>
      <c r="AC25" s="3"/>
      <c r="AD25" s="20"/>
      <c r="AE25" s="3"/>
      <c r="AF25" s="3"/>
      <c r="AG25" s="20"/>
      <c r="AH25" s="107" t="s">
        <v>98</v>
      </c>
      <c r="AI25" s="107"/>
      <c r="AJ25" s="107"/>
      <c r="AK25" s="107"/>
      <c r="AL25" s="108"/>
      <c r="AN25" s="67">
        <f t="shared" si="2"/>
        <v>-2.097185863020627</v>
      </c>
      <c r="AO25" s="67">
        <f t="shared" si="2"/>
        <v>-0.20148599099951525</v>
      </c>
      <c r="AP25" s="67">
        <f t="shared" si="2"/>
        <v>-1.1437315896329778</v>
      </c>
      <c r="AY25" s="67">
        <f t="shared" si="0"/>
        <v>281.09718586302063</v>
      </c>
      <c r="AZ25" s="67">
        <f t="shared" si="1"/>
        <v>81.201485990999515</v>
      </c>
      <c r="BA25" s="67">
        <f t="shared" si="3"/>
        <v>230.14373158963298</v>
      </c>
      <c r="BC25">
        <f t="shared" si="4"/>
        <v>34.617246523564582</v>
      </c>
      <c r="BD25">
        <v>1013.2</v>
      </c>
      <c r="BE25">
        <f t="shared" si="5"/>
        <v>29.827639714302066</v>
      </c>
    </row>
    <row r="26" spans="1:57" x14ac:dyDescent="0.2">
      <c r="A26" s="13">
        <v>17</v>
      </c>
      <c r="B26" s="3">
        <v>8</v>
      </c>
      <c r="C26" s="17">
        <v>7</v>
      </c>
      <c r="D26" s="3">
        <v>4</v>
      </c>
      <c r="E26" s="18">
        <v>9</v>
      </c>
      <c r="F26" s="18">
        <v>5</v>
      </c>
      <c r="G26" s="18">
        <v>70</v>
      </c>
      <c r="H26" s="19">
        <v>1</v>
      </c>
      <c r="I26" s="18">
        <v>5</v>
      </c>
      <c r="J26" s="18">
        <v>82</v>
      </c>
      <c r="K26" s="20">
        <v>150</v>
      </c>
      <c r="L26" s="18">
        <v>270</v>
      </c>
      <c r="M26" s="18">
        <v>247</v>
      </c>
      <c r="N26" s="18">
        <v>294</v>
      </c>
      <c r="O26" s="18">
        <v>82</v>
      </c>
      <c r="P26" s="18">
        <v>237</v>
      </c>
      <c r="Q26" s="17">
        <v>7</v>
      </c>
      <c r="R26" s="17">
        <v>8</v>
      </c>
      <c r="S26" s="17">
        <v>3</v>
      </c>
      <c r="T26" s="17">
        <v>2</v>
      </c>
      <c r="U26" s="17">
        <v>1</v>
      </c>
      <c r="V26" s="3">
        <v>8</v>
      </c>
      <c r="W26" s="20">
        <v>54</v>
      </c>
      <c r="X26" s="17">
        <v>8</v>
      </c>
      <c r="Y26" s="17">
        <v>6</v>
      </c>
      <c r="Z26" s="17">
        <v>6</v>
      </c>
      <c r="AA26" s="20">
        <v>120</v>
      </c>
      <c r="AB26" s="3"/>
      <c r="AC26" s="3"/>
      <c r="AD26" s="20"/>
      <c r="AE26" s="3"/>
      <c r="AF26" s="3"/>
      <c r="AG26" s="20"/>
      <c r="AH26" s="107" t="s">
        <v>85</v>
      </c>
      <c r="AI26" s="107"/>
      <c r="AJ26" s="107"/>
      <c r="AK26" s="107"/>
      <c r="AL26" s="108"/>
      <c r="AN26" s="67">
        <f t="shared" si="2"/>
        <v>-1.2462342187101854</v>
      </c>
      <c r="AO26" s="67">
        <f t="shared" si="2"/>
        <v>-0.81339194531973646</v>
      </c>
      <c r="AP26" s="67">
        <f t="shared" si="2"/>
        <v>-1.2756313741485314</v>
      </c>
      <c r="AY26" s="67">
        <f t="shared" si="0"/>
        <v>295.24623421871019</v>
      </c>
      <c r="AZ26" s="67">
        <f t="shared" si="1"/>
        <v>82.813391945319736</v>
      </c>
      <c r="BA26" s="67">
        <f t="shared" si="3"/>
        <v>238.27563137414853</v>
      </c>
      <c r="BC26">
        <f t="shared" si="4"/>
        <v>35.651991457330503</v>
      </c>
      <c r="BD26">
        <v>1013.2</v>
      </c>
      <c r="BE26">
        <f t="shared" si="5"/>
        <v>31.106348979899021</v>
      </c>
    </row>
    <row r="27" spans="1:57" x14ac:dyDescent="0.2">
      <c r="A27" s="13">
        <v>18</v>
      </c>
      <c r="B27" s="3">
        <v>8</v>
      </c>
      <c r="C27" s="17">
        <v>8</v>
      </c>
      <c r="D27" s="3">
        <v>4</v>
      </c>
      <c r="E27" s="18">
        <v>9</v>
      </c>
      <c r="F27" s="18">
        <v>7</v>
      </c>
      <c r="G27" s="18">
        <v>56</v>
      </c>
      <c r="H27" s="19">
        <v>1</v>
      </c>
      <c r="I27" s="18">
        <v>80</v>
      </c>
      <c r="J27" s="18">
        <v>82</v>
      </c>
      <c r="K27" s="20">
        <v>159</v>
      </c>
      <c r="L27" s="18">
        <v>247</v>
      </c>
      <c r="M27" s="18">
        <v>232</v>
      </c>
      <c r="N27" s="18">
        <v>275</v>
      </c>
      <c r="O27" s="18">
        <v>88</v>
      </c>
      <c r="P27" s="18">
        <v>225</v>
      </c>
      <c r="Q27" s="17">
        <v>5</v>
      </c>
      <c r="R27" s="17">
        <v>9</v>
      </c>
      <c r="S27" s="17">
        <v>4</v>
      </c>
      <c r="T27" s="17">
        <v>8</v>
      </c>
      <c r="U27" s="17">
        <v>1</v>
      </c>
      <c r="V27" s="3">
        <v>8</v>
      </c>
      <c r="W27" s="20">
        <f>8*3</f>
        <v>24</v>
      </c>
      <c r="X27" s="17">
        <v>8</v>
      </c>
      <c r="Y27" s="17">
        <v>4</v>
      </c>
      <c r="Z27" s="17">
        <v>8</v>
      </c>
      <c r="AA27" s="20">
        <v>42</v>
      </c>
      <c r="AB27" s="17">
        <v>7</v>
      </c>
      <c r="AC27" s="17">
        <v>3</v>
      </c>
      <c r="AD27" s="20">
        <v>210</v>
      </c>
      <c r="AE27" s="17">
        <v>1</v>
      </c>
      <c r="AF27" s="17">
        <v>9</v>
      </c>
      <c r="AG27" s="20">
        <v>36</v>
      </c>
      <c r="AH27" s="107" t="s">
        <v>112</v>
      </c>
      <c r="AI27" s="107"/>
      <c r="AJ27" s="107"/>
      <c r="AK27" s="107"/>
      <c r="AL27" s="108"/>
      <c r="AN27" s="67">
        <f t="shared" si="2"/>
        <v>1.0700422321559131</v>
      </c>
      <c r="AO27" s="67">
        <f t="shared" si="2"/>
        <v>-6.2394575736973934E-2</v>
      </c>
      <c r="AP27" s="67">
        <f t="shared" si="2"/>
        <v>-0.88674138764687882</v>
      </c>
      <c r="AY27" s="67">
        <f t="shared" si="0"/>
        <v>273.92995776784409</v>
      </c>
      <c r="AZ27" s="67">
        <f t="shared" si="1"/>
        <v>88.062394575736974</v>
      </c>
      <c r="BA27" s="67">
        <f t="shared" si="3"/>
        <v>225.88674138764688</v>
      </c>
      <c r="BC27">
        <f t="shared" si="4"/>
        <v>31.106348979899021</v>
      </c>
      <c r="BD27">
        <v>1013.2</v>
      </c>
      <c r="BE27">
        <f t="shared" si="5"/>
        <v>28.422825631024409</v>
      </c>
    </row>
    <row r="28" spans="1:57" x14ac:dyDescent="0.2">
      <c r="A28" s="13">
        <v>19</v>
      </c>
      <c r="B28" s="3">
        <v>8</v>
      </c>
      <c r="C28" s="17">
        <v>6</v>
      </c>
      <c r="D28" s="3">
        <v>4</v>
      </c>
      <c r="E28" s="18">
        <v>8</v>
      </c>
      <c r="F28" s="18">
        <v>13</v>
      </c>
      <c r="G28" s="18">
        <v>59</v>
      </c>
      <c r="H28" s="19">
        <v>1</v>
      </c>
      <c r="I28" s="18">
        <v>25</v>
      </c>
      <c r="J28" s="69">
        <v>11</v>
      </c>
      <c r="K28" s="20">
        <v>139</v>
      </c>
      <c r="L28" s="18">
        <v>276</v>
      </c>
      <c r="M28" s="18">
        <v>258</v>
      </c>
      <c r="N28" s="18">
        <v>320</v>
      </c>
      <c r="O28" s="18">
        <v>86</v>
      </c>
      <c r="P28" s="18">
        <v>251</v>
      </c>
      <c r="Q28" s="17">
        <v>6</v>
      </c>
      <c r="R28" s="17">
        <v>8</v>
      </c>
      <c r="S28" s="17">
        <v>3</v>
      </c>
      <c r="T28" s="17">
        <v>0</v>
      </c>
      <c r="U28" s="17">
        <v>3</v>
      </c>
      <c r="V28" s="3">
        <v>8</v>
      </c>
      <c r="W28" s="20">
        <v>51</v>
      </c>
      <c r="X28" s="17">
        <v>8</v>
      </c>
      <c r="Y28" s="17">
        <v>6</v>
      </c>
      <c r="Z28" s="17">
        <v>6</v>
      </c>
      <c r="AA28" s="20">
        <v>120</v>
      </c>
      <c r="AB28" s="3"/>
      <c r="AC28" s="3"/>
      <c r="AD28" s="20"/>
      <c r="AE28" s="3"/>
      <c r="AF28" s="3"/>
      <c r="AG28" s="20"/>
      <c r="AH28" s="107" t="s">
        <v>115</v>
      </c>
      <c r="AI28" s="107"/>
      <c r="AJ28" s="107"/>
      <c r="AK28" s="107"/>
      <c r="AL28" s="108"/>
      <c r="AN28" s="67">
        <f t="shared" si="2"/>
        <v>0.26636780440605889</v>
      </c>
      <c r="AO28" s="67">
        <f t="shared" si="2"/>
        <v>-0.57994017711655488</v>
      </c>
      <c r="AP28" s="67">
        <f t="shared" si="2"/>
        <v>-0.57554129463801473</v>
      </c>
      <c r="AY28" s="67">
        <f t="shared" si="0"/>
        <v>319.73363219559394</v>
      </c>
      <c r="AZ28" s="67">
        <f t="shared" si="1"/>
        <v>86.579940177116555</v>
      </c>
      <c r="BA28" s="67">
        <f t="shared" si="3"/>
        <v>251.57554129463801</v>
      </c>
      <c r="BC28">
        <f t="shared" si="4"/>
        <v>36.929296964344744</v>
      </c>
      <c r="BD28">
        <v>1013.2</v>
      </c>
      <c r="BE28">
        <f t="shared" si="5"/>
        <v>33.212758052631393</v>
      </c>
    </row>
    <row r="29" spans="1:57" x14ac:dyDescent="0.2">
      <c r="A29" s="13">
        <v>20</v>
      </c>
      <c r="B29" s="3">
        <v>8</v>
      </c>
      <c r="C29" s="17">
        <v>8</v>
      </c>
      <c r="D29" s="3">
        <v>4</v>
      </c>
      <c r="E29" s="18">
        <v>10</v>
      </c>
      <c r="F29" s="18">
        <v>11</v>
      </c>
      <c r="G29" s="18">
        <v>60</v>
      </c>
      <c r="H29" s="19">
        <v>1</v>
      </c>
      <c r="I29" s="18">
        <v>25</v>
      </c>
      <c r="J29" s="18">
        <v>82</v>
      </c>
      <c r="K29" s="20">
        <v>131</v>
      </c>
      <c r="L29" s="18">
        <v>255</v>
      </c>
      <c r="M29" s="18">
        <v>238</v>
      </c>
      <c r="N29" s="18">
        <v>281</v>
      </c>
      <c r="O29" s="18">
        <v>86</v>
      </c>
      <c r="P29" s="18">
        <v>230</v>
      </c>
      <c r="Q29" s="17">
        <v>7</v>
      </c>
      <c r="R29" s="17">
        <v>8</v>
      </c>
      <c r="S29" s="17">
        <v>7</v>
      </c>
      <c r="T29" s="17" t="s">
        <v>89</v>
      </c>
      <c r="U29" s="17">
        <v>6</v>
      </c>
      <c r="V29" s="3">
        <v>8</v>
      </c>
      <c r="W29" s="20">
        <v>45</v>
      </c>
      <c r="X29" s="17">
        <v>8</v>
      </c>
      <c r="Y29" s="17">
        <v>7</v>
      </c>
      <c r="Z29" s="17">
        <v>4</v>
      </c>
      <c r="AA29" s="20">
        <v>240</v>
      </c>
      <c r="AB29" s="3"/>
      <c r="AC29" s="3"/>
      <c r="AD29" s="20"/>
      <c r="AE29" s="3"/>
      <c r="AF29" s="3"/>
      <c r="AG29" s="20"/>
      <c r="AH29" s="107" t="s">
        <v>129</v>
      </c>
      <c r="AI29" s="107"/>
      <c r="AJ29" s="107"/>
      <c r="AK29" s="107"/>
      <c r="AL29" s="108"/>
      <c r="AN29" s="67">
        <f t="shared" si="2"/>
        <v>-2.0293015924083306</v>
      </c>
      <c r="AO29" s="67">
        <f t="shared" si="2"/>
        <v>-0.74892032223245053</v>
      </c>
      <c r="AP29" s="67">
        <f t="shared" si="2"/>
        <v>-1.275033198592439</v>
      </c>
      <c r="AY29" s="67">
        <f t="shared" si="0"/>
        <v>283.02930159240833</v>
      </c>
      <c r="AZ29" s="67">
        <f t="shared" si="1"/>
        <v>86.748920322232451</v>
      </c>
      <c r="BA29" s="67">
        <f t="shared" si="3"/>
        <v>231.27503319859244</v>
      </c>
      <c r="BC29">
        <f t="shared" si="4"/>
        <v>32.626262153014039</v>
      </c>
      <c r="BD29">
        <v>1013.2</v>
      </c>
      <c r="BE29">
        <f t="shared" si="5"/>
        <v>29.470855059888834</v>
      </c>
    </row>
    <row r="30" spans="1:57" x14ac:dyDescent="0.2">
      <c r="A30" s="13">
        <v>21</v>
      </c>
      <c r="B30" s="3">
        <v>8</v>
      </c>
      <c r="C30" s="17">
        <v>2</v>
      </c>
      <c r="D30" s="3">
        <v>4</v>
      </c>
      <c r="E30" s="18">
        <v>9</v>
      </c>
      <c r="F30" s="18">
        <v>13</v>
      </c>
      <c r="G30" s="18">
        <v>64</v>
      </c>
      <c r="H30" s="19">
        <v>1</v>
      </c>
      <c r="I30" s="18">
        <v>5</v>
      </c>
      <c r="J30" s="69">
        <v>11</v>
      </c>
      <c r="K30" s="20">
        <v>129</v>
      </c>
      <c r="L30" s="18">
        <v>285</v>
      </c>
      <c r="M30" s="18">
        <v>251</v>
      </c>
      <c r="N30" s="18">
        <v>292</v>
      </c>
      <c r="O30" s="18">
        <v>75</v>
      </c>
      <c r="P30" s="18">
        <v>236</v>
      </c>
      <c r="Q30" s="17">
        <v>2</v>
      </c>
      <c r="R30" s="17">
        <v>2</v>
      </c>
      <c r="S30" s="17">
        <v>0</v>
      </c>
      <c r="T30" s="17">
        <v>0</v>
      </c>
      <c r="U30" s="17">
        <v>2</v>
      </c>
      <c r="V30" s="3">
        <v>8</v>
      </c>
      <c r="W30" s="20">
        <v>60</v>
      </c>
      <c r="X30" s="17">
        <v>8</v>
      </c>
      <c r="Y30" s="3"/>
      <c r="Z30" s="3"/>
      <c r="AA30" s="20"/>
      <c r="AB30" s="3"/>
      <c r="AC30" s="3"/>
      <c r="AD30" s="20"/>
      <c r="AE30" s="3"/>
      <c r="AF30" s="3"/>
      <c r="AG30" s="20"/>
      <c r="AH30" s="107" t="s">
        <v>85</v>
      </c>
      <c r="AI30" s="107"/>
      <c r="AJ30" s="107"/>
      <c r="AK30" s="107"/>
      <c r="AL30" s="108"/>
      <c r="AN30" s="67">
        <f t="shared" si="2"/>
        <v>-3.1912522703029254</v>
      </c>
      <c r="AO30" s="67">
        <f t="shared" si="2"/>
        <v>-0.84518784802790492</v>
      </c>
      <c r="AP30" s="67">
        <f t="shared" si="2"/>
        <v>-2.2446982959989157</v>
      </c>
      <c r="AY30" s="67">
        <f t="shared" si="0"/>
        <v>295.19125227030293</v>
      </c>
      <c r="AZ30" s="67">
        <f t="shared" si="1"/>
        <v>75.845187848027905</v>
      </c>
      <c r="BA30" s="67">
        <f t="shared" si="3"/>
        <v>238.24469829599892</v>
      </c>
      <c r="BC30">
        <f t="shared" si="4"/>
        <v>38.920234842292423</v>
      </c>
      <c r="BD30">
        <v>1013.2</v>
      </c>
      <c r="BE30">
        <f t="shared" si="5"/>
        <v>31.858374091422295</v>
      </c>
    </row>
    <row r="31" spans="1:57" x14ac:dyDescent="0.2">
      <c r="A31" s="13">
        <v>22</v>
      </c>
      <c r="B31" s="3">
        <v>8</v>
      </c>
      <c r="C31" s="17">
        <v>7</v>
      </c>
      <c r="D31" s="3">
        <v>4</v>
      </c>
      <c r="E31" s="18">
        <v>9</v>
      </c>
      <c r="F31" s="18">
        <v>13</v>
      </c>
      <c r="G31" s="18">
        <v>65</v>
      </c>
      <c r="H31" s="19">
        <v>1</v>
      </c>
      <c r="I31" s="18">
        <v>5</v>
      </c>
      <c r="J31" s="18">
        <v>82</v>
      </c>
      <c r="K31" s="20">
        <v>141</v>
      </c>
      <c r="L31" s="18">
        <v>277</v>
      </c>
      <c r="M31" s="18">
        <v>252</v>
      </c>
      <c r="N31" s="18">
        <v>300</v>
      </c>
      <c r="O31" s="18">
        <v>81</v>
      </c>
      <c r="P31" s="18">
        <v>241</v>
      </c>
      <c r="Q31" s="17">
        <v>7</v>
      </c>
      <c r="R31" s="17">
        <v>8</v>
      </c>
      <c r="S31" s="17" t="s">
        <v>89</v>
      </c>
      <c r="T31" s="17" t="s">
        <v>89</v>
      </c>
      <c r="U31" s="17">
        <v>5</v>
      </c>
      <c r="V31" s="3">
        <v>8</v>
      </c>
      <c r="W31" s="20">
        <v>57</v>
      </c>
      <c r="X31" s="17">
        <v>8</v>
      </c>
      <c r="Y31" s="17">
        <v>6</v>
      </c>
      <c r="Z31" s="17">
        <v>6</v>
      </c>
      <c r="AA31" s="20">
        <v>108</v>
      </c>
      <c r="AB31" s="3"/>
      <c r="AC31" s="3"/>
      <c r="AD31" s="20"/>
      <c r="AE31" s="3"/>
      <c r="AF31" s="3"/>
      <c r="AG31" s="20"/>
      <c r="AH31" s="107" t="s">
        <v>85</v>
      </c>
      <c r="AI31" s="107"/>
      <c r="AJ31" s="107"/>
      <c r="AK31" s="107"/>
      <c r="AL31" s="108"/>
      <c r="AN31" s="67">
        <f t="shared" si="2"/>
        <v>-3.2861980380658906</v>
      </c>
      <c r="AO31" s="67">
        <f t="shared" si="2"/>
        <v>-0.64701449838830172</v>
      </c>
      <c r="AP31" s="67">
        <f t="shared" si="2"/>
        <v>-1.7455545264265311</v>
      </c>
      <c r="AY31" s="67">
        <f t="shared" si="0"/>
        <v>303.28619803806589</v>
      </c>
      <c r="AZ31" s="67">
        <f t="shared" si="1"/>
        <v>81.647014498388302</v>
      </c>
      <c r="BA31" s="67">
        <f t="shared" si="3"/>
        <v>242.74555452642653</v>
      </c>
      <c r="BC31">
        <f t="shared" si="4"/>
        <v>37.146024248572211</v>
      </c>
      <c r="BD31">
        <v>1013.2</v>
      </c>
      <c r="BE31">
        <f t="shared" si="5"/>
        <v>32.048847988206589</v>
      </c>
    </row>
    <row r="32" spans="1:57" x14ac:dyDescent="0.2">
      <c r="A32" s="13">
        <v>23</v>
      </c>
      <c r="B32" s="3">
        <v>8</v>
      </c>
      <c r="C32" s="17">
        <v>7</v>
      </c>
      <c r="D32" s="3">
        <v>4</v>
      </c>
      <c r="E32" s="18">
        <v>7</v>
      </c>
      <c r="F32" s="18">
        <v>11</v>
      </c>
      <c r="G32" s="18">
        <v>70</v>
      </c>
      <c r="H32" s="19">
        <v>1</v>
      </c>
      <c r="I32" s="18">
        <v>6</v>
      </c>
      <c r="J32" s="69">
        <v>11</v>
      </c>
      <c r="K32" s="20">
        <v>128</v>
      </c>
      <c r="L32" s="18">
        <v>285</v>
      </c>
      <c r="M32" s="18">
        <v>245</v>
      </c>
      <c r="N32" s="18">
        <v>276</v>
      </c>
      <c r="O32" s="18">
        <v>71</v>
      </c>
      <c r="P32" s="18">
        <v>227</v>
      </c>
      <c r="Q32" s="17">
        <v>2</v>
      </c>
      <c r="R32" s="17">
        <v>8</v>
      </c>
      <c r="S32" s="17">
        <v>0</v>
      </c>
      <c r="T32" s="17">
        <v>1</v>
      </c>
      <c r="U32" s="17">
        <v>2</v>
      </c>
      <c r="V32" s="3">
        <v>8</v>
      </c>
      <c r="W32" s="20">
        <v>66</v>
      </c>
      <c r="X32" s="17">
        <v>8</v>
      </c>
      <c r="Y32" s="17">
        <v>7</v>
      </c>
      <c r="Z32" s="17">
        <v>0</v>
      </c>
      <c r="AA32" s="20">
        <v>840</v>
      </c>
      <c r="AB32" s="3"/>
      <c r="AC32" s="3"/>
      <c r="AD32" s="20"/>
      <c r="AE32" s="3"/>
      <c r="AF32" s="3"/>
      <c r="AG32" s="20"/>
      <c r="AH32" s="107" t="s">
        <v>85</v>
      </c>
      <c r="AI32" s="107"/>
      <c r="AJ32" s="107"/>
      <c r="AK32" s="107"/>
      <c r="AL32" s="108"/>
      <c r="AN32" s="67">
        <f t="shared" si="2"/>
        <v>-3.8598599352707197</v>
      </c>
      <c r="AO32" s="67">
        <f t="shared" si="2"/>
        <v>-0.90600495328018837</v>
      </c>
      <c r="AP32" s="67">
        <f t="shared" si="2"/>
        <v>-2.4156629838028039</v>
      </c>
      <c r="AY32" s="67">
        <f t="shared" si="0"/>
        <v>279.85985993527072</v>
      </c>
      <c r="AZ32" s="67">
        <f t="shared" si="1"/>
        <v>71.906004953280188</v>
      </c>
      <c r="BA32" s="67">
        <f t="shared" si="3"/>
        <v>229.4156629838028</v>
      </c>
      <c r="BC32">
        <f t="shared" si="4"/>
        <v>38.920234842292423</v>
      </c>
      <c r="BD32">
        <v>1013.2</v>
      </c>
      <c r="BE32">
        <f t="shared" si="5"/>
        <v>30.736197835927069</v>
      </c>
    </row>
    <row r="33" spans="1:57" x14ac:dyDescent="0.2">
      <c r="A33" s="13">
        <v>24</v>
      </c>
      <c r="B33" s="3">
        <v>8</v>
      </c>
      <c r="C33" s="17">
        <v>7</v>
      </c>
      <c r="D33" s="3">
        <v>4</v>
      </c>
      <c r="E33" s="18">
        <v>0</v>
      </c>
      <c r="F33" s="18">
        <v>0</v>
      </c>
      <c r="G33" s="18">
        <v>58</v>
      </c>
      <c r="H33" s="19">
        <v>1</v>
      </c>
      <c r="I33" s="18">
        <v>25</v>
      </c>
      <c r="J33" s="18">
        <v>86</v>
      </c>
      <c r="K33" s="20">
        <v>129</v>
      </c>
      <c r="L33" s="18">
        <v>238</v>
      </c>
      <c r="M33" s="18">
        <v>233</v>
      </c>
      <c r="N33" s="18">
        <v>281</v>
      </c>
      <c r="O33" s="18">
        <v>96</v>
      </c>
      <c r="P33" s="18">
        <v>230</v>
      </c>
      <c r="Q33" s="17">
        <v>7</v>
      </c>
      <c r="R33" s="17">
        <v>8</v>
      </c>
      <c r="S33" s="17">
        <v>7</v>
      </c>
      <c r="T33" s="17" t="s">
        <v>89</v>
      </c>
      <c r="U33" s="17">
        <v>5</v>
      </c>
      <c r="V33" s="3">
        <v>8</v>
      </c>
      <c r="W33" s="20">
        <v>45</v>
      </c>
      <c r="X33" s="17">
        <v>8</v>
      </c>
      <c r="Y33" s="17">
        <v>6</v>
      </c>
      <c r="Z33" s="17">
        <v>6</v>
      </c>
      <c r="AA33" s="20">
        <v>105</v>
      </c>
      <c r="AB33" s="3"/>
      <c r="AC33" s="3"/>
      <c r="AD33" s="20"/>
      <c r="AE33" s="3"/>
      <c r="AF33" s="3"/>
      <c r="AG33" s="20"/>
      <c r="AH33" s="107" t="s">
        <v>147</v>
      </c>
      <c r="AI33" s="107"/>
      <c r="AJ33" s="107"/>
      <c r="AK33" s="107"/>
      <c r="AL33" s="108"/>
      <c r="AN33" s="67">
        <f t="shared" si="2"/>
        <v>-1.5188087394431591</v>
      </c>
      <c r="AO33" s="67">
        <f t="shared" si="2"/>
        <v>0.13620230382659315</v>
      </c>
      <c r="AP33" s="67">
        <f t="shared" si="2"/>
        <v>-0.97678624337842734</v>
      </c>
      <c r="AY33" s="67">
        <f t="shared" si="0"/>
        <v>282.51880873944316</v>
      </c>
      <c r="AZ33" s="67">
        <f t="shared" si="1"/>
        <v>95.863797696173407</v>
      </c>
      <c r="BA33" s="67">
        <f t="shared" si="3"/>
        <v>230.97678624337843</v>
      </c>
      <c r="BC33">
        <f t="shared" si="4"/>
        <v>29.470855059888834</v>
      </c>
      <c r="BD33">
        <v>1013.2</v>
      </c>
      <c r="BE33">
        <f t="shared" si="5"/>
        <v>28.595195942964317</v>
      </c>
    </row>
    <row r="34" spans="1:57" x14ac:dyDescent="0.2">
      <c r="A34" s="13">
        <v>25</v>
      </c>
      <c r="B34" s="3">
        <v>8</v>
      </c>
      <c r="C34" s="17">
        <v>7</v>
      </c>
      <c r="D34" s="3">
        <v>4</v>
      </c>
      <c r="E34" s="18">
        <v>8</v>
      </c>
      <c r="F34" s="18">
        <v>5</v>
      </c>
      <c r="G34" s="18">
        <v>70</v>
      </c>
      <c r="H34" s="19">
        <v>1</v>
      </c>
      <c r="I34" s="18">
        <v>15</v>
      </c>
      <c r="J34" s="18">
        <v>82</v>
      </c>
      <c r="K34" s="20">
        <v>133</v>
      </c>
      <c r="L34" s="18">
        <v>264</v>
      </c>
      <c r="M34" s="18">
        <v>247</v>
      </c>
      <c r="N34" s="18">
        <v>299</v>
      </c>
      <c r="O34" s="18">
        <v>87</v>
      </c>
      <c r="P34" s="18">
        <v>240</v>
      </c>
      <c r="Q34" s="17">
        <v>6</v>
      </c>
      <c r="R34" s="17">
        <v>8</v>
      </c>
      <c r="S34" s="17">
        <v>4</v>
      </c>
      <c r="T34" s="17">
        <v>2</v>
      </c>
      <c r="U34" s="17">
        <v>3</v>
      </c>
      <c r="V34" s="3">
        <v>8</v>
      </c>
      <c r="W34" s="20">
        <v>24</v>
      </c>
      <c r="X34" s="17">
        <v>8</v>
      </c>
      <c r="Y34" s="17">
        <v>4</v>
      </c>
      <c r="Z34" s="17">
        <v>6</v>
      </c>
      <c r="AA34" s="20">
        <f>36*3</f>
        <v>108</v>
      </c>
      <c r="AB34" s="3"/>
      <c r="AC34" s="3"/>
      <c r="AD34" s="20"/>
      <c r="AE34" s="3"/>
      <c r="AF34" s="3"/>
      <c r="AG34" s="20"/>
      <c r="AH34" s="107" t="s">
        <v>140</v>
      </c>
      <c r="AI34" s="107"/>
      <c r="AJ34" s="107"/>
      <c r="AK34" s="107"/>
      <c r="AL34" s="108"/>
      <c r="AN34" s="67">
        <f t="shared" si="2"/>
        <v>-0.37247480487019402</v>
      </c>
      <c r="AO34" s="67">
        <f t="shared" si="2"/>
        <v>7.2042410925661216E-3</v>
      </c>
      <c r="AP34" s="67">
        <f t="shared" si="2"/>
        <v>-0.58280120291183835</v>
      </c>
      <c r="AY34" s="67">
        <f t="shared" si="0"/>
        <v>299.37247480487019</v>
      </c>
      <c r="AZ34" s="67">
        <f t="shared" si="1"/>
        <v>86.992795758907434</v>
      </c>
      <c r="BA34" s="67">
        <f t="shared" si="3"/>
        <v>240.58280120291184</v>
      </c>
      <c r="BC34">
        <f t="shared" si="4"/>
        <v>34.41347897756426</v>
      </c>
      <c r="BD34">
        <v>1013.2</v>
      </c>
      <c r="BE34">
        <f t="shared" si="5"/>
        <v>31.106348979899021</v>
      </c>
    </row>
    <row r="35" spans="1:57" x14ac:dyDescent="0.2">
      <c r="A35" s="13">
        <v>26</v>
      </c>
      <c r="B35" s="3">
        <v>8</v>
      </c>
      <c r="C35" s="17">
        <v>6</v>
      </c>
      <c r="D35" s="3">
        <v>4</v>
      </c>
      <c r="E35" s="18">
        <v>8</v>
      </c>
      <c r="F35" s="18">
        <v>9</v>
      </c>
      <c r="G35" s="18">
        <v>62</v>
      </c>
      <c r="H35" s="19">
        <v>1</v>
      </c>
      <c r="I35" s="18">
        <v>15</v>
      </c>
      <c r="J35" s="18">
        <v>81</v>
      </c>
      <c r="K35" s="20">
        <v>147</v>
      </c>
      <c r="L35" s="18">
        <v>279</v>
      </c>
      <c r="M35" s="18">
        <v>251</v>
      </c>
      <c r="N35" s="18">
        <v>296</v>
      </c>
      <c r="O35" s="18">
        <v>79</v>
      </c>
      <c r="P35" s="18">
        <v>239</v>
      </c>
      <c r="Q35" s="17">
        <v>6</v>
      </c>
      <c r="R35" s="17">
        <v>8</v>
      </c>
      <c r="S35" s="17">
        <v>0</v>
      </c>
      <c r="T35" s="17">
        <v>1</v>
      </c>
      <c r="U35" s="17">
        <v>2</v>
      </c>
      <c r="V35" s="3">
        <v>8</v>
      </c>
      <c r="W35" s="20">
        <v>54</v>
      </c>
      <c r="X35" s="17">
        <v>8</v>
      </c>
      <c r="Y35" s="17">
        <v>6</v>
      </c>
      <c r="Z35" s="17">
        <v>6</v>
      </c>
      <c r="AA35" s="20">
        <v>114</v>
      </c>
      <c r="AB35" s="3"/>
      <c r="AC35" s="3"/>
      <c r="AD35" s="20"/>
      <c r="AE35" s="3"/>
      <c r="AF35" s="3"/>
      <c r="AG35" s="20"/>
      <c r="AH35" s="107" t="s">
        <v>90</v>
      </c>
      <c r="AI35" s="107"/>
      <c r="AJ35" s="107"/>
      <c r="AK35" s="107"/>
      <c r="AL35" s="108"/>
      <c r="AN35" s="67">
        <f t="shared" si="2"/>
        <v>-3.3193385015829904</v>
      </c>
      <c r="AO35" s="67">
        <f t="shared" si="2"/>
        <v>-0.64260579344119151</v>
      </c>
      <c r="AP35" s="67">
        <f t="shared" si="2"/>
        <v>-1.5532677315613341</v>
      </c>
      <c r="AY35" s="67">
        <f t="shared" si="0"/>
        <v>299.31933850158299</v>
      </c>
      <c r="AZ35" s="67">
        <f t="shared" si="1"/>
        <v>79.642605793441192</v>
      </c>
      <c r="BA35" s="67">
        <f t="shared" si="3"/>
        <v>240.55326773156133</v>
      </c>
      <c r="BC35">
        <f t="shared" si="4"/>
        <v>37.582815820703949</v>
      </c>
      <c r="BD35">
        <v>1013.2</v>
      </c>
      <c r="BE35">
        <f t="shared" si="5"/>
        <v>31.858374091422295</v>
      </c>
    </row>
    <row r="36" spans="1:57" x14ac:dyDescent="0.2">
      <c r="A36" s="13">
        <v>27</v>
      </c>
      <c r="B36" s="3">
        <v>8</v>
      </c>
      <c r="C36" s="17">
        <v>7</v>
      </c>
      <c r="D36" s="3">
        <v>4</v>
      </c>
      <c r="E36" s="18">
        <v>8</v>
      </c>
      <c r="F36" s="18">
        <v>16</v>
      </c>
      <c r="G36" s="18">
        <v>68</v>
      </c>
      <c r="H36" s="19">
        <v>1</v>
      </c>
      <c r="I36" s="18">
        <v>5</v>
      </c>
      <c r="J36" s="18">
        <v>82</v>
      </c>
      <c r="K36" s="20">
        <v>142</v>
      </c>
      <c r="L36" s="18">
        <v>280</v>
      </c>
      <c r="M36" s="18">
        <v>251</v>
      </c>
      <c r="N36" s="18">
        <v>295</v>
      </c>
      <c r="O36" s="18">
        <v>78</v>
      </c>
      <c r="P36" s="18">
        <v>238</v>
      </c>
      <c r="Q36" s="17">
        <v>5</v>
      </c>
      <c r="R36" s="17">
        <v>8</v>
      </c>
      <c r="S36" s="17">
        <v>4</v>
      </c>
      <c r="T36" s="17">
        <v>1</v>
      </c>
      <c r="U36" s="17">
        <v>2</v>
      </c>
      <c r="V36" s="3">
        <v>8</v>
      </c>
      <c r="W36" s="20">
        <v>51</v>
      </c>
      <c r="X36" s="17">
        <v>8</v>
      </c>
      <c r="Y36" s="17">
        <v>3</v>
      </c>
      <c r="Z36" s="17">
        <v>6</v>
      </c>
      <c r="AA36" s="20">
        <f>36*3</f>
        <v>108</v>
      </c>
      <c r="AB36" s="3"/>
      <c r="AC36" s="3"/>
      <c r="AD36" s="20"/>
      <c r="AE36" s="3"/>
      <c r="AF36" s="3"/>
      <c r="AG36" s="20"/>
      <c r="AH36" s="107" t="s">
        <v>85</v>
      </c>
      <c r="AI36" s="107"/>
      <c r="AJ36" s="107"/>
      <c r="AK36" s="107"/>
      <c r="AL36" s="108"/>
      <c r="AN36" s="67">
        <f t="shared" si="2"/>
        <v>-3.6313241297029322</v>
      </c>
      <c r="AO36" s="67">
        <f t="shared" si="2"/>
        <v>-0.99695662771217997</v>
      </c>
      <c r="AP36" s="67">
        <f t="shared" si="2"/>
        <v>-2.1704501357887978</v>
      </c>
      <c r="AY36" s="67">
        <f t="shared" si="0"/>
        <v>298.63132412970293</v>
      </c>
      <c r="AZ36" s="67">
        <f t="shared" si="1"/>
        <v>78.99695662771218</v>
      </c>
      <c r="BA36" s="67">
        <f t="shared" si="3"/>
        <v>240.1704501357888</v>
      </c>
      <c r="BC36">
        <f t="shared" si="4"/>
        <v>37.802889741317315</v>
      </c>
      <c r="BD36">
        <v>1013.2</v>
      </c>
      <c r="BE36">
        <f t="shared" si="5"/>
        <v>31.858374091422295</v>
      </c>
    </row>
    <row r="37" spans="1:57" x14ac:dyDescent="0.2">
      <c r="A37" s="13">
        <v>28</v>
      </c>
      <c r="B37" s="3">
        <v>8</v>
      </c>
      <c r="C37" s="17">
        <v>8</v>
      </c>
      <c r="D37" s="3">
        <v>4</v>
      </c>
      <c r="E37" s="18">
        <v>8</v>
      </c>
      <c r="F37" s="18">
        <v>10</v>
      </c>
      <c r="G37" s="18">
        <v>56</v>
      </c>
      <c r="H37" s="19">
        <v>1</v>
      </c>
      <c r="I37" s="18">
        <v>61</v>
      </c>
      <c r="J37" s="18">
        <v>86</v>
      </c>
      <c r="K37" s="20">
        <v>167</v>
      </c>
      <c r="L37" s="18">
        <v>235</v>
      </c>
      <c r="M37" s="18">
        <v>230</v>
      </c>
      <c r="N37" s="18">
        <v>276</v>
      </c>
      <c r="O37" s="18">
        <v>96</v>
      </c>
      <c r="P37" s="18">
        <v>227</v>
      </c>
      <c r="Q37" s="17">
        <v>8</v>
      </c>
      <c r="R37" s="17">
        <v>8</v>
      </c>
      <c r="S37" s="17" t="s">
        <v>89</v>
      </c>
      <c r="T37" s="17" t="s">
        <v>89</v>
      </c>
      <c r="U37" s="17">
        <v>5</v>
      </c>
      <c r="V37" s="3">
        <v>8</v>
      </c>
      <c r="W37" s="20">
        <v>36</v>
      </c>
      <c r="X37" s="17">
        <v>8</v>
      </c>
      <c r="Y37" s="17">
        <v>7</v>
      </c>
      <c r="Z37" s="17">
        <v>6</v>
      </c>
      <c r="AA37" s="20">
        <v>105</v>
      </c>
      <c r="AB37" s="3"/>
      <c r="AC37" s="3"/>
      <c r="AD37" s="20"/>
      <c r="AE37" s="3"/>
      <c r="AF37" s="3"/>
      <c r="AG37" s="20"/>
      <c r="AH37" s="107" t="s">
        <v>192</v>
      </c>
      <c r="AI37" s="107"/>
      <c r="AJ37" s="107"/>
      <c r="AK37" s="107"/>
      <c r="AL37" s="108"/>
      <c r="AN37" s="67">
        <f t="shared" si="2"/>
        <v>-1.3761389401141173</v>
      </c>
      <c r="AO37" s="67">
        <f t="shared" si="2"/>
        <v>0.16364880991162067</v>
      </c>
      <c r="AP37" s="67">
        <f t="shared" si="2"/>
        <v>-0.94563609599566689</v>
      </c>
      <c r="AY37" s="67">
        <f t="shared" si="0"/>
        <v>277.37613894011412</v>
      </c>
      <c r="AZ37" s="67">
        <f t="shared" si="1"/>
        <v>95.836351190088379</v>
      </c>
      <c r="BA37" s="67">
        <f t="shared" si="3"/>
        <v>227.94563609599567</v>
      </c>
      <c r="BC37">
        <f t="shared" si="4"/>
        <v>28.94268568196501</v>
      </c>
      <c r="BD37">
        <v>1013.2</v>
      </c>
      <c r="BE37">
        <f t="shared" si="5"/>
        <v>28.080813610211415</v>
      </c>
    </row>
    <row r="38" spans="1:57" x14ac:dyDescent="0.2">
      <c r="A38" s="13">
        <v>29</v>
      </c>
      <c r="B38" s="3">
        <v>8</v>
      </c>
      <c r="C38" s="17">
        <v>8</v>
      </c>
      <c r="D38" s="3">
        <v>4</v>
      </c>
      <c r="E38" s="18">
        <v>0</v>
      </c>
      <c r="F38" s="18">
        <v>0</v>
      </c>
      <c r="G38" s="18">
        <v>57</v>
      </c>
      <c r="H38" s="19">
        <v>1</v>
      </c>
      <c r="I38" s="18">
        <v>60</v>
      </c>
      <c r="J38" s="69">
        <v>81</v>
      </c>
      <c r="K38" s="20">
        <v>155</v>
      </c>
      <c r="L38" s="18">
        <v>241</v>
      </c>
      <c r="M38" s="18">
        <v>230</v>
      </c>
      <c r="N38" s="18">
        <v>273</v>
      </c>
      <c r="O38" s="18">
        <v>91</v>
      </c>
      <c r="P38" s="18">
        <v>225</v>
      </c>
      <c r="Q38" s="17">
        <v>8</v>
      </c>
      <c r="R38" s="17">
        <v>8</v>
      </c>
      <c r="S38" s="17" t="s">
        <v>89</v>
      </c>
      <c r="T38" s="17" t="s">
        <v>89</v>
      </c>
      <c r="U38" s="17">
        <v>4</v>
      </c>
      <c r="V38" s="3">
        <v>8</v>
      </c>
      <c r="W38" s="20">
        <f>13*3</f>
        <v>39</v>
      </c>
      <c r="X38" s="17">
        <v>8</v>
      </c>
      <c r="Y38" s="17">
        <v>8</v>
      </c>
      <c r="Z38" s="17">
        <v>6</v>
      </c>
      <c r="AA38" s="20">
        <v>90</v>
      </c>
      <c r="AB38" s="3"/>
      <c r="AC38" s="3"/>
      <c r="AD38" s="20"/>
      <c r="AE38" s="3"/>
      <c r="AF38" s="3"/>
      <c r="AG38" s="20"/>
      <c r="AH38" s="107" t="s">
        <v>201</v>
      </c>
      <c r="AI38" s="107"/>
      <c r="AJ38" s="107"/>
      <c r="AK38" s="107"/>
      <c r="AL38" s="108"/>
      <c r="AN38" s="67">
        <f t="shared" si="2"/>
        <v>-0.2577423457141208</v>
      </c>
      <c r="AO38" s="67">
        <f t="shared" si="2"/>
        <v>-6.3311782091986402E-2</v>
      </c>
      <c r="AP38" s="67">
        <f t="shared" si="2"/>
        <v>-0.48248802735568574</v>
      </c>
      <c r="AY38" s="67">
        <f t="shared" si="0"/>
        <v>273.25774234571412</v>
      </c>
      <c r="AZ38" s="67">
        <f t="shared" si="1"/>
        <v>91.063311782091986</v>
      </c>
      <c r="BA38" s="67">
        <f t="shared" si="3"/>
        <v>225.48248802735569</v>
      </c>
      <c r="BC38">
        <f t="shared" si="4"/>
        <v>30.007446138089119</v>
      </c>
      <c r="BD38">
        <v>1013.2</v>
      </c>
      <c r="BE38">
        <f t="shared" si="5"/>
        <v>28.080813610211415</v>
      </c>
    </row>
    <row r="39" spans="1:57" x14ac:dyDescent="0.2">
      <c r="A39" s="13">
        <v>30</v>
      </c>
      <c r="B39" s="3">
        <v>8</v>
      </c>
      <c r="C39" s="17">
        <v>7</v>
      </c>
      <c r="D39" s="3">
        <v>4</v>
      </c>
      <c r="E39" s="18">
        <v>0</v>
      </c>
      <c r="F39" s="18">
        <v>0</v>
      </c>
      <c r="G39" s="18">
        <v>62</v>
      </c>
      <c r="H39" s="19">
        <v>1</v>
      </c>
      <c r="I39" s="18">
        <v>5</v>
      </c>
      <c r="J39" s="18">
        <v>86</v>
      </c>
      <c r="K39" s="20">
        <v>144</v>
      </c>
      <c r="L39" s="18">
        <v>269</v>
      </c>
      <c r="M39" s="18">
        <v>239</v>
      </c>
      <c r="N39" s="18">
        <v>274</v>
      </c>
      <c r="O39" s="18">
        <v>77</v>
      </c>
      <c r="P39" s="18">
        <v>225</v>
      </c>
      <c r="Q39" s="17">
        <v>6</v>
      </c>
      <c r="R39" s="17">
        <v>8</v>
      </c>
      <c r="S39" s="17">
        <v>4</v>
      </c>
      <c r="T39" s="17">
        <v>0</v>
      </c>
      <c r="U39" s="17">
        <v>3</v>
      </c>
      <c r="V39" s="3">
        <v>8</v>
      </c>
      <c r="W39" s="20">
        <v>54</v>
      </c>
      <c r="X39" s="17">
        <v>8</v>
      </c>
      <c r="Y39" s="17">
        <v>5</v>
      </c>
      <c r="Z39" s="17">
        <v>6</v>
      </c>
      <c r="AA39" s="20">
        <v>114</v>
      </c>
      <c r="AB39" s="3"/>
      <c r="AC39" s="3"/>
      <c r="AD39" s="20"/>
      <c r="AE39" s="3"/>
      <c r="AF39" s="3"/>
      <c r="AG39" s="20"/>
      <c r="AH39" s="107" t="s">
        <v>85</v>
      </c>
      <c r="AI39" s="107"/>
      <c r="AJ39" s="107"/>
      <c r="AK39" s="107"/>
      <c r="AL39" s="108"/>
      <c r="AN39" s="67">
        <f t="shared" si="2"/>
        <v>-1.8750277593781561</v>
      </c>
      <c r="AO39" s="67">
        <f t="shared" si="2"/>
        <v>-0.83645825354443559</v>
      </c>
      <c r="AP39" s="67">
        <f t="shared" si="2"/>
        <v>-2.0515798652747321</v>
      </c>
      <c r="AY39" s="67">
        <f t="shared" si="0"/>
        <v>275.87502775937816</v>
      </c>
      <c r="AZ39" s="67">
        <f t="shared" si="1"/>
        <v>77.836458253544436</v>
      </c>
      <c r="BA39" s="67">
        <f t="shared" si="3"/>
        <v>227.05157986527473</v>
      </c>
      <c r="BC39">
        <f t="shared" si="4"/>
        <v>35.442906055764126</v>
      </c>
      <c r="BD39">
        <v>1013.2</v>
      </c>
      <c r="BE39">
        <f t="shared" si="5"/>
        <v>29.648777423897815</v>
      </c>
    </row>
    <row r="40" spans="1:57" x14ac:dyDescent="0.2">
      <c r="A40" s="13"/>
      <c r="B40" s="3"/>
      <c r="C40" s="17"/>
      <c r="D40" s="3"/>
      <c r="E40" s="18"/>
      <c r="F40" s="18"/>
      <c r="G40" s="18"/>
      <c r="H40" s="19"/>
      <c r="I40" s="18"/>
      <c r="J40" s="18"/>
      <c r="K40" s="20"/>
      <c r="L40" s="18"/>
      <c r="M40" s="18"/>
      <c r="N40" s="18"/>
      <c r="O40" s="18"/>
      <c r="P40" s="18"/>
      <c r="Q40" s="17"/>
      <c r="R40" s="17"/>
      <c r="S40" s="17"/>
      <c r="T40" s="17"/>
      <c r="U40" s="17"/>
      <c r="V40" s="3"/>
      <c r="W40" s="20"/>
      <c r="X40" s="17"/>
      <c r="Y40" s="3"/>
      <c r="Z40" s="3"/>
      <c r="AA40" s="20"/>
      <c r="AB40" s="3"/>
      <c r="AC40" s="3"/>
      <c r="AD40" s="20"/>
      <c r="AE40" s="3"/>
      <c r="AF40" s="3"/>
      <c r="AG40" s="20"/>
      <c r="AH40" s="107"/>
      <c r="AI40" s="107"/>
      <c r="AJ40" s="107"/>
      <c r="AK40" s="107"/>
      <c r="AL40" s="108"/>
      <c r="AN40" s="67"/>
      <c r="AO40" s="67"/>
      <c r="AP40" s="67"/>
      <c r="AY40" s="67">
        <f t="shared" si="0"/>
        <v>61.120000000000005</v>
      </c>
      <c r="AZ40" s="67">
        <f t="shared" si="1"/>
        <v>100</v>
      </c>
      <c r="BA40" s="67">
        <f t="shared" si="3"/>
        <v>0</v>
      </c>
      <c r="BC40">
        <f t="shared" si="4"/>
        <v>6.1120000000000001</v>
      </c>
      <c r="BD40">
        <v>1013.2</v>
      </c>
      <c r="BE40">
        <f t="shared" si="5"/>
        <v>6.1120000000000001</v>
      </c>
    </row>
    <row r="41" spans="1:57" x14ac:dyDescent="0.2">
      <c r="A41" s="18"/>
      <c r="B41" s="3"/>
      <c r="C41" s="17"/>
      <c r="D41" s="3"/>
      <c r="E41" s="18"/>
      <c r="F41" s="18"/>
      <c r="G41" s="18"/>
      <c r="H41" s="19"/>
      <c r="I41" s="18"/>
      <c r="J41" s="18"/>
      <c r="K41" s="20"/>
      <c r="L41" s="18"/>
      <c r="M41" s="18"/>
      <c r="N41" s="18"/>
      <c r="O41" s="18"/>
      <c r="P41" s="18"/>
      <c r="Q41" s="17"/>
      <c r="R41" s="17"/>
      <c r="S41" s="17"/>
      <c r="T41" s="17"/>
      <c r="U41" s="17"/>
      <c r="V41" s="3"/>
      <c r="W41" s="20"/>
      <c r="X41" s="3"/>
      <c r="Y41" s="3"/>
      <c r="Z41" s="3"/>
      <c r="AA41" s="20"/>
      <c r="AB41" s="3"/>
      <c r="AC41" s="3"/>
      <c r="AD41" s="20"/>
      <c r="AE41" s="3"/>
      <c r="AF41" s="3"/>
      <c r="AG41" s="20"/>
      <c r="AH41" s="109" t="s">
        <v>232</v>
      </c>
      <c r="AI41" s="107"/>
      <c r="AJ41" s="107"/>
      <c r="AK41" s="107"/>
      <c r="AL41" s="108"/>
      <c r="AN41" s="67"/>
      <c r="AO41" s="67"/>
      <c r="AP41" s="67"/>
    </row>
    <row r="42" spans="1:57" x14ac:dyDescent="0.2">
      <c r="A42" s="13" t="s">
        <v>9</v>
      </c>
      <c r="B42" s="1"/>
      <c r="C42" s="21">
        <f>SUM(C10:C40)</f>
        <v>168</v>
      </c>
      <c r="D42" s="1"/>
      <c r="E42" s="13"/>
      <c r="F42" s="13">
        <f>SUM(F10:F40)</f>
        <v>292</v>
      </c>
      <c r="G42" s="13"/>
      <c r="H42" s="2"/>
      <c r="I42" s="13"/>
      <c r="J42" s="13"/>
      <c r="K42" s="22">
        <f>SUM(K10:K40)</f>
        <v>4163</v>
      </c>
      <c r="L42" s="13">
        <f>SUM(L10:L40)</f>
        <v>8166</v>
      </c>
      <c r="M42" s="13">
        <f>SUM(M10:M40)</f>
        <v>7345</v>
      </c>
      <c r="N42" s="13">
        <f>SUM(N10:N40)</f>
        <v>8590</v>
      </c>
      <c r="O42" s="13">
        <f>SUM(O10:O40)</f>
        <v>2386</v>
      </c>
      <c r="P42" s="13">
        <f t="shared" ref="P42" si="6">SUM(P10:P40)</f>
        <v>6983</v>
      </c>
      <c r="Q42" s="21">
        <f>SUM(Q10:Q40)</f>
        <v>125</v>
      </c>
      <c r="R42" s="21"/>
      <c r="S42" s="21"/>
      <c r="T42" s="21"/>
      <c r="U42" s="21"/>
      <c r="V42" s="1"/>
      <c r="W42" s="22"/>
      <c r="X42" s="1"/>
      <c r="Y42" s="1"/>
      <c r="Z42" s="1"/>
      <c r="AA42" s="22"/>
      <c r="AB42" s="1"/>
      <c r="AC42" s="1"/>
      <c r="AD42" s="22"/>
      <c r="AE42" s="1"/>
      <c r="AF42" s="1"/>
      <c r="AG42" s="22"/>
      <c r="AH42" s="110" t="s">
        <v>241</v>
      </c>
      <c r="AI42" s="107"/>
      <c r="AJ42" s="107"/>
      <c r="AK42" s="107"/>
      <c r="AL42" s="108"/>
      <c r="AN42" s="67"/>
      <c r="AO42" s="67"/>
      <c r="AP42" s="67"/>
    </row>
    <row r="43" spans="1:57" ht="13.5" thickBot="1" x14ac:dyDescent="0.25">
      <c r="A43" s="23" t="s">
        <v>10</v>
      </c>
      <c r="B43" s="24"/>
      <c r="C43" s="25">
        <f>AVERAGE(C10:C40)</f>
        <v>5.6</v>
      </c>
      <c r="D43" s="24"/>
      <c r="E43" s="23">
        <f>MODE(E10:E40)</f>
        <v>9</v>
      </c>
      <c r="F43" s="23">
        <f>AVERAGE(F10:F40)</f>
        <v>9.7333333333333325</v>
      </c>
      <c r="G43" s="23"/>
      <c r="H43" s="26"/>
      <c r="I43" s="23"/>
      <c r="J43" s="23"/>
      <c r="K43" s="27">
        <f>AVERAGE(K10:K40)</f>
        <v>138.76666666666668</v>
      </c>
      <c r="L43" s="23">
        <f t="shared" ref="L43:Q43" si="7">AVERAGE(L10:L40)</f>
        <v>272.2</v>
      </c>
      <c r="M43" s="23">
        <f t="shared" si="7"/>
        <v>244.83333333333334</v>
      </c>
      <c r="N43" s="23">
        <f t="shared" si="7"/>
        <v>286.33333333333331</v>
      </c>
      <c r="O43" s="23">
        <f t="shared" si="7"/>
        <v>79.533333333333331</v>
      </c>
      <c r="P43" s="23">
        <f>AVERAGE(P10:P40)</f>
        <v>232.76666666666668</v>
      </c>
      <c r="Q43" s="25">
        <f t="shared" si="7"/>
        <v>4.166666666666667</v>
      </c>
      <c r="R43" s="25"/>
      <c r="S43" s="25"/>
      <c r="T43" s="25"/>
      <c r="U43" s="25"/>
      <c r="V43" s="24"/>
      <c r="W43" s="27"/>
      <c r="X43" s="24"/>
      <c r="Y43" s="24"/>
      <c r="Z43" s="24"/>
      <c r="AA43" s="27"/>
      <c r="AB43" s="24"/>
      <c r="AC43" s="24"/>
      <c r="AD43" s="27"/>
      <c r="AE43" s="24"/>
      <c r="AF43" s="24"/>
      <c r="AG43" s="27"/>
      <c r="AH43" s="111"/>
      <c r="AI43" s="111"/>
      <c r="AJ43" s="111"/>
      <c r="AK43" s="111"/>
      <c r="AL43" s="112"/>
      <c r="AN43" s="67">
        <f>AVERAGE(AN10:AN40)</f>
        <v>-2.1926387646482945</v>
      </c>
      <c r="AO43" s="67">
        <f t="shared" ref="AO43:AP43" si="8">AVERAGE(AO10:AO40)</f>
        <v>-0.5721289118738071</v>
      </c>
      <c r="AP43" s="67">
        <f t="shared" si="8"/>
        <v>-1.5252702073808175</v>
      </c>
    </row>
    <row r="44" spans="1:57" x14ac:dyDescent="0.2">
      <c r="E44" s="11"/>
      <c r="G44" s="11"/>
      <c r="K44" s="4"/>
      <c r="M44" s="11"/>
      <c r="P44" s="11"/>
      <c r="Q44" s="11"/>
      <c r="W44" s="4"/>
      <c r="AA44" s="4"/>
      <c r="AD44" s="4"/>
    </row>
    <row r="45" spans="1:57" x14ac:dyDescent="0.2">
      <c r="E45" s="11"/>
      <c r="G45" s="11"/>
      <c r="K45" s="4"/>
      <c r="M45" s="11"/>
      <c r="P45" s="11"/>
      <c r="Q45" s="11"/>
      <c r="W45" s="4"/>
      <c r="AA45" s="4"/>
    </row>
    <row r="46" spans="1:57" x14ac:dyDescent="0.2">
      <c r="E46" s="11"/>
      <c r="G46" s="11"/>
      <c r="M46" s="11"/>
      <c r="P46" s="11"/>
      <c r="Q46" s="11"/>
      <c r="W46" s="4"/>
      <c r="AA46" s="4"/>
    </row>
    <row r="47" spans="1:57" x14ac:dyDescent="0.2">
      <c r="E47" s="11"/>
      <c r="G47" s="11"/>
      <c r="M47" s="11"/>
      <c r="P47" s="11"/>
      <c r="Q47" s="11"/>
    </row>
    <row r="48" spans="1:57" x14ac:dyDescent="0.2">
      <c r="E48" s="11"/>
      <c r="G48" s="11"/>
      <c r="M48" s="11"/>
      <c r="P48" s="11"/>
      <c r="Q48" s="11"/>
    </row>
    <row r="49" spans="5:17" x14ac:dyDescent="0.2">
      <c r="E49" s="11"/>
      <c r="G49" s="11"/>
      <c r="M49" s="11"/>
      <c r="P49" s="11"/>
      <c r="Q49" s="11"/>
    </row>
  </sheetData>
  <mergeCells count="72">
    <mergeCell ref="AH41:AL41"/>
    <mergeCell ref="AH42:AL42"/>
    <mergeCell ref="AH43:AL43"/>
    <mergeCell ref="AH36:AL36"/>
    <mergeCell ref="AH37:AL37"/>
    <mergeCell ref="AH38:AL38"/>
    <mergeCell ref="AH39:AL39"/>
    <mergeCell ref="AH40:AL40"/>
    <mergeCell ref="AH31:AL31"/>
    <mergeCell ref="AH32:AL32"/>
    <mergeCell ref="AH33:AL33"/>
    <mergeCell ref="AH34:AL34"/>
    <mergeCell ref="AH35:AL35"/>
    <mergeCell ref="AH26:AL26"/>
    <mergeCell ref="AH27:AL27"/>
    <mergeCell ref="AH28:AL28"/>
    <mergeCell ref="AH29:AL29"/>
    <mergeCell ref="AH30:AL30"/>
    <mergeCell ref="AH21:AL21"/>
    <mergeCell ref="AH22:AL22"/>
    <mergeCell ref="AH23:AL23"/>
    <mergeCell ref="AH24:AL24"/>
    <mergeCell ref="AH25:AL25"/>
    <mergeCell ref="AH16:AL16"/>
    <mergeCell ref="AH17:AL17"/>
    <mergeCell ref="AH18:AL18"/>
    <mergeCell ref="AH19:AL19"/>
    <mergeCell ref="AH20:AL20"/>
    <mergeCell ref="AH11:AL11"/>
    <mergeCell ref="AH12:AL12"/>
    <mergeCell ref="AH13:AL13"/>
    <mergeCell ref="AH14:AL14"/>
    <mergeCell ref="AH15:AL15"/>
    <mergeCell ref="U8:W8"/>
    <mergeCell ref="X8:AA8"/>
    <mergeCell ref="AB8:AD8"/>
    <mergeCell ref="AE8:AG8"/>
    <mergeCell ref="AH10:AL10"/>
    <mergeCell ref="AH7:AL9"/>
    <mergeCell ref="P8:P9"/>
    <mergeCell ref="Q8:Q9"/>
    <mergeCell ref="R8:R9"/>
    <mergeCell ref="S8:S9"/>
    <mergeCell ref="T8:T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3:T3"/>
    <mergeCell ref="E7:F7"/>
    <mergeCell ref="L7:P7"/>
    <mergeCell ref="Q7:T7"/>
    <mergeCell ref="U7:AG7"/>
    <mergeCell ref="AN7:AP7"/>
    <mergeCell ref="AY7:BA7"/>
    <mergeCell ref="AN8:AN9"/>
    <mergeCell ref="AO8:AO9"/>
    <mergeCell ref="AP8:AP9"/>
    <mergeCell ref="AY8:AY9"/>
    <mergeCell ref="AZ8:AZ9"/>
    <mergeCell ref="BA8:BA9"/>
  </mergeCells>
  <phoneticPr fontId="2" type="noConversion"/>
  <dataValidations count="5">
    <dataValidation type="whole" allowBlank="1" showInputMessage="1" showErrorMessage="1" sqref="C10:C40" xr:uid="{00000000-0002-0000-0B00-000000000000}">
      <formula1>0</formula1>
      <formula2>9</formula2>
    </dataValidation>
    <dataValidation type="whole" allowBlank="1" showInputMessage="1" showErrorMessage="1" sqref="Y10:Y40" xr:uid="{00000000-0002-0000-0B00-000001000000}">
      <formula1>3</formula1>
      <formula2>9</formula2>
    </dataValidation>
    <dataValidation type="whole" allowBlank="1" showInputMessage="1" showErrorMessage="1" sqref="AB10:AB40" xr:uid="{00000000-0002-0000-0B00-000002000000}">
      <formula1>5</formula1>
      <formula2>9</formula2>
    </dataValidation>
    <dataValidation type="whole" allowBlank="1" showInputMessage="1" showErrorMessage="1" sqref="D10:D40" xr:uid="{00000000-0002-0000-0B00-000003000000}">
      <formula1>0</formula1>
      <formula2>4</formula2>
    </dataValidation>
    <dataValidation type="whole" allowBlank="1" showInputMessage="1" showErrorMessage="1" sqref="AE10:AE40" xr:uid="{00000000-0002-0000-0B00-000004000000}">
      <formula1>1</formula1>
      <formula2>9</formula2>
    </dataValidation>
  </dataValidations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7:Q49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P31" sqref="P31"/>
    </sheetView>
  </sheetViews>
  <sheetFormatPr defaultRowHeight="12.75" x14ac:dyDescent="0.2"/>
  <cols>
    <col min="2" max="2" width="9.85546875" bestFit="1" customWidth="1"/>
    <col min="3" max="3" width="6.28515625" bestFit="1" customWidth="1"/>
  </cols>
  <sheetData>
    <row r="7" spans="1:10" x14ac:dyDescent="0.2">
      <c r="A7" s="119" t="s">
        <v>18</v>
      </c>
      <c r="B7" s="5" t="s">
        <v>12</v>
      </c>
      <c r="C7" s="119" t="s">
        <v>13</v>
      </c>
      <c r="D7" s="119"/>
    </row>
    <row r="8" spans="1:10" ht="51" x14ac:dyDescent="0.2">
      <c r="A8" s="119"/>
      <c r="B8" s="6" t="s">
        <v>37</v>
      </c>
      <c r="C8" s="6" t="s">
        <v>35</v>
      </c>
      <c r="D8" s="7" t="s">
        <v>36</v>
      </c>
    </row>
    <row r="9" spans="1:10" x14ac:dyDescent="0.2">
      <c r="A9" s="13">
        <v>1</v>
      </c>
      <c r="B9" s="14"/>
      <c r="C9" s="10"/>
      <c r="D9" s="10"/>
    </row>
    <row r="10" spans="1:10" x14ac:dyDescent="0.2">
      <c r="A10" s="13">
        <v>2</v>
      </c>
      <c r="B10" s="15"/>
      <c r="C10" s="10"/>
      <c r="D10" s="10"/>
      <c r="J10">
        <v>0</v>
      </c>
    </row>
    <row r="11" spans="1:10" x14ac:dyDescent="0.2">
      <c r="A11" s="13">
        <v>3</v>
      </c>
      <c r="B11" s="14"/>
      <c r="C11" s="10"/>
      <c r="D11" s="10"/>
      <c r="F11">
        <v>0</v>
      </c>
      <c r="G11">
        <v>0</v>
      </c>
      <c r="I11">
        <v>0</v>
      </c>
      <c r="J11">
        <v>0</v>
      </c>
    </row>
    <row r="12" spans="1:10" x14ac:dyDescent="0.2">
      <c r="A12" s="13">
        <v>4</v>
      </c>
      <c r="B12" s="15"/>
      <c r="C12" s="10"/>
      <c r="D12" s="10"/>
      <c r="F12">
        <v>0</v>
      </c>
      <c r="H12">
        <v>0</v>
      </c>
      <c r="I12">
        <v>0</v>
      </c>
      <c r="J12">
        <v>0</v>
      </c>
    </row>
    <row r="13" spans="1:10" x14ac:dyDescent="0.2">
      <c r="A13" s="13">
        <v>5</v>
      </c>
      <c r="B13" s="14"/>
      <c r="C13" s="10"/>
      <c r="D13" s="10"/>
      <c r="F13">
        <v>0</v>
      </c>
      <c r="H13">
        <v>1</v>
      </c>
      <c r="J13">
        <v>0</v>
      </c>
    </row>
    <row r="14" spans="1:10" x14ac:dyDescent="0.2">
      <c r="A14" s="13">
        <v>6</v>
      </c>
      <c r="B14" s="15"/>
      <c r="C14" s="10"/>
      <c r="D14" s="10"/>
      <c r="F14">
        <v>0</v>
      </c>
      <c r="G14">
        <v>0</v>
      </c>
      <c r="H14">
        <v>0</v>
      </c>
      <c r="J14">
        <v>0</v>
      </c>
    </row>
    <row r="15" spans="1:10" x14ac:dyDescent="0.2">
      <c r="A15" s="13">
        <v>7</v>
      </c>
      <c r="B15" s="15"/>
      <c r="C15" s="10"/>
      <c r="D15" s="10"/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">
      <c r="A16" s="13">
        <v>8</v>
      </c>
      <c r="B16" s="15"/>
      <c r="C16" s="10"/>
      <c r="D16" s="10"/>
      <c r="F16">
        <v>0</v>
      </c>
      <c r="H16">
        <v>1</v>
      </c>
      <c r="J16">
        <v>0</v>
      </c>
    </row>
    <row r="17" spans="1:17" x14ac:dyDescent="0.2">
      <c r="A17" s="13">
        <v>9</v>
      </c>
      <c r="B17" s="14"/>
      <c r="C17" s="10"/>
      <c r="D17" s="10"/>
      <c r="F17">
        <v>0</v>
      </c>
      <c r="G17">
        <v>0</v>
      </c>
      <c r="H17">
        <v>0</v>
      </c>
      <c r="I17">
        <v>0</v>
      </c>
      <c r="J17">
        <v>0</v>
      </c>
    </row>
    <row r="18" spans="1:17" x14ac:dyDescent="0.2">
      <c r="A18" s="13">
        <v>10</v>
      </c>
      <c r="B18" s="14"/>
      <c r="C18" s="10"/>
      <c r="D18" s="10"/>
      <c r="F18">
        <v>0</v>
      </c>
      <c r="G18">
        <v>0</v>
      </c>
      <c r="I18">
        <v>1</v>
      </c>
    </row>
    <row r="19" spans="1:17" x14ac:dyDescent="0.2">
      <c r="A19" s="13">
        <v>11</v>
      </c>
      <c r="B19" s="14"/>
      <c r="C19" s="10"/>
      <c r="D19" s="10"/>
      <c r="E19" s="11"/>
      <c r="G19" s="11"/>
      <c r="H19">
        <v>1</v>
      </c>
      <c r="J19">
        <v>0</v>
      </c>
      <c r="M19" s="11"/>
      <c r="P19" s="11"/>
      <c r="Q19" s="11"/>
    </row>
    <row r="20" spans="1:17" x14ac:dyDescent="0.2">
      <c r="A20" s="13">
        <v>12</v>
      </c>
      <c r="B20" s="15"/>
      <c r="C20" s="10"/>
      <c r="D20" s="10"/>
      <c r="E20" s="11"/>
      <c r="F20">
        <v>0</v>
      </c>
      <c r="G20" s="11">
        <v>0</v>
      </c>
      <c r="I20">
        <v>1</v>
      </c>
      <c r="M20" s="11"/>
      <c r="P20" s="11"/>
      <c r="Q20" s="11"/>
    </row>
    <row r="21" spans="1:17" x14ac:dyDescent="0.2">
      <c r="A21" s="13">
        <v>13</v>
      </c>
      <c r="B21" s="15"/>
      <c r="C21" s="10"/>
      <c r="D21" s="10"/>
      <c r="E21" s="11"/>
      <c r="G21" s="11"/>
      <c r="H21">
        <v>1</v>
      </c>
      <c r="I21">
        <v>1</v>
      </c>
      <c r="J21">
        <v>1</v>
      </c>
      <c r="M21" s="11"/>
      <c r="P21" s="11"/>
      <c r="Q21" s="11"/>
    </row>
    <row r="22" spans="1:17" x14ac:dyDescent="0.2">
      <c r="A22" s="13">
        <v>14</v>
      </c>
      <c r="B22" s="14"/>
      <c r="C22" s="10"/>
      <c r="D22" s="10"/>
      <c r="E22" s="11"/>
      <c r="F22">
        <v>1</v>
      </c>
      <c r="G22" s="11"/>
      <c r="I22">
        <v>0</v>
      </c>
      <c r="J22">
        <v>0</v>
      </c>
      <c r="M22" s="11"/>
      <c r="P22" s="11"/>
      <c r="Q22" s="11"/>
    </row>
    <row r="23" spans="1:17" x14ac:dyDescent="0.2">
      <c r="A23" s="13">
        <v>15</v>
      </c>
      <c r="B23" s="14"/>
      <c r="C23" s="10"/>
      <c r="D23" s="10"/>
      <c r="E23" s="11"/>
      <c r="F23">
        <v>0</v>
      </c>
      <c r="G23" s="11">
        <v>0</v>
      </c>
      <c r="I23">
        <v>1</v>
      </c>
      <c r="M23" s="11"/>
      <c r="P23" s="11"/>
      <c r="Q23" s="11"/>
    </row>
    <row r="24" spans="1:17" x14ac:dyDescent="0.2">
      <c r="A24" s="13">
        <v>16</v>
      </c>
      <c r="B24" s="14"/>
      <c r="C24" s="10"/>
      <c r="D24" s="10"/>
      <c r="E24" s="11"/>
      <c r="G24" s="11"/>
      <c r="I24">
        <v>0</v>
      </c>
      <c r="J24">
        <v>0</v>
      </c>
      <c r="M24" s="11"/>
      <c r="P24" s="11"/>
      <c r="Q24" s="11"/>
    </row>
    <row r="25" spans="1:17" x14ac:dyDescent="0.2">
      <c r="A25" s="1">
        <v>17</v>
      </c>
      <c r="B25" s="14"/>
      <c r="C25" s="10"/>
      <c r="D25" s="10"/>
      <c r="E25" s="11"/>
      <c r="G25" s="11"/>
      <c r="H25">
        <v>1</v>
      </c>
      <c r="I25">
        <v>1</v>
      </c>
      <c r="J25">
        <v>1</v>
      </c>
      <c r="M25" s="11"/>
      <c r="P25" s="11"/>
      <c r="Q25" s="11"/>
    </row>
    <row r="26" spans="1:17" x14ac:dyDescent="0.2">
      <c r="A26" s="1">
        <v>18</v>
      </c>
      <c r="B26" s="14"/>
      <c r="C26" s="10"/>
      <c r="D26" s="10"/>
      <c r="E26" s="11"/>
      <c r="F26">
        <v>1</v>
      </c>
      <c r="G26" s="11">
        <v>1</v>
      </c>
      <c r="H26">
        <v>1</v>
      </c>
      <c r="I26">
        <v>1</v>
      </c>
      <c r="J26">
        <v>1</v>
      </c>
      <c r="M26" s="11"/>
      <c r="P26" s="11"/>
      <c r="Q26" s="11"/>
    </row>
    <row r="27" spans="1:17" x14ac:dyDescent="0.2">
      <c r="A27" s="1">
        <v>19</v>
      </c>
      <c r="B27" s="15"/>
      <c r="C27" s="10"/>
      <c r="D27" s="10"/>
      <c r="E27" s="11"/>
      <c r="F27">
        <v>1</v>
      </c>
      <c r="G27" s="11">
        <v>1</v>
      </c>
      <c r="H27">
        <v>1</v>
      </c>
      <c r="I27">
        <v>1</v>
      </c>
      <c r="M27" s="11"/>
      <c r="P27" s="11"/>
      <c r="Q27" s="11"/>
    </row>
    <row r="28" spans="1:17" x14ac:dyDescent="0.2">
      <c r="A28" s="1">
        <v>20</v>
      </c>
      <c r="B28" s="14"/>
      <c r="C28" s="10"/>
      <c r="D28" s="10"/>
      <c r="E28" s="11"/>
      <c r="G28" s="11"/>
      <c r="J28">
        <v>1</v>
      </c>
      <c r="M28" s="11"/>
      <c r="P28" s="11"/>
      <c r="Q28" s="11"/>
    </row>
    <row r="29" spans="1:17" x14ac:dyDescent="0.2">
      <c r="A29" s="1">
        <v>21</v>
      </c>
      <c r="B29" s="15"/>
      <c r="C29" s="10"/>
      <c r="D29" s="10"/>
      <c r="E29" s="11"/>
      <c r="F29">
        <v>1</v>
      </c>
      <c r="G29" s="11">
        <v>1</v>
      </c>
      <c r="H29">
        <v>1</v>
      </c>
      <c r="I29">
        <v>1</v>
      </c>
      <c r="J29">
        <v>1</v>
      </c>
      <c r="M29" s="11"/>
      <c r="P29" s="11"/>
      <c r="Q29" s="11"/>
    </row>
    <row r="30" spans="1:17" x14ac:dyDescent="0.2">
      <c r="A30" s="1">
        <v>22</v>
      </c>
      <c r="B30" s="15"/>
      <c r="C30" s="10"/>
      <c r="D30" s="10"/>
      <c r="E30" s="11"/>
      <c r="F30">
        <v>1</v>
      </c>
      <c r="G30" s="11"/>
      <c r="H30">
        <v>0</v>
      </c>
      <c r="J30">
        <v>1</v>
      </c>
      <c r="M30" s="11"/>
      <c r="P30" s="11"/>
      <c r="Q30" s="11"/>
    </row>
    <row r="31" spans="1:17" x14ac:dyDescent="0.2">
      <c r="A31" s="1">
        <v>23</v>
      </c>
      <c r="B31" s="14"/>
      <c r="C31" s="10"/>
      <c r="D31" s="10"/>
      <c r="E31" s="11"/>
      <c r="F31">
        <v>1</v>
      </c>
      <c r="G31" s="11">
        <v>1</v>
      </c>
      <c r="H31">
        <v>1</v>
      </c>
      <c r="J31">
        <v>0</v>
      </c>
      <c r="M31" s="11"/>
      <c r="P31" s="11"/>
      <c r="Q31" s="11"/>
    </row>
    <row r="32" spans="1:17" x14ac:dyDescent="0.2">
      <c r="A32" s="1">
        <v>24</v>
      </c>
      <c r="B32" s="14"/>
      <c r="C32" s="10"/>
      <c r="D32" s="10"/>
      <c r="E32" s="11"/>
      <c r="F32">
        <v>0</v>
      </c>
      <c r="G32" s="11"/>
      <c r="H32">
        <v>1</v>
      </c>
      <c r="I32">
        <v>1</v>
      </c>
      <c r="J32">
        <v>1</v>
      </c>
      <c r="M32" s="11"/>
      <c r="P32" s="11"/>
      <c r="Q32" s="11"/>
    </row>
    <row r="33" spans="1:17" x14ac:dyDescent="0.2">
      <c r="A33" s="1">
        <v>25</v>
      </c>
      <c r="B33" s="14"/>
      <c r="C33" s="10"/>
      <c r="D33" s="10"/>
      <c r="E33" s="11"/>
      <c r="G33" s="11">
        <v>1</v>
      </c>
      <c r="H33">
        <v>1</v>
      </c>
      <c r="I33">
        <v>1</v>
      </c>
      <c r="J33">
        <v>1</v>
      </c>
      <c r="M33" s="11"/>
      <c r="P33" s="11"/>
      <c r="Q33" s="11"/>
    </row>
    <row r="34" spans="1:17" x14ac:dyDescent="0.2">
      <c r="A34" s="1">
        <v>26</v>
      </c>
      <c r="B34" s="15"/>
      <c r="C34" s="10"/>
      <c r="D34" s="10"/>
      <c r="E34" s="11"/>
      <c r="F34">
        <v>1</v>
      </c>
      <c r="G34" s="11">
        <v>1</v>
      </c>
      <c r="H34">
        <v>1</v>
      </c>
      <c r="I34">
        <v>1</v>
      </c>
      <c r="J34">
        <v>1</v>
      </c>
      <c r="M34" s="11"/>
      <c r="P34" s="11"/>
      <c r="Q34" s="11"/>
    </row>
    <row r="35" spans="1:17" x14ac:dyDescent="0.2">
      <c r="A35" s="1">
        <v>27</v>
      </c>
      <c r="B35" s="14"/>
      <c r="C35" s="10"/>
      <c r="D35" s="10"/>
      <c r="E35" s="11"/>
      <c r="G35" s="11"/>
      <c r="M35" s="11"/>
      <c r="P35" s="11"/>
      <c r="Q35" s="11"/>
    </row>
    <row r="36" spans="1:17" x14ac:dyDescent="0.2">
      <c r="A36" s="1">
        <v>28</v>
      </c>
      <c r="B36" s="15"/>
      <c r="C36" s="10"/>
      <c r="D36" s="10"/>
      <c r="E36" s="11"/>
      <c r="G36" s="11">
        <v>1</v>
      </c>
      <c r="H36">
        <v>1</v>
      </c>
      <c r="I36">
        <v>1</v>
      </c>
      <c r="J36">
        <v>1</v>
      </c>
      <c r="M36" s="11"/>
      <c r="P36" s="11"/>
      <c r="Q36" s="11"/>
    </row>
    <row r="37" spans="1:17" x14ac:dyDescent="0.2">
      <c r="A37" s="1">
        <v>29</v>
      </c>
      <c r="B37" s="15"/>
      <c r="C37" s="10"/>
      <c r="D37" s="10"/>
      <c r="E37" s="11"/>
      <c r="F37">
        <v>1</v>
      </c>
      <c r="G37" s="11">
        <v>1</v>
      </c>
      <c r="H37">
        <v>1</v>
      </c>
      <c r="J37">
        <v>0</v>
      </c>
      <c r="M37" s="11"/>
      <c r="P37" s="11"/>
      <c r="Q37" s="11"/>
    </row>
    <row r="38" spans="1:17" x14ac:dyDescent="0.2">
      <c r="A38" s="1">
        <v>30</v>
      </c>
      <c r="B38" s="15"/>
      <c r="C38" s="10"/>
      <c r="D38" s="10"/>
      <c r="E38" s="11"/>
      <c r="F38">
        <v>0</v>
      </c>
      <c r="G38" s="11"/>
      <c r="H38">
        <v>1</v>
      </c>
      <c r="I38">
        <v>1</v>
      </c>
      <c r="J38">
        <v>1</v>
      </c>
      <c r="M38" s="11"/>
      <c r="P38" s="11"/>
      <c r="Q38" s="11"/>
    </row>
    <row r="39" spans="1:17" x14ac:dyDescent="0.2">
      <c r="A39" s="1">
        <v>31</v>
      </c>
      <c r="B39" s="15"/>
      <c r="C39" s="10"/>
      <c r="D39" s="10"/>
      <c r="E39" s="11"/>
      <c r="F39">
        <v>1</v>
      </c>
      <c r="G39" s="11">
        <v>1</v>
      </c>
      <c r="H39">
        <v>1</v>
      </c>
      <c r="M39" s="11"/>
      <c r="P39" s="11"/>
      <c r="Q39" s="11"/>
    </row>
    <row r="40" spans="1:17" x14ac:dyDescent="0.2">
      <c r="B40" s="16"/>
      <c r="E40" s="11"/>
      <c r="G40" s="11">
        <v>0</v>
      </c>
      <c r="H40">
        <v>0</v>
      </c>
      <c r="I40">
        <v>0</v>
      </c>
      <c r="J40">
        <v>0</v>
      </c>
      <c r="M40" s="11"/>
      <c r="P40" s="11"/>
      <c r="Q40" s="11"/>
    </row>
    <row r="41" spans="1:17" x14ac:dyDescent="0.2">
      <c r="A41" s="1" t="s">
        <v>14</v>
      </c>
      <c r="B41" s="14">
        <f>SUM(B9:B39)</f>
        <v>0</v>
      </c>
      <c r="C41" s="10">
        <f>SUM(C9:C39)</f>
        <v>0</v>
      </c>
      <c r="D41" s="10">
        <f>SUM(D9:D39)</f>
        <v>0</v>
      </c>
      <c r="E41" s="11"/>
      <c r="G41" s="11"/>
      <c r="M41" s="11"/>
      <c r="P41" s="11"/>
      <c r="Q41" s="11"/>
    </row>
    <row r="42" spans="1:17" x14ac:dyDescent="0.2">
      <c r="A42" s="1" t="s">
        <v>10</v>
      </c>
      <c r="C42" s="12">
        <f>C41/31</f>
        <v>0</v>
      </c>
      <c r="D42" s="12">
        <f>D41/31</f>
        <v>0</v>
      </c>
      <c r="E42" s="11"/>
      <c r="G42" s="11"/>
      <c r="M42" s="11"/>
      <c r="P42" s="11"/>
      <c r="Q42" s="11"/>
    </row>
    <row r="43" spans="1:17" x14ac:dyDescent="0.2">
      <c r="B43" s="1" t="s">
        <v>15</v>
      </c>
      <c r="D43" s="12">
        <f>(C42+D42)/2</f>
        <v>0</v>
      </c>
      <c r="E43" s="11"/>
      <c r="G43" s="11"/>
      <c r="M43" s="11"/>
      <c r="P43" s="11"/>
      <c r="Q43" s="11"/>
    </row>
    <row r="44" spans="1:17" x14ac:dyDescent="0.2">
      <c r="E44" s="11"/>
      <c r="G44" s="11"/>
      <c r="M44" s="11"/>
      <c r="P44" s="11"/>
      <c r="Q44" s="11"/>
    </row>
    <row r="45" spans="1:17" x14ac:dyDescent="0.2">
      <c r="E45" s="11"/>
      <c r="G45" s="11"/>
      <c r="M45" s="11"/>
      <c r="P45" s="11"/>
      <c r="Q45" s="11"/>
    </row>
    <row r="46" spans="1:17" x14ac:dyDescent="0.2">
      <c r="E46" s="11"/>
      <c r="G46" s="11"/>
      <c r="M46" s="11"/>
      <c r="P46" s="11"/>
      <c r="Q46" s="11"/>
    </row>
    <row r="47" spans="1:17" x14ac:dyDescent="0.2">
      <c r="E47" s="11"/>
      <c r="G47" s="11"/>
      <c r="M47" s="11"/>
      <c r="P47" s="11"/>
      <c r="Q47" s="11"/>
    </row>
    <row r="48" spans="1:17" x14ac:dyDescent="0.2">
      <c r="E48" s="11"/>
      <c r="G48" s="11"/>
      <c r="M48" s="11"/>
      <c r="P48" s="11"/>
      <c r="Q48" s="11"/>
    </row>
    <row r="49" spans="5:17" x14ac:dyDescent="0.2">
      <c r="E49" s="11"/>
      <c r="G49" s="11"/>
      <c r="M49" s="11"/>
      <c r="P49" s="11"/>
      <c r="Q49" s="11"/>
    </row>
  </sheetData>
  <mergeCells count="2">
    <mergeCell ref="C7:D7"/>
    <mergeCell ref="A7:A8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49"/>
  <sheetViews>
    <sheetView workbookViewId="0">
      <pane xSplit="2" ySplit="9" topLeftCell="C10" activePane="bottomRight" state="frozen"/>
      <selection activeCell="AM2" sqref="AM2"/>
      <selection pane="topRight" activeCell="AM2" sqref="AM2"/>
      <selection pane="bottomLeft" activeCell="AM2" sqref="AM2"/>
      <selection pane="bottomRight" activeCell="AD41" sqref="AD41"/>
    </sheetView>
  </sheetViews>
  <sheetFormatPr defaultRowHeight="12.75" x14ac:dyDescent="0.2"/>
  <cols>
    <col min="1" max="1" width="4.28515625" bestFit="1" customWidth="1"/>
    <col min="2" max="2" width="5.140625" bestFit="1" customWidth="1"/>
    <col min="3" max="3" width="4" bestFit="1" customWidth="1"/>
    <col min="4" max="5" width="3" bestFit="1" customWidth="1"/>
    <col min="6" max="6" width="4" bestFit="1" customWidth="1"/>
    <col min="7" max="10" width="3" bestFit="1" customWidth="1"/>
    <col min="11" max="11" width="8.5703125" bestFit="1" customWidth="1"/>
    <col min="12" max="16" width="5" bestFit="1" customWidth="1"/>
    <col min="17" max="17" width="4" bestFit="1" customWidth="1"/>
    <col min="18" max="22" width="3" bestFit="1" customWidth="1"/>
    <col min="23" max="23" width="5.28515625" bestFit="1" customWidth="1"/>
    <col min="24" max="26" width="3" bestFit="1" customWidth="1"/>
    <col min="27" max="27" width="5.28515625" bestFit="1" customWidth="1"/>
    <col min="28" max="29" width="3" bestFit="1" customWidth="1"/>
    <col min="30" max="30" width="5.28515625" bestFit="1" customWidth="1"/>
    <col min="31" max="32" width="3" bestFit="1" customWidth="1"/>
    <col min="33" max="33" width="5.28515625" bestFit="1" customWidth="1"/>
    <col min="34" max="34" width="5.42578125" customWidth="1"/>
    <col min="40" max="42" width="4.7109375" customWidth="1"/>
    <col min="50" max="58" width="0" hidden="1" customWidth="1"/>
  </cols>
  <sheetData>
    <row r="1" spans="1:5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  <c r="P1" s="1"/>
      <c r="Q1" s="1"/>
      <c r="R1" s="1"/>
    </row>
    <row r="2" spans="1:57" ht="36.75" customHeight="1" x14ac:dyDescent="0.2">
      <c r="A2" s="1"/>
      <c r="B2" s="1"/>
      <c r="C2" s="1"/>
      <c r="D2" s="1"/>
      <c r="E2" s="1"/>
      <c r="F2" s="1"/>
      <c r="G2" s="1"/>
      <c r="H2" s="1"/>
      <c r="I2" s="2"/>
      <c r="J2" s="2"/>
      <c r="K2" s="1"/>
      <c r="L2" s="1"/>
      <c r="M2" s="1"/>
      <c r="O2" s="2"/>
      <c r="P2" s="1"/>
      <c r="Q2" s="1"/>
      <c r="R2" s="1"/>
    </row>
    <row r="3" spans="1:5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80"/>
      <c r="Q3" s="80"/>
      <c r="R3" s="80"/>
      <c r="S3" s="80"/>
      <c r="T3" s="80"/>
    </row>
    <row r="4" spans="1:5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7" spans="1:57" ht="14.25" x14ac:dyDescent="0.25">
      <c r="A7" s="7"/>
      <c r="B7" s="7"/>
      <c r="C7" s="7"/>
      <c r="D7" s="7"/>
      <c r="E7" s="81" t="s">
        <v>20</v>
      </c>
      <c r="F7" s="81"/>
      <c r="G7" s="7"/>
      <c r="H7" s="7"/>
      <c r="I7" s="7"/>
      <c r="J7" s="7"/>
      <c r="K7" s="7"/>
      <c r="L7" s="82" t="s">
        <v>11</v>
      </c>
      <c r="M7" s="82"/>
      <c r="N7" s="82"/>
      <c r="O7" s="82"/>
      <c r="P7" s="82"/>
      <c r="Q7" s="83" t="s">
        <v>29</v>
      </c>
      <c r="R7" s="83"/>
      <c r="S7" s="83"/>
      <c r="T7" s="83"/>
      <c r="U7" s="84" t="s">
        <v>33</v>
      </c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98" t="s">
        <v>8</v>
      </c>
      <c r="AI7" s="99"/>
      <c r="AJ7" s="99"/>
      <c r="AK7" s="99"/>
      <c r="AL7" s="100"/>
      <c r="AN7" s="73" t="s">
        <v>80</v>
      </c>
      <c r="AO7" s="74"/>
      <c r="AP7" s="75"/>
      <c r="AY7" s="76" t="s">
        <v>81</v>
      </c>
      <c r="AZ7" s="77"/>
      <c r="BA7" s="78"/>
    </row>
    <row r="8" spans="1:57" ht="16.5" customHeight="1" x14ac:dyDescent="0.2">
      <c r="A8" s="85" t="s">
        <v>18</v>
      </c>
      <c r="B8" s="89" t="s">
        <v>19</v>
      </c>
      <c r="C8" s="90" t="s">
        <v>23</v>
      </c>
      <c r="D8" s="88" t="s">
        <v>24</v>
      </c>
      <c r="E8" s="91" t="s">
        <v>25</v>
      </c>
      <c r="F8" s="86" t="s">
        <v>26</v>
      </c>
      <c r="G8" s="88" t="s">
        <v>27</v>
      </c>
      <c r="H8" s="88" t="s">
        <v>0</v>
      </c>
      <c r="I8" s="88" t="s">
        <v>21</v>
      </c>
      <c r="J8" s="88" t="s">
        <v>22</v>
      </c>
      <c r="K8" s="85" t="s">
        <v>28</v>
      </c>
      <c r="L8" s="79" t="s">
        <v>1</v>
      </c>
      <c r="M8" s="79" t="s">
        <v>2</v>
      </c>
      <c r="N8" s="79" t="s">
        <v>3</v>
      </c>
      <c r="O8" s="79" t="s">
        <v>4</v>
      </c>
      <c r="P8" s="79" t="s">
        <v>5</v>
      </c>
      <c r="Q8" s="92" t="s">
        <v>34</v>
      </c>
      <c r="R8" s="92" t="s">
        <v>30</v>
      </c>
      <c r="S8" s="92" t="s">
        <v>31</v>
      </c>
      <c r="T8" s="92" t="s">
        <v>32</v>
      </c>
      <c r="U8" s="93" t="s">
        <v>38</v>
      </c>
      <c r="V8" s="93"/>
      <c r="W8" s="93"/>
      <c r="X8" s="93" t="s">
        <v>39</v>
      </c>
      <c r="Y8" s="93"/>
      <c r="Z8" s="93"/>
      <c r="AA8" s="93"/>
      <c r="AB8" s="93" t="s">
        <v>40</v>
      </c>
      <c r="AC8" s="93"/>
      <c r="AD8" s="93"/>
      <c r="AE8" s="93" t="s">
        <v>41</v>
      </c>
      <c r="AF8" s="94"/>
      <c r="AG8" s="95"/>
      <c r="AH8" s="101"/>
      <c r="AI8" s="102"/>
      <c r="AJ8" s="102"/>
      <c r="AK8" s="102"/>
      <c r="AL8" s="103"/>
      <c r="AN8" s="79" t="s">
        <v>3</v>
      </c>
      <c r="AO8" s="79" t="s">
        <v>4</v>
      </c>
      <c r="AP8" s="79" t="s">
        <v>5</v>
      </c>
      <c r="AY8" s="79" t="s">
        <v>3</v>
      </c>
      <c r="AZ8" s="79" t="s">
        <v>4</v>
      </c>
      <c r="BA8" s="79" t="s">
        <v>5</v>
      </c>
    </row>
    <row r="9" spans="1:57" s="3" customFormat="1" ht="72" customHeight="1" x14ac:dyDescent="0.2">
      <c r="A9" s="85"/>
      <c r="B9" s="89"/>
      <c r="C9" s="90"/>
      <c r="D9" s="88"/>
      <c r="E9" s="91"/>
      <c r="F9" s="87"/>
      <c r="G9" s="88"/>
      <c r="H9" s="88"/>
      <c r="I9" s="88"/>
      <c r="J9" s="88"/>
      <c r="K9" s="85"/>
      <c r="L9" s="79"/>
      <c r="M9" s="79"/>
      <c r="N9" s="79"/>
      <c r="O9" s="79"/>
      <c r="P9" s="79"/>
      <c r="Q9" s="92"/>
      <c r="R9" s="92"/>
      <c r="S9" s="92"/>
      <c r="T9" s="92"/>
      <c r="U9" s="8" t="s">
        <v>16</v>
      </c>
      <c r="V9" s="8" t="s">
        <v>6</v>
      </c>
      <c r="W9" s="9" t="s">
        <v>7</v>
      </c>
      <c r="X9" s="8" t="s">
        <v>17</v>
      </c>
      <c r="Y9" s="8" t="s">
        <v>16</v>
      </c>
      <c r="Z9" s="8" t="s">
        <v>6</v>
      </c>
      <c r="AA9" s="9" t="s">
        <v>7</v>
      </c>
      <c r="AB9" s="8" t="s">
        <v>16</v>
      </c>
      <c r="AC9" s="8" t="s">
        <v>6</v>
      </c>
      <c r="AD9" s="9" t="s">
        <v>7</v>
      </c>
      <c r="AE9" s="8" t="s">
        <v>16</v>
      </c>
      <c r="AF9" s="8" t="s">
        <v>6</v>
      </c>
      <c r="AG9" s="9" t="s">
        <v>7</v>
      </c>
      <c r="AH9" s="104"/>
      <c r="AI9" s="105"/>
      <c r="AJ9" s="105"/>
      <c r="AK9" s="105"/>
      <c r="AL9" s="106"/>
      <c r="AN9" s="79"/>
      <c r="AO9" s="79"/>
      <c r="AP9" s="79"/>
      <c r="AY9" s="79"/>
      <c r="AZ9" s="79"/>
      <c r="BA9" s="79"/>
      <c r="BC9" s="3" t="s">
        <v>82</v>
      </c>
      <c r="BD9" s="3" t="s">
        <v>83</v>
      </c>
      <c r="BE9" s="3" t="s">
        <v>84</v>
      </c>
    </row>
    <row r="10" spans="1:57" x14ac:dyDescent="0.2">
      <c r="A10" s="13">
        <v>1</v>
      </c>
      <c r="B10" s="3">
        <v>7</v>
      </c>
      <c r="C10" s="17">
        <v>6</v>
      </c>
      <c r="D10" s="3">
        <v>4</v>
      </c>
      <c r="E10" s="18">
        <v>9</v>
      </c>
      <c r="F10" s="18">
        <v>10</v>
      </c>
      <c r="G10" s="18">
        <v>68</v>
      </c>
      <c r="H10" s="19">
        <v>1</v>
      </c>
      <c r="I10" s="18">
        <v>6</v>
      </c>
      <c r="J10" s="18">
        <v>11</v>
      </c>
      <c r="K10" s="20">
        <v>138</v>
      </c>
      <c r="L10" s="18">
        <v>267</v>
      </c>
      <c r="M10" s="18">
        <v>248</v>
      </c>
      <c r="N10" s="18">
        <v>299</v>
      </c>
      <c r="O10" s="18">
        <v>85</v>
      </c>
      <c r="P10" s="18">
        <v>240</v>
      </c>
      <c r="Q10" s="17">
        <v>2</v>
      </c>
      <c r="R10" s="17">
        <v>2</v>
      </c>
      <c r="S10" s="17">
        <v>0</v>
      </c>
      <c r="T10" s="17">
        <v>8</v>
      </c>
      <c r="U10" s="17">
        <v>2</v>
      </c>
      <c r="V10" s="3">
        <v>8</v>
      </c>
      <c r="W10" s="20">
        <v>54</v>
      </c>
      <c r="X10" s="3">
        <v>8</v>
      </c>
      <c r="Y10" s="3">
        <v>6</v>
      </c>
      <c r="Z10" s="3">
        <v>2</v>
      </c>
      <c r="AA10" s="20">
        <v>720</v>
      </c>
      <c r="AB10" s="3"/>
      <c r="AC10" s="3"/>
      <c r="AD10" s="20"/>
      <c r="AE10" s="3"/>
      <c r="AF10" s="3"/>
      <c r="AG10" s="20"/>
      <c r="AH10" s="96" t="s">
        <v>85</v>
      </c>
      <c r="AI10" s="96"/>
      <c r="AJ10" s="96"/>
      <c r="AK10" s="96"/>
      <c r="AL10" s="97"/>
      <c r="AN10" s="67">
        <f>N10-AY10</f>
        <v>-0.86094439948510626</v>
      </c>
      <c r="AO10" s="67">
        <f>O10-AZ10</f>
        <v>-0.60619490736614523</v>
      </c>
      <c r="AP10" s="67">
        <f>P10-BA10</f>
        <v>-0.85408066088760393</v>
      </c>
      <c r="AY10" s="67">
        <f t="shared" ref="AY10:AY40" si="0">10*(BE10-BD10*((L10/10)-(M10/10))*0.00066*(1+(0.00115*(M10/10))))</f>
        <v>299.86094439948511</v>
      </c>
      <c r="AZ10" s="67">
        <f t="shared" ref="AZ10:AZ40" si="1">((AY10/10)*100)/BC10</f>
        <v>85.606194907366145</v>
      </c>
      <c r="BA10" s="67">
        <f>(243.5*LN((AY10/10)/6.112))/(17.67-LN((AY10/10)/6.112))*10</f>
        <v>240.8540806608876</v>
      </c>
      <c r="BC10">
        <f>6.112*2.718^((17.67*(L10/10))/((L10/10)+243.5))</f>
        <v>35.027949171664794</v>
      </c>
      <c r="BD10">
        <v>1013.2</v>
      </c>
      <c r="BE10">
        <f>6.112*2.718^((17.67*(M10/10))/((M10/10)+243.5))</f>
        <v>31.29288340580451</v>
      </c>
    </row>
    <row r="11" spans="1:57" x14ac:dyDescent="0.2">
      <c r="A11" s="13">
        <v>2</v>
      </c>
      <c r="B11" s="3">
        <v>7</v>
      </c>
      <c r="C11" s="17">
        <v>1</v>
      </c>
      <c r="D11" s="3">
        <v>4</v>
      </c>
      <c r="E11" s="18">
        <v>8</v>
      </c>
      <c r="F11" s="18">
        <v>10</v>
      </c>
      <c r="G11" s="18">
        <v>68</v>
      </c>
      <c r="H11" s="19">
        <v>1</v>
      </c>
      <c r="I11" s="18">
        <v>6</v>
      </c>
      <c r="J11" s="18">
        <v>0</v>
      </c>
      <c r="K11" s="20">
        <v>131</v>
      </c>
      <c r="L11" s="18">
        <v>270</v>
      </c>
      <c r="M11" s="18">
        <v>246</v>
      </c>
      <c r="N11" s="18">
        <v>290</v>
      </c>
      <c r="O11" s="18">
        <v>81</v>
      </c>
      <c r="P11" s="18">
        <v>235</v>
      </c>
      <c r="Q11" s="17">
        <v>1</v>
      </c>
      <c r="R11" s="17">
        <v>2</v>
      </c>
      <c r="S11" s="17">
        <v>0</v>
      </c>
      <c r="T11" s="17">
        <v>2</v>
      </c>
      <c r="U11" s="17">
        <v>1</v>
      </c>
      <c r="V11" s="3">
        <v>8</v>
      </c>
      <c r="W11" s="20">
        <v>60</v>
      </c>
      <c r="X11" s="3">
        <v>8</v>
      </c>
      <c r="Y11" s="3"/>
      <c r="Z11" s="3"/>
      <c r="AA11" s="20"/>
      <c r="AB11" s="3"/>
      <c r="AC11" s="3"/>
      <c r="AD11" s="20"/>
      <c r="AE11" s="3"/>
      <c r="AF11" s="3"/>
      <c r="AG11" s="20"/>
      <c r="AH11" s="107" t="s">
        <v>85</v>
      </c>
      <c r="AI11" s="107"/>
      <c r="AJ11" s="107"/>
      <c r="AK11" s="107"/>
      <c r="AL11" s="108"/>
      <c r="AN11" s="67">
        <f t="shared" ref="AN11:AP39" si="2">N11-AY11</f>
        <v>-2.7047689114097011</v>
      </c>
      <c r="AO11" s="67">
        <f t="shared" si="2"/>
        <v>-1.1005382719583992</v>
      </c>
      <c r="AP11" s="67">
        <f t="shared" si="2"/>
        <v>-1.8404906043252538</v>
      </c>
      <c r="AY11" s="67">
        <f t="shared" si="0"/>
        <v>292.7047689114097</v>
      </c>
      <c r="AZ11" s="67">
        <f t="shared" si="1"/>
        <v>82.100538271958399</v>
      </c>
      <c r="BA11" s="67">
        <f t="shared" ref="BA11:BA40" si="3">(243.5*LN((AY11/10)/6.112))/(17.67-LN((AY11/10)/6.112))*10</f>
        <v>236.84049060432525</v>
      </c>
      <c r="BC11">
        <f t="shared" ref="BC11:BC40" si="4">6.112*2.718^((17.67*(L11/10))/((L11/10)+243.5))</f>
        <v>35.651991457330503</v>
      </c>
      <c r="BD11">
        <v>1013.2</v>
      </c>
      <c r="BE11">
        <f t="shared" ref="BE11:BE40" si="5">6.112*2.718^((17.67*(M11/10))/((M11/10)+243.5))</f>
        <v>30.920788561092973</v>
      </c>
    </row>
    <row r="12" spans="1:57" x14ac:dyDescent="0.2">
      <c r="A12" s="13">
        <v>3</v>
      </c>
      <c r="B12" s="3">
        <v>7</v>
      </c>
      <c r="C12" s="17">
        <v>4</v>
      </c>
      <c r="D12" s="3">
        <v>4</v>
      </c>
      <c r="E12" s="18">
        <v>7</v>
      </c>
      <c r="F12" s="18">
        <v>10</v>
      </c>
      <c r="G12" s="69">
        <v>74</v>
      </c>
      <c r="H12" s="19">
        <v>1</v>
      </c>
      <c r="I12" s="18">
        <v>6</v>
      </c>
      <c r="J12" s="18">
        <v>11</v>
      </c>
      <c r="K12" s="20">
        <v>131</v>
      </c>
      <c r="L12" s="18">
        <v>267</v>
      </c>
      <c r="M12" s="18">
        <v>242</v>
      </c>
      <c r="N12" s="18">
        <v>284</v>
      </c>
      <c r="O12" s="18">
        <v>81</v>
      </c>
      <c r="P12" s="18">
        <v>231</v>
      </c>
      <c r="Q12" s="17">
        <v>2</v>
      </c>
      <c r="R12" s="17">
        <v>8</v>
      </c>
      <c r="S12" s="17">
        <v>0</v>
      </c>
      <c r="T12" s="17">
        <v>1</v>
      </c>
      <c r="U12" s="17">
        <v>2</v>
      </c>
      <c r="V12" s="3">
        <v>8</v>
      </c>
      <c r="W12" s="20">
        <v>60</v>
      </c>
      <c r="X12" s="3">
        <v>8</v>
      </c>
      <c r="Y12" s="3"/>
      <c r="Z12" s="3"/>
      <c r="AA12" s="20"/>
      <c r="AB12" s="3"/>
      <c r="AC12" s="3"/>
      <c r="AD12" s="20"/>
      <c r="AE12" s="3"/>
      <c r="AF12" s="3"/>
      <c r="AG12" s="20"/>
      <c r="AH12" s="107" t="s">
        <v>85</v>
      </c>
      <c r="AI12" s="107"/>
      <c r="AJ12" s="107"/>
      <c r="AK12" s="107"/>
      <c r="AL12" s="108"/>
      <c r="AN12" s="67">
        <f t="shared" si="2"/>
        <v>-0.69895279940783439</v>
      </c>
      <c r="AO12" s="67">
        <f t="shared" si="2"/>
        <v>-0.27765385411423438</v>
      </c>
      <c r="AP12" s="67">
        <f t="shared" si="2"/>
        <v>-1.2472188274429072</v>
      </c>
      <c r="AY12" s="67">
        <f t="shared" si="0"/>
        <v>284.69895279940783</v>
      </c>
      <c r="AZ12" s="67">
        <f t="shared" si="1"/>
        <v>81.277653854114234</v>
      </c>
      <c r="BA12" s="67">
        <f t="shared" si="3"/>
        <v>232.24721882744291</v>
      </c>
      <c r="BC12">
        <f t="shared" si="4"/>
        <v>35.027949171664794</v>
      </c>
      <c r="BD12">
        <v>1013.2</v>
      </c>
      <c r="BE12">
        <f t="shared" si="5"/>
        <v>30.188200917340787</v>
      </c>
    </row>
    <row r="13" spans="1:57" x14ac:dyDescent="0.2">
      <c r="A13" s="13">
        <v>4</v>
      </c>
      <c r="B13" s="3">
        <v>7</v>
      </c>
      <c r="C13" s="17">
        <v>5</v>
      </c>
      <c r="D13" s="3">
        <v>4</v>
      </c>
      <c r="E13" s="18">
        <v>7</v>
      </c>
      <c r="F13" s="18">
        <v>7</v>
      </c>
      <c r="G13" s="18">
        <v>75</v>
      </c>
      <c r="H13" s="19">
        <v>2</v>
      </c>
      <c r="I13" s="18"/>
      <c r="J13" s="18"/>
      <c r="K13" s="20">
        <v>137</v>
      </c>
      <c r="L13" s="18">
        <v>269</v>
      </c>
      <c r="M13" s="18">
        <v>245</v>
      </c>
      <c r="N13" s="18">
        <v>288</v>
      </c>
      <c r="O13" s="18">
        <v>81</v>
      </c>
      <c r="P13" s="18">
        <v>234</v>
      </c>
      <c r="Q13" s="17">
        <v>2</v>
      </c>
      <c r="R13" s="17">
        <v>2</v>
      </c>
      <c r="S13" s="17">
        <v>0</v>
      </c>
      <c r="T13" s="17">
        <v>2</v>
      </c>
      <c r="U13" s="17">
        <v>2</v>
      </c>
      <c r="V13" s="3">
        <v>8</v>
      </c>
      <c r="W13" s="20">
        <v>60</v>
      </c>
      <c r="X13" s="3">
        <v>8</v>
      </c>
      <c r="Y13" s="3"/>
      <c r="Z13" s="3"/>
      <c r="AA13" s="20"/>
      <c r="AB13" s="3"/>
      <c r="AC13" s="3"/>
      <c r="AD13" s="20"/>
      <c r="AE13" s="3"/>
      <c r="AF13" s="3"/>
      <c r="AG13" s="20"/>
      <c r="AH13" s="107"/>
      <c r="AI13" s="107"/>
      <c r="AJ13" s="107"/>
      <c r="AK13" s="107"/>
      <c r="AL13" s="108"/>
      <c r="AN13" s="67">
        <f t="shared" si="2"/>
        <v>-2.8607073048706866</v>
      </c>
      <c r="AO13" s="67">
        <f t="shared" si="2"/>
        <v>-1.0645764337847226</v>
      </c>
      <c r="AP13" s="67">
        <f t="shared" si="2"/>
        <v>-1.7923189602715581</v>
      </c>
      <c r="AY13" s="67">
        <f t="shared" si="0"/>
        <v>290.86070730487069</v>
      </c>
      <c r="AZ13" s="67">
        <f t="shared" si="1"/>
        <v>82.064576433784723</v>
      </c>
      <c r="BA13" s="67">
        <f t="shared" si="3"/>
        <v>235.79231896027156</v>
      </c>
      <c r="BC13">
        <f t="shared" si="4"/>
        <v>35.442906055764126</v>
      </c>
      <c r="BD13">
        <v>1013.2</v>
      </c>
      <c r="BE13">
        <f t="shared" si="5"/>
        <v>30.736197835927069</v>
      </c>
    </row>
    <row r="14" spans="1:57" x14ac:dyDescent="0.2">
      <c r="A14" s="13">
        <v>5</v>
      </c>
      <c r="B14" s="3">
        <v>7</v>
      </c>
      <c r="C14" s="17">
        <v>3</v>
      </c>
      <c r="D14" s="3">
        <v>4</v>
      </c>
      <c r="E14" s="18">
        <v>9</v>
      </c>
      <c r="F14" s="18">
        <v>12</v>
      </c>
      <c r="G14" s="18">
        <v>68</v>
      </c>
      <c r="H14" s="19">
        <v>1</v>
      </c>
      <c r="I14" s="18">
        <v>15</v>
      </c>
      <c r="J14" s="18">
        <v>0</v>
      </c>
      <c r="K14" s="20">
        <v>142</v>
      </c>
      <c r="L14" s="18">
        <v>272</v>
      </c>
      <c r="M14" s="18">
        <v>250</v>
      </c>
      <c r="N14" s="18">
        <v>299</v>
      </c>
      <c r="O14" s="18">
        <v>83</v>
      </c>
      <c r="P14" s="18">
        <v>240</v>
      </c>
      <c r="Q14" s="17">
        <v>2</v>
      </c>
      <c r="R14" s="17">
        <v>2</v>
      </c>
      <c r="S14" s="17">
        <v>0</v>
      </c>
      <c r="T14" s="17">
        <v>1</v>
      </c>
      <c r="U14" s="17">
        <v>2</v>
      </c>
      <c r="V14" s="3">
        <v>8</v>
      </c>
      <c r="W14" s="20">
        <v>54</v>
      </c>
      <c r="X14" s="3">
        <v>8</v>
      </c>
      <c r="Y14" s="3">
        <v>3</v>
      </c>
      <c r="Z14" s="3">
        <v>0</v>
      </c>
      <c r="AA14" s="20">
        <v>840</v>
      </c>
      <c r="AB14" s="3"/>
      <c r="AC14" s="3"/>
      <c r="AD14" s="20"/>
      <c r="AE14" s="3"/>
      <c r="AF14" s="3"/>
      <c r="AG14" s="20"/>
      <c r="AH14" s="107" t="s">
        <v>96</v>
      </c>
      <c r="AI14" s="107"/>
      <c r="AJ14" s="107"/>
      <c r="AK14" s="107"/>
      <c r="AL14" s="108"/>
      <c r="AN14" s="67">
        <f t="shared" si="2"/>
        <v>-2.5542917561599552</v>
      </c>
      <c r="AO14" s="67">
        <f t="shared" si="2"/>
        <v>-0.59464187068863339</v>
      </c>
      <c r="AP14" s="67">
        <f t="shared" si="2"/>
        <v>-1.791522280882532</v>
      </c>
      <c r="AY14" s="67">
        <f t="shared" si="0"/>
        <v>301.55429175615996</v>
      </c>
      <c r="AZ14" s="67">
        <f t="shared" si="1"/>
        <v>83.594641870688633</v>
      </c>
      <c r="BA14" s="67">
        <f t="shared" si="3"/>
        <v>241.79152228088253</v>
      </c>
      <c r="BC14">
        <f t="shared" si="4"/>
        <v>36.073399563411016</v>
      </c>
      <c r="BD14">
        <v>1013.2</v>
      </c>
      <c r="BE14">
        <f t="shared" si="5"/>
        <v>31.668891609615997</v>
      </c>
    </row>
    <row r="15" spans="1:57" x14ac:dyDescent="0.2">
      <c r="A15" s="13">
        <v>6</v>
      </c>
      <c r="B15" s="3">
        <v>7</v>
      </c>
      <c r="C15" s="17">
        <v>1</v>
      </c>
      <c r="D15" s="3">
        <v>4</v>
      </c>
      <c r="E15" s="18">
        <v>9</v>
      </c>
      <c r="F15" s="18">
        <v>18</v>
      </c>
      <c r="G15" s="18">
        <v>78</v>
      </c>
      <c r="H15" s="19">
        <v>2</v>
      </c>
      <c r="I15" s="18"/>
      <c r="J15" s="18"/>
      <c r="K15" s="20">
        <v>135</v>
      </c>
      <c r="L15" s="18">
        <v>274</v>
      </c>
      <c r="M15" s="18">
        <v>250</v>
      </c>
      <c r="N15" s="18">
        <v>296</v>
      </c>
      <c r="O15" s="18">
        <v>81</v>
      </c>
      <c r="P15" s="18">
        <v>239</v>
      </c>
      <c r="Q15" s="17">
        <v>1</v>
      </c>
      <c r="R15" s="17">
        <v>2</v>
      </c>
      <c r="S15" s="17">
        <v>0</v>
      </c>
      <c r="T15" s="17">
        <v>0</v>
      </c>
      <c r="U15" s="17">
        <v>1</v>
      </c>
      <c r="V15" s="3">
        <v>8</v>
      </c>
      <c r="W15" s="20">
        <v>60</v>
      </c>
      <c r="X15" s="3">
        <v>8</v>
      </c>
      <c r="Y15" s="3"/>
      <c r="Z15" s="3"/>
      <c r="AA15" s="20"/>
      <c r="AB15" s="3"/>
      <c r="AC15" s="3"/>
      <c r="AD15" s="20"/>
      <c r="AE15" s="3"/>
      <c r="AF15" s="3"/>
      <c r="AG15" s="20"/>
      <c r="AH15" s="107"/>
      <c r="AI15" s="107"/>
      <c r="AJ15" s="107"/>
      <c r="AK15" s="107"/>
      <c r="AL15" s="108"/>
      <c r="AN15" s="67">
        <f t="shared" si="2"/>
        <v>-4.1784168161599951</v>
      </c>
      <c r="AO15" s="67">
        <f t="shared" si="2"/>
        <v>-1.2425651172377599</v>
      </c>
      <c r="AP15" s="67">
        <f t="shared" si="2"/>
        <v>-2.0301866857139714</v>
      </c>
      <c r="AY15" s="67">
        <f t="shared" si="0"/>
        <v>300.17841681616</v>
      </c>
      <c r="AZ15" s="67">
        <f t="shared" si="1"/>
        <v>82.24256511723776</v>
      </c>
      <c r="BA15" s="67">
        <f t="shared" si="3"/>
        <v>241.03018668571397</v>
      </c>
      <c r="BC15">
        <f t="shared" si="4"/>
        <v>36.499155441984577</v>
      </c>
      <c r="BD15">
        <v>1013.2</v>
      </c>
      <c r="BE15">
        <f t="shared" si="5"/>
        <v>31.668891609615997</v>
      </c>
    </row>
    <row r="16" spans="1:57" x14ac:dyDescent="0.2">
      <c r="A16" s="13">
        <v>7</v>
      </c>
      <c r="B16" s="3">
        <v>7</v>
      </c>
      <c r="C16" s="17">
        <v>7</v>
      </c>
      <c r="D16" s="3">
        <v>4</v>
      </c>
      <c r="E16" s="18">
        <v>10</v>
      </c>
      <c r="F16" s="18">
        <v>15</v>
      </c>
      <c r="G16" s="18">
        <v>68</v>
      </c>
      <c r="H16" s="19">
        <v>1</v>
      </c>
      <c r="I16" s="18">
        <v>5</v>
      </c>
      <c r="J16" s="18">
        <v>22</v>
      </c>
      <c r="K16" s="20">
        <v>126</v>
      </c>
      <c r="L16" s="18">
        <v>271</v>
      </c>
      <c r="M16" s="18">
        <v>241</v>
      </c>
      <c r="N16" s="18">
        <v>276</v>
      </c>
      <c r="O16" s="18">
        <v>77</v>
      </c>
      <c r="P16" s="18">
        <v>227</v>
      </c>
      <c r="Q16" s="17">
        <v>2</v>
      </c>
      <c r="R16" s="17">
        <v>2</v>
      </c>
      <c r="S16" s="17">
        <v>0</v>
      </c>
      <c r="T16" s="17">
        <v>1</v>
      </c>
      <c r="U16" s="17">
        <v>2</v>
      </c>
      <c r="V16" s="3">
        <v>8</v>
      </c>
      <c r="W16" s="20">
        <v>60</v>
      </c>
      <c r="X16" s="3">
        <v>8</v>
      </c>
      <c r="Y16" s="3">
        <v>7</v>
      </c>
      <c r="Z16" s="3">
        <v>0</v>
      </c>
      <c r="AA16" s="20">
        <v>840</v>
      </c>
      <c r="AB16" s="3"/>
      <c r="AC16" s="3"/>
      <c r="AD16" s="20"/>
      <c r="AE16" s="3"/>
      <c r="AF16" s="3"/>
      <c r="AG16" s="20"/>
      <c r="AH16" s="107" t="s">
        <v>85</v>
      </c>
      <c r="AI16" s="107"/>
      <c r="AJ16" s="107"/>
      <c r="AK16" s="107"/>
      <c r="AL16" s="108"/>
      <c r="AN16" s="67">
        <f t="shared" si="2"/>
        <v>-3.4571007884911751</v>
      </c>
      <c r="AO16" s="67">
        <f t="shared" si="2"/>
        <v>-0.92535208741288955</v>
      </c>
      <c r="AP16" s="67">
        <f t="shared" si="2"/>
        <v>-2.1780625634255557</v>
      </c>
      <c r="AY16" s="67">
        <f t="shared" si="0"/>
        <v>279.45710078849118</v>
      </c>
      <c r="AZ16" s="67">
        <f t="shared" si="1"/>
        <v>77.92535208741289</v>
      </c>
      <c r="BA16" s="67">
        <f t="shared" si="3"/>
        <v>229.17806256342556</v>
      </c>
      <c r="BC16">
        <f t="shared" si="4"/>
        <v>35.862154395530958</v>
      </c>
      <c r="BD16">
        <v>1013.2</v>
      </c>
      <c r="BE16">
        <f t="shared" si="5"/>
        <v>30.007446138089119</v>
      </c>
    </row>
    <row r="17" spans="1:57" x14ac:dyDescent="0.2">
      <c r="A17" s="13">
        <v>8</v>
      </c>
      <c r="B17" s="3">
        <v>7</v>
      </c>
      <c r="C17" s="17">
        <v>2</v>
      </c>
      <c r="D17" s="3">
        <v>4</v>
      </c>
      <c r="E17" s="18">
        <v>11</v>
      </c>
      <c r="F17" s="18">
        <v>14</v>
      </c>
      <c r="G17" s="69">
        <v>72</v>
      </c>
      <c r="H17" s="72">
        <v>1</v>
      </c>
      <c r="I17" s="69">
        <v>5</v>
      </c>
      <c r="J17" s="69">
        <v>0</v>
      </c>
      <c r="K17" s="20">
        <v>130</v>
      </c>
      <c r="L17" s="18">
        <v>272</v>
      </c>
      <c r="M17" s="18">
        <v>240</v>
      </c>
      <c r="N17" s="18">
        <v>273</v>
      </c>
      <c r="O17" s="18">
        <v>76</v>
      </c>
      <c r="P17" s="18">
        <v>225</v>
      </c>
      <c r="Q17" s="17">
        <v>2</v>
      </c>
      <c r="R17" s="17">
        <v>2</v>
      </c>
      <c r="S17" s="17">
        <v>0</v>
      </c>
      <c r="T17" s="17">
        <v>0</v>
      </c>
      <c r="U17" s="17">
        <v>2</v>
      </c>
      <c r="V17" s="3">
        <v>8</v>
      </c>
      <c r="W17" s="20">
        <v>63</v>
      </c>
      <c r="X17" s="3">
        <v>8</v>
      </c>
      <c r="Y17" s="3"/>
      <c r="Z17" s="3"/>
      <c r="AA17" s="20"/>
      <c r="AB17" s="3"/>
      <c r="AC17" s="3"/>
      <c r="AD17" s="20"/>
      <c r="AE17" s="3"/>
      <c r="AF17" s="3"/>
      <c r="AG17" s="20"/>
      <c r="AH17" s="107"/>
      <c r="AI17" s="107"/>
      <c r="AJ17" s="107"/>
      <c r="AK17" s="107"/>
      <c r="AL17" s="108"/>
      <c r="AN17" s="67">
        <f t="shared" si="2"/>
        <v>-3.2870067046206941</v>
      </c>
      <c r="AO17" s="67">
        <f t="shared" si="2"/>
        <v>-0.5902327056684129</v>
      </c>
      <c r="AP17" s="67">
        <f t="shared" si="2"/>
        <v>-2.297376578228949</v>
      </c>
      <c r="AY17" s="67">
        <f t="shared" si="0"/>
        <v>276.28700670462069</v>
      </c>
      <c r="AZ17" s="67">
        <f t="shared" si="1"/>
        <v>76.590232705668413</v>
      </c>
      <c r="BA17" s="67">
        <f t="shared" si="3"/>
        <v>227.29737657822895</v>
      </c>
      <c r="BC17">
        <f t="shared" si="4"/>
        <v>36.073399563411016</v>
      </c>
      <c r="BD17">
        <v>1013.2</v>
      </c>
      <c r="BE17">
        <f t="shared" si="5"/>
        <v>29.827639714302066</v>
      </c>
    </row>
    <row r="18" spans="1:57" x14ac:dyDescent="0.2">
      <c r="A18" s="13">
        <v>9</v>
      </c>
      <c r="B18" s="3">
        <v>7</v>
      </c>
      <c r="C18" s="17">
        <v>2</v>
      </c>
      <c r="D18" s="3">
        <v>4</v>
      </c>
      <c r="E18" s="18">
        <v>10</v>
      </c>
      <c r="F18" s="18">
        <v>14</v>
      </c>
      <c r="G18" s="18">
        <v>70</v>
      </c>
      <c r="H18" s="19">
        <v>1</v>
      </c>
      <c r="I18" s="18">
        <v>5</v>
      </c>
      <c r="J18" s="18">
        <v>0</v>
      </c>
      <c r="K18" s="20">
        <v>131</v>
      </c>
      <c r="L18" s="18">
        <v>275</v>
      </c>
      <c r="M18" s="18">
        <v>250</v>
      </c>
      <c r="N18" s="18">
        <v>297</v>
      </c>
      <c r="O18" s="18">
        <v>81</v>
      </c>
      <c r="P18" s="18">
        <v>239</v>
      </c>
      <c r="Q18" s="17">
        <v>2</v>
      </c>
      <c r="R18" s="17">
        <v>2</v>
      </c>
      <c r="S18" s="17">
        <v>0</v>
      </c>
      <c r="T18" s="17">
        <v>0</v>
      </c>
      <c r="U18" s="17">
        <v>2</v>
      </c>
      <c r="V18" s="3">
        <v>8</v>
      </c>
      <c r="W18" s="20">
        <v>60</v>
      </c>
      <c r="X18" s="3">
        <v>8</v>
      </c>
      <c r="Y18" s="3"/>
      <c r="Z18" s="3"/>
      <c r="AA18" s="20"/>
      <c r="AB18" s="3"/>
      <c r="AC18" s="3"/>
      <c r="AD18" s="20"/>
      <c r="AE18" s="3"/>
      <c r="AF18" s="3"/>
      <c r="AG18" s="20"/>
      <c r="AH18" s="107" t="s">
        <v>85</v>
      </c>
      <c r="AI18" s="107"/>
      <c r="AJ18" s="107"/>
      <c r="AK18" s="107"/>
      <c r="AL18" s="108"/>
      <c r="AN18" s="67">
        <f t="shared" si="2"/>
        <v>-2.4904793461599866</v>
      </c>
      <c r="AO18" s="67">
        <f t="shared" si="2"/>
        <v>-0.57463786575569031</v>
      </c>
      <c r="AP18" s="67">
        <f t="shared" si="2"/>
        <v>-1.6483724122381318</v>
      </c>
      <c r="AY18" s="67">
        <f t="shared" si="0"/>
        <v>299.49047934615999</v>
      </c>
      <c r="AZ18" s="67">
        <f t="shared" si="1"/>
        <v>81.57463786575569</v>
      </c>
      <c r="BA18" s="67">
        <f t="shared" si="3"/>
        <v>240.64837241223813</v>
      </c>
      <c r="BC18">
        <f t="shared" si="4"/>
        <v>36.713675620481474</v>
      </c>
      <c r="BD18">
        <v>1013.2</v>
      </c>
      <c r="BE18">
        <f t="shared" si="5"/>
        <v>31.668891609615997</v>
      </c>
    </row>
    <row r="19" spans="1:57" x14ac:dyDescent="0.2">
      <c r="A19" s="13">
        <v>10</v>
      </c>
      <c r="B19" s="3">
        <v>7</v>
      </c>
      <c r="C19" s="17">
        <v>7</v>
      </c>
      <c r="D19" s="3">
        <v>4</v>
      </c>
      <c r="E19" s="18">
        <v>9</v>
      </c>
      <c r="F19" s="18">
        <v>12</v>
      </c>
      <c r="G19" s="18">
        <v>68</v>
      </c>
      <c r="H19" s="19">
        <v>1</v>
      </c>
      <c r="I19" s="18">
        <v>5</v>
      </c>
      <c r="J19" s="18">
        <v>22</v>
      </c>
      <c r="K19" s="20">
        <v>119</v>
      </c>
      <c r="L19" s="18">
        <v>270</v>
      </c>
      <c r="M19" s="18">
        <v>250</v>
      </c>
      <c r="N19" s="18">
        <v>300</v>
      </c>
      <c r="O19" s="18">
        <v>84</v>
      </c>
      <c r="P19" s="18">
        <v>241</v>
      </c>
      <c r="Q19" s="17">
        <v>3</v>
      </c>
      <c r="R19" s="17">
        <v>2</v>
      </c>
      <c r="S19" s="17">
        <v>0</v>
      </c>
      <c r="T19" s="17">
        <v>0</v>
      </c>
      <c r="U19" s="17">
        <v>3</v>
      </c>
      <c r="V19" s="3">
        <v>8</v>
      </c>
      <c r="W19" s="20">
        <v>60</v>
      </c>
      <c r="X19" s="17">
        <v>8</v>
      </c>
      <c r="Y19" s="17">
        <v>7</v>
      </c>
      <c r="Z19" s="17">
        <v>0</v>
      </c>
      <c r="AA19" s="20">
        <v>840</v>
      </c>
      <c r="AB19" s="3"/>
      <c r="AC19" s="3"/>
      <c r="AD19" s="20"/>
      <c r="AE19" s="3"/>
      <c r="AF19" s="3"/>
      <c r="AG19" s="20"/>
      <c r="AH19" s="107" t="s">
        <v>85</v>
      </c>
      <c r="AI19" s="107"/>
      <c r="AJ19" s="107"/>
      <c r="AK19" s="107"/>
      <c r="AL19" s="108"/>
      <c r="AN19" s="67">
        <f t="shared" si="2"/>
        <v>-2.9301666961599722</v>
      </c>
      <c r="AO19" s="67">
        <f t="shared" si="2"/>
        <v>-0.96865232864115569</v>
      </c>
      <c r="AP19" s="67">
        <f t="shared" si="2"/>
        <v>-1.5498224634573035</v>
      </c>
      <c r="AY19" s="67">
        <f t="shared" si="0"/>
        <v>302.93016669615997</v>
      </c>
      <c r="AZ19" s="67">
        <f t="shared" si="1"/>
        <v>84.968652328641156</v>
      </c>
      <c r="BA19" s="67">
        <f t="shared" si="3"/>
        <v>242.5498224634573</v>
      </c>
      <c r="BC19">
        <f t="shared" si="4"/>
        <v>35.651991457330503</v>
      </c>
      <c r="BD19">
        <v>1013.2</v>
      </c>
      <c r="BE19">
        <f t="shared" si="5"/>
        <v>31.668891609615997</v>
      </c>
    </row>
    <row r="20" spans="1:57" x14ac:dyDescent="0.2">
      <c r="A20" s="13">
        <v>11</v>
      </c>
      <c r="B20" s="3">
        <v>7</v>
      </c>
      <c r="C20" s="17">
        <v>2</v>
      </c>
      <c r="D20" s="3">
        <v>4</v>
      </c>
      <c r="E20" s="18">
        <v>7</v>
      </c>
      <c r="F20" s="18">
        <v>5</v>
      </c>
      <c r="G20" s="18">
        <v>73</v>
      </c>
      <c r="H20" s="19">
        <v>1</v>
      </c>
      <c r="I20" s="18">
        <v>5</v>
      </c>
      <c r="J20" s="18">
        <v>0</v>
      </c>
      <c r="K20" s="20">
        <v>105</v>
      </c>
      <c r="L20" s="18">
        <v>270</v>
      </c>
      <c r="M20" s="18">
        <v>244</v>
      </c>
      <c r="N20" s="18">
        <v>285</v>
      </c>
      <c r="O20" s="18">
        <v>80</v>
      </c>
      <c r="P20" s="18">
        <v>232</v>
      </c>
      <c r="Q20" s="17">
        <v>1</v>
      </c>
      <c r="R20" s="17">
        <v>2</v>
      </c>
      <c r="S20" s="17">
        <v>0</v>
      </c>
      <c r="T20" s="17">
        <v>1</v>
      </c>
      <c r="U20" s="17">
        <v>1</v>
      </c>
      <c r="V20" s="3">
        <v>8</v>
      </c>
      <c r="W20" s="20">
        <v>63</v>
      </c>
      <c r="X20" s="17">
        <v>8</v>
      </c>
      <c r="Y20" s="3"/>
      <c r="Z20" s="3"/>
      <c r="AA20" s="20"/>
      <c r="AB20" s="3"/>
      <c r="AC20" s="3"/>
      <c r="AD20" s="20"/>
      <c r="AE20" s="3"/>
      <c r="AF20" s="3"/>
      <c r="AG20" s="20"/>
      <c r="AH20" s="107" t="s">
        <v>85</v>
      </c>
      <c r="AI20" s="107"/>
      <c r="AJ20" s="107"/>
      <c r="AK20" s="107"/>
      <c r="AL20" s="108"/>
      <c r="AN20" s="67">
        <f t="shared" si="2"/>
        <v>-2.6513475359645327</v>
      </c>
      <c r="AO20" s="67">
        <f t="shared" si="2"/>
        <v>-0.68310794930917496</v>
      </c>
      <c r="AP20" s="67">
        <f t="shared" si="2"/>
        <v>-1.9541469102749431</v>
      </c>
      <c r="AY20" s="67">
        <f t="shared" si="0"/>
        <v>287.65134753596453</v>
      </c>
      <c r="AZ20" s="67">
        <f t="shared" si="1"/>
        <v>80.683107949309175</v>
      </c>
      <c r="BA20" s="67">
        <f t="shared" si="3"/>
        <v>233.95414691027494</v>
      </c>
      <c r="BC20">
        <f t="shared" si="4"/>
        <v>35.651991457330503</v>
      </c>
      <c r="BD20">
        <v>1013.2</v>
      </c>
      <c r="BE20">
        <f t="shared" si="5"/>
        <v>30.552572506268454</v>
      </c>
    </row>
    <row r="21" spans="1:57" x14ac:dyDescent="0.2">
      <c r="A21" s="13">
        <v>12</v>
      </c>
      <c r="B21" s="3">
        <v>7</v>
      </c>
      <c r="C21" s="17">
        <v>7</v>
      </c>
      <c r="D21" s="3">
        <v>4</v>
      </c>
      <c r="E21" s="18">
        <v>0</v>
      </c>
      <c r="F21" s="18">
        <v>0</v>
      </c>
      <c r="G21" s="18">
        <v>70</v>
      </c>
      <c r="H21" s="19">
        <v>1</v>
      </c>
      <c r="I21" s="18">
        <v>14</v>
      </c>
      <c r="J21" s="18">
        <v>22</v>
      </c>
      <c r="K21" s="20">
        <v>114</v>
      </c>
      <c r="L21" s="18">
        <v>255</v>
      </c>
      <c r="M21" s="18">
        <v>229</v>
      </c>
      <c r="N21" s="18">
        <v>259</v>
      </c>
      <c r="O21" s="18">
        <v>79</v>
      </c>
      <c r="P21" s="18">
        <v>216</v>
      </c>
      <c r="Q21" s="17">
        <v>7</v>
      </c>
      <c r="R21" s="17">
        <v>8</v>
      </c>
      <c r="S21" s="17">
        <v>0</v>
      </c>
      <c r="T21" s="17">
        <v>2</v>
      </c>
      <c r="U21" s="17">
        <v>3</v>
      </c>
      <c r="V21" s="3">
        <v>8</v>
      </c>
      <c r="W21" s="20">
        <v>51</v>
      </c>
      <c r="X21" s="17">
        <v>8</v>
      </c>
      <c r="Y21" s="17">
        <v>7</v>
      </c>
      <c r="Z21" s="17">
        <v>6</v>
      </c>
      <c r="AA21" s="20">
        <v>105</v>
      </c>
      <c r="AB21" s="17">
        <v>6</v>
      </c>
      <c r="AC21" s="17">
        <v>0</v>
      </c>
      <c r="AD21" s="20">
        <v>840</v>
      </c>
      <c r="AE21" s="3"/>
      <c r="AF21" s="3"/>
      <c r="AG21" s="20"/>
      <c r="AH21" s="107" t="s">
        <v>85</v>
      </c>
      <c r="AI21" s="107"/>
      <c r="AJ21" s="107"/>
      <c r="AK21" s="107"/>
      <c r="AL21" s="108"/>
      <c r="AN21" s="67">
        <f t="shared" si="2"/>
        <v>-2.2672516150421416</v>
      </c>
      <c r="AO21" s="67">
        <f t="shared" si="2"/>
        <v>-1.0788182200350747</v>
      </c>
      <c r="AP21" s="67">
        <f t="shared" si="2"/>
        <v>-2.1212005782845154</v>
      </c>
      <c r="AY21" s="67">
        <f t="shared" si="0"/>
        <v>261.26725161504214</v>
      </c>
      <c r="AZ21" s="67">
        <f t="shared" si="1"/>
        <v>80.078818220035075</v>
      </c>
      <c r="BA21" s="67">
        <f t="shared" si="3"/>
        <v>218.12120057828452</v>
      </c>
      <c r="BC21">
        <f t="shared" si="4"/>
        <v>32.626262153014039</v>
      </c>
      <c r="BD21">
        <v>1013.2</v>
      </c>
      <c r="BE21">
        <f t="shared" si="5"/>
        <v>27.911163740856217</v>
      </c>
    </row>
    <row r="22" spans="1:57" x14ac:dyDescent="0.2">
      <c r="A22" s="13">
        <v>13</v>
      </c>
      <c r="B22" s="3">
        <v>7</v>
      </c>
      <c r="C22" s="17">
        <v>3</v>
      </c>
      <c r="D22" s="3">
        <v>4</v>
      </c>
      <c r="E22" s="18">
        <v>6</v>
      </c>
      <c r="F22" s="18">
        <v>10</v>
      </c>
      <c r="G22" s="18">
        <v>70</v>
      </c>
      <c r="H22" s="19">
        <v>1</v>
      </c>
      <c r="I22" s="18">
        <v>15</v>
      </c>
      <c r="J22" s="18">
        <v>11</v>
      </c>
      <c r="K22" s="20">
        <v>132</v>
      </c>
      <c r="L22" s="18">
        <v>272</v>
      </c>
      <c r="M22" s="18">
        <v>239</v>
      </c>
      <c r="N22" s="18">
        <v>271</v>
      </c>
      <c r="O22" s="18">
        <v>75</v>
      </c>
      <c r="P22" s="18">
        <v>224</v>
      </c>
      <c r="Q22" s="17">
        <v>3</v>
      </c>
      <c r="R22" s="17">
        <v>8</v>
      </c>
      <c r="S22" s="17">
        <v>0</v>
      </c>
      <c r="T22" s="17">
        <v>2</v>
      </c>
      <c r="U22" s="17">
        <v>1</v>
      </c>
      <c r="V22" s="3">
        <v>8</v>
      </c>
      <c r="W22" s="20">
        <v>57</v>
      </c>
      <c r="X22" s="17">
        <v>8</v>
      </c>
      <c r="Y22" s="3"/>
      <c r="Z22" s="3"/>
      <c r="AA22" s="20"/>
      <c r="AB22" s="3"/>
      <c r="AC22" s="3"/>
      <c r="AD22" s="20"/>
      <c r="AE22" s="3"/>
      <c r="AF22" s="3"/>
      <c r="AG22" s="20"/>
      <c r="AH22" s="107" t="s">
        <v>85</v>
      </c>
      <c r="AI22" s="107"/>
      <c r="AJ22" s="107"/>
      <c r="AK22" s="107"/>
      <c r="AL22" s="108"/>
      <c r="AN22" s="67">
        <f t="shared" si="2"/>
        <v>-2.8137531114181797</v>
      </c>
      <c r="AO22" s="67">
        <f t="shared" si="2"/>
        <v>-0.90461570723304874</v>
      </c>
      <c r="AP22" s="67">
        <f t="shared" si="2"/>
        <v>-1.8169210408544814</v>
      </c>
      <c r="AY22" s="67">
        <f t="shared" si="0"/>
        <v>273.81375311141818</v>
      </c>
      <c r="AZ22" s="67">
        <f t="shared" si="1"/>
        <v>75.904615707233049</v>
      </c>
      <c r="BA22" s="67">
        <f t="shared" si="3"/>
        <v>225.81692104085448</v>
      </c>
      <c r="BC22">
        <f t="shared" si="4"/>
        <v>36.073399563411016</v>
      </c>
      <c r="BD22">
        <v>1013.2</v>
      </c>
      <c r="BE22">
        <f t="shared" si="5"/>
        <v>29.648777423897815</v>
      </c>
    </row>
    <row r="23" spans="1:57" x14ac:dyDescent="0.2">
      <c r="A23" s="13">
        <v>14</v>
      </c>
      <c r="B23" s="3">
        <v>7</v>
      </c>
      <c r="C23" s="17">
        <v>4</v>
      </c>
      <c r="D23" s="3">
        <v>4</v>
      </c>
      <c r="E23" s="18">
        <v>8</v>
      </c>
      <c r="F23" s="18">
        <v>5</v>
      </c>
      <c r="G23" s="18">
        <v>70</v>
      </c>
      <c r="H23" s="19">
        <v>1</v>
      </c>
      <c r="I23" s="18">
        <v>5</v>
      </c>
      <c r="J23" s="18">
        <v>0</v>
      </c>
      <c r="K23" s="20">
        <v>132</v>
      </c>
      <c r="L23" s="18">
        <v>268</v>
      </c>
      <c r="M23" s="18">
        <v>238</v>
      </c>
      <c r="N23" s="18">
        <v>270</v>
      </c>
      <c r="O23" s="18">
        <v>77</v>
      </c>
      <c r="P23" s="18">
        <v>224</v>
      </c>
      <c r="Q23" s="17">
        <v>1</v>
      </c>
      <c r="R23" s="17">
        <v>2</v>
      </c>
      <c r="S23" s="17">
        <v>0</v>
      </c>
      <c r="T23" s="17">
        <v>2</v>
      </c>
      <c r="U23" s="17">
        <v>1</v>
      </c>
      <c r="V23" s="3">
        <v>8</v>
      </c>
      <c r="W23" s="20">
        <v>66</v>
      </c>
      <c r="X23" s="17">
        <v>8</v>
      </c>
      <c r="Y23" s="17">
        <v>3</v>
      </c>
      <c r="Z23" s="17">
        <v>0</v>
      </c>
      <c r="AA23" s="20">
        <v>840</v>
      </c>
      <c r="AB23" s="3"/>
      <c r="AC23" s="3"/>
      <c r="AD23" s="20"/>
      <c r="AE23" s="3"/>
      <c r="AF23" s="3"/>
      <c r="AG23" s="20"/>
      <c r="AH23" s="107" t="s">
        <v>85</v>
      </c>
      <c r="AI23" s="107"/>
      <c r="AJ23" s="107"/>
      <c r="AK23" s="107"/>
      <c r="AL23" s="108"/>
      <c r="AN23" s="67">
        <f t="shared" si="2"/>
        <v>-4.0981111756883024</v>
      </c>
      <c r="AO23" s="67">
        <f t="shared" si="2"/>
        <v>-0.79166724779150854</v>
      </c>
      <c r="AP23" s="67">
        <f t="shared" si="2"/>
        <v>-1.9877286562529548</v>
      </c>
      <c r="AY23" s="67">
        <f t="shared" si="0"/>
        <v>274.0981111756883</v>
      </c>
      <c r="AZ23" s="67">
        <f t="shared" si="1"/>
        <v>77.791667247791509</v>
      </c>
      <c r="BA23" s="67">
        <f t="shared" si="3"/>
        <v>225.98772865625295</v>
      </c>
      <c r="BC23">
        <f t="shared" si="4"/>
        <v>35.234893514056914</v>
      </c>
      <c r="BD23">
        <v>1013.2</v>
      </c>
      <c r="BE23">
        <f t="shared" si="5"/>
        <v>29.470855059888834</v>
      </c>
    </row>
    <row r="24" spans="1:57" x14ac:dyDescent="0.2">
      <c r="A24" s="13">
        <v>15</v>
      </c>
      <c r="B24" s="3">
        <v>7</v>
      </c>
      <c r="C24" s="17">
        <v>5</v>
      </c>
      <c r="D24" s="3">
        <v>4</v>
      </c>
      <c r="E24" s="18">
        <v>7</v>
      </c>
      <c r="F24" s="18">
        <v>8</v>
      </c>
      <c r="G24" s="18">
        <v>64</v>
      </c>
      <c r="H24" s="19">
        <v>1</v>
      </c>
      <c r="I24" s="18">
        <v>15</v>
      </c>
      <c r="J24" s="18">
        <v>22</v>
      </c>
      <c r="K24" s="20">
        <v>126</v>
      </c>
      <c r="L24" s="18">
        <v>266</v>
      </c>
      <c r="M24" s="18">
        <v>238</v>
      </c>
      <c r="N24" s="18">
        <v>273</v>
      </c>
      <c r="O24" s="18">
        <v>78</v>
      </c>
      <c r="P24" s="18">
        <v>225</v>
      </c>
      <c r="Q24" s="17">
        <v>3</v>
      </c>
      <c r="R24" s="17">
        <v>8</v>
      </c>
      <c r="S24" s="17">
        <v>0</v>
      </c>
      <c r="T24" s="17">
        <v>1</v>
      </c>
      <c r="U24" s="17">
        <v>3</v>
      </c>
      <c r="V24" s="3">
        <v>8</v>
      </c>
      <c r="W24" s="20">
        <v>57</v>
      </c>
      <c r="X24" s="17">
        <v>8</v>
      </c>
      <c r="Y24" s="17">
        <v>3</v>
      </c>
      <c r="Z24" s="17">
        <v>0</v>
      </c>
      <c r="AA24" s="20">
        <v>840</v>
      </c>
      <c r="AB24" s="3"/>
      <c r="AC24" s="3"/>
      <c r="AD24" s="20"/>
      <c r="AE24" s="3"/>
      <c r="AF24" s="3"/>
      <c r="AG24" s="20"/>
      <c r="AH24" s="107" t="s">
        <v>96</v>
      </c>
      <c r="AI24" s="107"/>
      <c r="AJ24" s="107"/>
      <c r="AK24" s="107"/>
      <c r="AL24" s="108"/>
      <c r="AN24" s="67">
        <f t="shared" si="2"/>
        <v>-2.4721404705683199</v>
      </c>
      <c r="AO24" s="67">
        <f t="shared" si="2"/>
        <v>-1.1084944842867941</v>
      </c>
      <c r="AP24" s="67">
        <f t="shared" si="2"/>
        <v>-1.810896187177093</v>
      </c>
      <c r="AY24" s="67">
        <f t="shared" si="0"/>
        <v>275.47214047056832</v>
      </c>
      <c r="AZ24" s="67">
        <f t="shared" si="1"/>
        <v>79.108494484286794</v>
      </c>
      <c r="BA24" s="67">
        <f t="shared" si="3"/>
        <v>226.81089618717709</v>
      </c>
      <c r="BC24">
        <f t="shared" si="4"/>
        <v>34.822068384234633</v>
      </c>
      <c r="BD24">
        <v>1013.2</v>
      </c>
      <c r="BE24">
        <f t="shared" si="5"/>
        <v>29.470855059888834</v>
      </c>
    </row>
    <row r="25" spans="1:57" x14ac:dyDescent="0.2">
      <c r="A25" s="13">
        <v>16</v>
      </c>
      <c r="B25" s="3">
        <v>7</v>
      </c>
      <c r="C25" s="17">
        <v>6</v>
      </c>
      <c r="D25" s="3">
        <v>4</v>
      </c>
      <c r="E25" s="18">
        <v>0</v>
      </c>
      <c r="F25" s="18">
        <v>0</v>
      </c>
      <c r="G25" s="18">
        <v>70</v>
      </c>
      <c r="H25" s="19">
        <v>1</v>
      </c>
      <c r="I25" s="18">
        <v>5</v>
      </c>
      <c r="J25" s="18">
        <v>82</v>
      </c>
      <c r="K25" s="20">
        <v>132</v>
      </c>
      <c r="L25" s="18">
        <v>254</v>
      </c>
      <c r="M25" s="18">
        <v>237</v>
      </c>
      <c r="N25" s="18">
        <v>279</v>
      </c>
      <c r="O25" s="18">
        <v>86</v>
      </c>
      <c r="P25" s="18">
        <v>229</v>
      </c>
      <c r="Q25" s="17">
        <v>5</v>
      </c>
      <c r="R25" s="17">
        <v>8</v>
      </c>
      <c r="S25" s="17">
        <v>0</v>
      </c>
      <c r="T25" s="17">
        <v>2</v>
      </c>
      <c r="U25" s="17">
        <v>3</v>
      </c>
      <c r="V25" s="3">
        <v>8</v>
      </c>
      <c r="W25" s="20">
        <v>54</v>
      </c>
      <c r="X25" s="17">
        <v>8</v>
      </c>
      <c r="Y25" s="17">
        <v>3</v>
      </c>
      <c r="Z25" s="17">
        <v>6</v>
      </c>
      <c r="AA25" s="20">
        <v>114</v>
      </c>
      <c r="AB25" s="17">
        <v>5</v>
      </c>
      <c r="AC25" s="17">
        <v>0</v>
      </c>
      <c r="AD25" s="20">
        <v>840</v>
      </c>
      <c r="AE25" s="3"/>
      <c r="AF25" s="3"/>
      <c r="AG25" s="20"/>
      <c r="AH25" s="107" t="s">
        <v>97</v>
      </c>
      <c r="AI25" s="107"/>
      <c r="AJ25" s="107"/>
      <c r="AK25" s="107"/>
      <c r="AL25" s="108"/>
      <c r="AN25" s="67">
        <f t="shared" si="2"/>
        <v>-2.2607426289145565</v>
      </c>
      <c r="AO25" s="67">
        <f t="shared" si="2"/>
        <v>-0.72111261439366103</v>
      </c>
      <c r="AP25" s="67">
        <f t="shared" si="2"/>
        <v>-1.2397616283653292</v>
      </c>
      <c r="AY25" s="67">
        <f t="shared" si="0"/>
        <v>281.26074262891456</v>
      </c>
      <c r="AZ25" s="67">
        <f t="shared" si="1"/>
        <v>86.721112614393661</v>
      </c>
      <c r="BA25" s="67">
        <f t="shared" si="3"/>
        <v>230.23976162836533</v>
      </c>
      <c r="BC25">
        <f t="shared" si="4"/>
        <v>32.432787604968055</v>
      </c>
      <c r="BD25">
        <v>1013.2</v>
      </c>
      <c r="BE25">
        <f t="shared" si="5"/>
        <v>29.293868430343458</v>
      </c>
    </row>
    <row r="26" spans="1:57" x14ac:dyDescent="0.2">
      <c r="A26" s="13">
        <v>17</v>
      </c>
      <c r="B26" s="3">
        <v>7</v>
      </c>
      <c r="C26" s="17">
        <v>7</v>
      </c>
      <c r="D26" s="3">
        <v>4</v>
      </c>
      <c r="E26" s="18">
        <v>9</v>
      </c>
      <c r="F26" s="18">
        <v>6</v>
      </c>
      <c r="G26" s="18">
        <v>70</v>
      </c>
      <c r="H26" s="19">
        <v>1</v>
      </c>
      <c r="I26" s="18">
        <v>5</v>
      </c>
      <c r="J26" s="18">
        <v>22</v>
      </c>
      <c r="K26" s="20">
        <v>142</v>
      </c>
      <c r="L26" s="18">
        <v>260</v>
      </c>
      <c r="M26" s="18">
        <v>241</v>
      </c>
      <c r="N26" s="18">
        <v>286</v>
      </c>
      <c r="O26" s="18">
        <v>85</v>
      </c>
      <c r="P26" s="18">
        <v>233</v>
      </c>
      <c r="Q26" s="17">
        <v>7</v>
      </c>
      <c r="R26" s="17">
        <v>8</v>
      </c>
      <c r="S26" s="17">
        <v>3</v>
      </c>
      <c r="T26" s="17">
        <v>2</v>
      </c>
      <c r="U26" s="17">
        <v>1</v>
      </c>
      <c r="V26" s="3">
        <v>8</v>
      </c>
      <c r="W26" s="20">
        <v>54</v>
      </c>
      <c r="X26" s="17">
        <v>8</v>
      </c>
      <c r="Y26" s="17">
        <v>6</v>
      </c>
      <c r="Z26" s="17">
        <v>6</v>
      </c>
      <c r="AA26" s="20">
        <v>120</v>
      </c>
      <c r="AB26" s="3"/>
      <c r="AC26" s="3"/>
      <c r="AD26" s="20"/>
      <c r="AE26" s="3"/>
      <c r="AF26" s="3"/>
      <c r="AG26" s="20"/>
      <c r="AH26" s="107" t="s">
        <v>85</v>
      </c>
      <c r="AI26" s="107"/>
      <c r="AJ26" s="107"/>
      <c r="AK26" s="107"/>
      <c r="AL26" s="108"/>
      <c r="AN26" s="67">
        <f t="shared" si="2"/>
        <v>-1.0167996723711781</v>
      </c>
      <c r="AO26" s="67">
        <f t="shared" si="2"/>
        <v>-0.39914696625478996</v>
      </c>
      <c r="AP26" s="67">
        <f t="shared" si="2"/>
        <v>-0.58858187236495496</v>
      </c>
      <c r="AY26" s="67">
        <f t="shared" si="0"/>
        <v>287.01679967237118</v>
      </c>
      <c r="AZ26" s="67">
        <f t="shared" si="1"/>
        <v>85.39914696625479</v>
      </c>
      <c r="BA26" s="67">
        <f t="shared" si="3"/>
        <v>233.58858187236495</v>
      </c>
      <c r="BC26">
        <f t="shared" si="4"/>
        <v>33.608860260136439</v>
      </c>
      <c r="BD26">
        <v>1013.2</v>
      </c>
      <c r="BE26">
        <f t="shared" si="5"/>
        <v>30.007446138089119</v>
      </c>
    </row>
    <row r="27" spans="1:57" x14ac:dyDescent="0.2">
      <c r="A27" s="13">
        <v>18</v>
      </c>
      <c r="B27" s="3">
        <v>7</v>
      </c>
      <c r="C27" s="17">
        <v>7</v>
      </c>
      <c r="D27" s="3">
        <v>4</v>
      </c>
      <c r="E27" s="18">
        <v>10</v>
      </c>
      <c r="F27" s="18">
        <v>4</v>
      </c>
      <c r="G27" s="18">
        <v>57</v>
      </c>
      <c r="H27" s="19">
        <v>1</v>
      </c>
      <c r="I27" s="18">
        <v>80</v>
      </c>
      <c r="J27" s="18">
        <v>22</v>
      </c>
      <c r="K27" s="20">
        <v>151</v>
      </c>
      <c r="L27" s="18">
        <v>257</v>
      </c>
      <c r="M27" s="18">
        <v>242</v>
      </c>
      <c r="N27" s="18">
        <v>292</v>
      </c>
      <c r="O27" s="18">
        <v>88</v>
      </c>
      <c r="P27" s="18">
        <v>236</v>
      </c>
      <c r="Q27" s="17">
        <v>7</v>
      </c>
      <c r="R27" s="17">
        <v>3</v>
      </c>
      <c r="S27" s="17">
        <v>6</v>
      </c>
      <c r="T27" s="17">
        <v>2</v>
      </c>
      <c r="U27" s="17">
        <v>1</v>
      </c>
      <c r="V27" s="3">
        <v>9</v>
      </c>
      <c r="W27" s="20">
        <v>36</v>
      </c>
      <c r="X27" s="17">
        <v>8</v>
      </c>
      <c r="Y27" s="17">
        <v>5</v>
      </c>
      <c r="Z27" s="17">
        <v>8</v>
      </c>
      <c r="AA27" s="20">
        <v>42</v>
      </c>
      <c r="AB27" s="17">
        <v>6</v>
      </c>
      <c r="AC27" s="17">
        <v>6</v>
      </c>
      <c r="AD27" s="20">
        <v>114</v>
      </c>
      <c r="AE27" s="3"/>
      <c r="AF27" s="3"/>
      <c r="AG27" s="20"/>
      <c r="AH27" s="107" t="s">
        <v>111</v>
      </c>
      <c r="AI27" s="107"/>
      <c r="AJ27" s="107"/>
      <c r="AK27" s="107"/>
      <c r="AL27" s="108"/>
      <c r="AN27" s="67">
        <f t="shared" si="2"/>
        <v>0.42782465099213596</v>
      </c>
      <c r="AO27" s="67">
        <f t="shared" si="2"/>
        <v>-0.31173676915990711</v>
      </c>
      <c r="AP27" s="67">
        <f t="shared" si="2"/>
        <v>-0.19740783128176531</v>
      </c>
      <c r="AY27" s="67">
        <f t="shared" si="0"/>
        <v>291.57217534900786</v>
      </c>
      <c r="AZ27" s="67">
        <f t="shared" si="1"/>
        <v>88.311736769159907</v>
      </c>
      <c r="BA27" s="67">
        <f t="shared" si="3"/>
        <v>236.19740783128177</v>
      </c>
      <c r="BC27">
        <f t="shared" si="4"/>
        <v>33.016242915837466</v>
      </c>
      <c r="BD27">
        <v>1013.2</v>
      </c>
      <c r="BE27">
        <f t="shared" si="5"/>
        <v>30.188200917340787</v>
      </c>
    </row>
    <row r="28" spans="1:57" x14ac:dyDescent="0.2">
      <c r="A28" s="13">
        <v>19</v>
      </c>
      <c r="B28" s="3">
        <v>7</v>
      </c>
      <c r="C28" s="17">
        <v>7</v>
      </c>
      <c r="D28" s="3">
        <v>4</v>
      </c>
      <c r="E28" s="18">
        <v>8</v>
      </c>
      <c r="F28" s="18">
        <v>11</v>
      </c>
      <c r="G28" s="18">
        <v>59</v>
      </c>
      <c r="H28" s="19">
        <v>1</v>
      </c>
      <c r="I28" s="18">
        <v>15</v>
      </c>
      <c r="J28" s="18">
        <v>22</v>
      </c>
      <c r="K28" s="20">
        <v>132</v>
      </c>
      <c r="L28" s="18">
        <v>268</v>
      </c>
      <c r="M28" s="18">
        <v>249</v>
      </c>
      <c r="N28" s="18">
        <v>300</v>
      </c>
      <c r="O28" s="18">
        <v>85</v>
      </c>
      <c r="P28" s="18">
        <v>241</v>
      </c>
      <c r="Q28" s="17">
        <v>7</v>
      </c>
      <c r="R28" s="17">
        <v>8</v>
      </c>
      <c r="S28" s="17" t="s">
        <v>89</v>
      </c>
      <c r="T28" s="17" t="s">
        <v>89</v>
      </c>
      <c r="U28" s="17">
        <v>3</v>
      </c>
      <c r="V28" s="3">
        <v>8</v>
      </c>
      <c r="W28" s="20">
        <v>51</v>
      </c>
      <c r="X28" s="17">
        <v>8</v>
      </c>
      <c r="Y28" s="17">
        <v>7</v>
      </c>
      <c r="Z28" s="17">
        <v>6</v>
      </c>
      <c r="AA28" s="20">
        <v>105</v>
      </c>
      <c r="AB28" s="3"/>
      <c r="AC28" s="3"/>
      <c r="AD28" s="20"/>
      <c r="AE28" s="3"/>
      <c r="AF28" s="3"/>
      <c r="AG28" s="20"/>
      <c r="AH28" s="107" t="s">
        <v>91</v>
      </c>
      <c r="AI28" s="107"/>
      <c r="AJ28" s="107"/>
      <c r="AK28" s="107"/>
      <c r="AL28" s="108"/>
      <c r="AN28" s="67">
        <f t="shared" si="2"/>
        <v>-1.7346108820595418</v>
      </c>
      <c r="AO28" s="67">
        <f t="shared" si="2"/>
        <v>-0.63517036362914325</v>
      </c>
      <c r="AP28" s="67">
        <f t="shared" si="2"/>
        <v>-0.89107570414623183</v>
      </c>
      <c r="AY28" s="67">
        <f t="shared" si="0"/>
        <v>301.73461088205954</v>
      </c>
      <c r="AZ28" s="67">
        <f t="shared" si="1"/>
        <v>85.635170363629143</v>
      </c>
      <c r="BA28" s="67">
        <f t="shared" si="3"/>
        <v>241.89107570414623</v>
      </c>
      <c r="BC28">
        <f t="shared" si="4"/>
        <v>35.234893514056914</v>
      </c>
      <c r="BD28">
        <v>1013.2</v>
      </c>
      <c r="BE28">
        <f t="shared" si="5"/>
        <v>31.480396167633955</v>
      </c>
    </row>
    <row r="29" spans="1:57" x14ac:dyDescent="0.2">
      <c r="A29" s="13">
        <v>20</v>
      </c>
      <c r="B29" s="3">
        <v>7</v>
      </c>
      <c r="C29" s="17">
        <v>8</v>
      </c>
      <c r="D29" s="3">
        <v>4</v>
      </c>
      <c r="E29" s="18">
        <v>14</v>
      </c>
      <c r="F29" s="18">
        <v>12</v>
      </c>
      <c r="G29" s="18">
        <v>64</v>
      </c>
      <c r="H29" s="19">
        <v>1</v>
      </c>
      <c r="I29" s="18">
        <v>15</v>
      </c>
      <c r="J29" s="18">
        <v>22</v>
      </c>
      <c r="K29" s="20">
        <v>125</v>
      </c>
      <c r="L29" s="18">
        <v>271</v>
      </c>
      <c r="M29" s="18">
        <v>250</v>
      </c>
      <c r="N29" s="18">
        <v>300</v>
      </c>
      <c r="O29" s="18">
        <v>84</v>
      </c>
      <c r="P29" s="18">
        <v>241</v>
      </c>
      <c r="Q29" s="17">
        <v>6</v>
      </c>
      <c r="R29" s="17">
        <v>8</v>
      </c>
      <c r="S29" s="17">
        <v>7</v>
      </c>
      <c r="T29" s="17" t="s">
        <v>89</v>
      </c>
      <c r="U29" s="17">
        <v>5</v>
      </c>
      <c r="V29" s="3">
        <v>8</v>
      </c>
      <c r="W29" s="20">
        <v>48</v>
      </c>
      <c r="X29" s="17">
        <v>8</v>
      </c>
      <c r="Y29" s="17">
        <v>7</v>
      </c>
      <c r="Z29" s="17">
        <v>4</v>
      </c>
      <c r="AA29" s="20">
        <v>240</v>
      </c>
      <c r="AB29" s="3"/>
      <c r="AC29" s="3"/>
      <c r="AD29" s="20"/>
      <c r="AE29" s="3"/>
      <c r="AF29" s="3"/>
      <c r="AG29" s="20"/>
      <c r="AH29" s="107" t="s">
        <v>85</v>
      </c>
      <c r="AI29" s="107"/>
      <c r="AJ29" s="107"/>
      <c r="AK29" s="107"/>
      <c r="AL29" s="108"/>
      <c r="AN29" s="67">
        <f t="shared" si="2"/>
        <v>-2.2422292261599637</v>
      </c>
      <c r="AO29" s="67">
        <f t="shared" si="2"/>
        <v>-0.27888238187512115</v>
      </c>
      <c r="AP29" s="67">
        <f t="shared" si="2"/>
        <v>-1.1710501702949045</v>
      </c>
      <c r="AY29" s="67">
        <f t="shared" si="0"/>
        <v>302.24222922615996</v>
      </c>
      <c r="AZ29" s="67">
        <f t="shared" si="1"/>
        <v>84.278882381875121</v>
      </c>
      <c r="BA29" s="67">
        <f t="shared" si="3"/>
        <v>242.1710501702949</v>
      </c>
      <c r="BC29">
        <f t="shared" si="4"/>
        <v>35.862154395530958</v>
      </c>
      <c r="BD29">
        <v>1013.2</v>
      </c>
      <c r="BE29">
        <f t="shared" si="5"/>
        <v>31.668891609615997</v>
      </c>
    </row>
    <row r="30" spans="1:57" x14ac:dyDescent="0.2">
      <c r="A30" s="13">
        <v>21</v>
      </c>
      <c r="B30" s="3">
        <v>7</v>
      </c>
      <c r="C30" s="17">
        <v>3</v>
      </c>
      <c r="D30" s="3">
        <v>4</v>
      </c>
      <c r="E30" s="18">
        <v>8</v>
      </c>
      <c r="F30" s="18">
        <v>11</v>
      </c>
      <c r="G30" s="18">
        <v>64</v>
      </c>
      <c r="H30" s="19">
        <v>1</v>
      </c>
      <c r="I30" s="18">
        <v>5</v>
      </c>
      <c r="J30" s="18">
        <v>0</v>
      </c>
      <c r="K30" s="20">
        <v>120</v>
      </c>
      <c r="L30" s="18">
        <v>273</v>
      </c>
      <c r="M30" s="18">
        <v>248</v>
      </c>
      <c r="N30" s="18">
        <v>294</v>
      </c>
      <c r="O30" s="18">
        <v>81</v>
      </c>
      <c r="P30" s="18">
        <v>237</v>
      </c>
      <c r="Q30" s="17">
        <v>3</v>
      </c>
      <c r="R30" s="17">
        <v>2</v>
      </c>
      <c r="S30" s="17">
        <v>0</v>
      </c>
      <c r="T30" s="17">
        <v>1</v>
      </c>
      <c r="U30" s="17">
        <v>3</v>
      </c>
      <c r="V30" s="3">
        <v>8</v>
      </c>
      <c r="W30" s="20">
        <v>57</v>
      </c>
      <c r="X30" s="17">
        <v>8</v>
      </c>
      <c r="Y30" s="3"/>
      <c r="Z30" s="3"/>
      <c r="AA30" s="20"/>
      <c r="AB30" s="3"/>
      <c r="AC30" s="3"/>
      <c r="AD30" s="20"/>
      <c r="AE30" s="3"/>
      <c r="AF30" s="3"/>
      <c r="AG30" s="20"/>
      <c r="AH30" s="107" t="s">
        <v>85</v>
      </c>
      <c r="AI30" s="107"/>
      <c r="AJ30" s="107"/>
      <c r="AK30" s="107"/>
      <c r="AL30" s="108"/>
      <c r="AN30" s="67">
        <f t="shared" si="2"/>
        <v>-1.7342424020450835</v>
      </c>
      <c r="AO30" s="67">
        <f t="shared" si="2"/>
        <v>-0.50152381904064214</v>
      </c>
      <c r="AP30" s="67">
        <f t="shared" si="2"/>
        <v>-1.5499659797633285</v>
      </c>
      <c r="AY30" s="67">
        <f t="shared" si="0"/>
        <v>295.73424240204508</v>
      </c>
      <c r="AZ30" s="67">
        <f t="shared" si="1"/>
        <v>81.501523819040642</v>
      </c>
      <c r="BA30" s="67">
        <f t="shared" si="3"/>
        <v>238.54996597976333</v>
      </c>
      <c r="BC30">
        <f t="shared" si="4"/>
        <v>36.285731670326726</v>
      </c>
      <c r="BD30">
        <v>1013.2</v>
      </c>
      <c r="BE30">
        <f t="shared" si="5"/>
        <v>31.29288340580451</v>
      </c>
    </row>
    <row r="31" spans="1:57" x14ac:dyDescent="0.2">
      <c r="A31" s="13">
        <v>22</v>
      </c>
      <c r="B31" s="3">
        <v>7</v>
      </c>
      <c r="C31" s="17">
        <v>7</v>
      </c>
      <c r="D31" s="3">
        <v>4</v>
      </c>
      <c r="E31" s="18">
        <v>9</v>
      </c>
      <c r="F31" s="18">
        <v>12</v>
      </c>
      <c r="G31" s="18">
        <v>68</v>
      </c>
      <c r="H31" s="19">
        <v>1</v>
      </c>
      <c r="I31" s="18">
        <v>5</v>
      </c>
      <c r="J31" s="18">
        <v>22</v>
      </c>
      <c r="K31" s="20">
        <v>134</v>
      </c>
      <c r="L31" s="18">
        <v>272</v>
      </c>
      <c r="M31" s="18">
        <v>246</v>
      </c>
      <c r="N31" s="18">
        <v>290</v>
      </c>
      <c r="O31" s="18">
        <v>80</v>
      </c>
      <c r="P31" s="18">
        <v>235</v>
      </c>
      <c r="Q31" s="17">
        <v>7</v>
      </c>
      <c r="R31" s="17">
        <v>8</v>
      </c>
      <c r="S31" s="17">
        <v>0</v>
      </c>
      <c r="T31" s="17">
        <v>2</v>
      </c>
      <c r="U31" s="17">
        <v>1</v>
      </c>
      <c r="V31" s="3">
        <v>8</v>
      </c>
      <c r="W31" s="20">
        <v>57</v>
      </c>
      <c r="X31" s="17">
        <v>8</v>
      </c>
      <c r="Y31" s="17">
        <v>6</v>
      </c>
      <c r="Z31" s="17">
        <v>6</v>
      </c>
      <c r="AA31" s="20">
        <f>36*3</f>
        <v>108</v>
      </c>
      <c r="AB31" s="3"/>
      <c r="AC31" s="3"/>
      <c r="AD31" s="20"/>
      <c r="AE31" s="3"/>
      <c r="AF31" s="3"/>
      <c r="AG31" s="20"/>
      <c r="AH31" s="107" t="s">
        <v>85</v>
      </c>
      <c r="AI31" s="107"/>
      <c r="AJ31" s="107"/>
      <c r="AK31" s="107"/>
      <c r="AL31" s="108"/>
      <c r="AN31" s="67">
        <f t="shared" si="2"/>
        <v>-1.3295091864497408</v>
      </c>
      <c r="AO31" s="67">
        <f t="shared" si="2"/>
        <v>-0.76020356061565053</v>
      </c>
      <c r="AP31" s="67">
        <f t="shared" si="2"/>
        <v>-1.0593382720597617</v>
      </c>
      <c r="AY31" s="67">
        <f t="shared" si="0"/>
        <v>291.32950918644974</v>
      </c>
      <c r="AZ31" s="67">
        <f t="shared" si="1"/>
        <v>80.760203560615651</v>
      </c>
      <c r="BA31" s="67">
        <f t="shared" si="3"/>
        <v>236.05933827205976</v>
      </c>
      <c r="BC31">
        <f t="shared" si="4"/>
        <v>36.073399563411016</v>
      </c>
      <c r="BD31">
        <v>1013.2</v>
      </c>
      <c r="BE31">
        <f t="shared" si="5"/>
        <v>30.920788561092973</v>
      </c>
    </row>
    <row r="32" spans="1:57" x14ac:dyDescent="0.2">
      <c r="A32" s="13">
        <v>23</v>
      </c>
      <c r="B32" s="3">
        <v>7</v>
      </c>
      <c r="C32" s="17">
        <v>7</v>
      </c>
      <c r="D32" s="3">
        <v>4</v>
      </c>
      <c r="E32" s="18">
        <v>0</v>
      </c>
      <c r="F32" s="18">
        <v>0</v>
      </c>
      <c r="G32" s="18">
        <v>68</v>
      </c>
      <c r="H32" s="19">
        <v>1</v>
      </c>
      <c r="I32" s="18">
        <v>6</v>
      </c>
      <c r="J32" s="18">
        <v>22</v>
      </c>
      <c r="K32" s="20">
        <v>121</v>
      </c>
      <c r="L32" s="18">
        <v>268</v>
      </c>
      <c r="M32" s="18">
        <v>240</v>
      </c>
      <c r="N32" s="18">
        <v>276</v>
      </c>
      <c r="O32" s="18">
        <v>78</v>
      </c>
      <c r="P32" s="18">
        <v>227</v>
      </c>
      <c r="Q32" s="17">
        <v>1</v>
      </c>
      <c r="R32" s="17">
        <v>8</v>
      </c>
      <c r="S32" s="17">
        <v>3</v>
      </c>
      <c r="T32" s="17">
        <v>1</v>
      </c>
      <c r="U32" s="17">
        <v>1</v>
      </c>
      <c r="V32" s="3">
        <v>8</v>
      </c>
      <c r="W32" s="20">
        <v>57</v>
      </c>
      <c r="X32" s="17">
        <v>8</v>
      </c>
      <c r="Y32" s="17">
        <v>6</v>
      </c>
      <c r="Z32" s="17">
        <v>0</v>
      </c>
      <c r="AA32" s="20">
        <v>840</v>
      </c>
      <c r="AB32" s="3"/>
      <c r="AC32" s="3"/>
      <c r="AD32" s="20"/>
      <c r="AE32" s="3"/>
      <c r="AF32" s="3"/>
      <c r="AG32" s="20"/>
      <c r="AH32" s="107" t="s">
        <v>85</v>
      </c>
      <c r="AI32" s="107"/>
      <c r="AJ32" s="107"/>
      <c r="AK32" s="107"/>
      <c r="AL32" s="108"/>
      <c r="AN32" s="67">
        <f t="shared" si="2"/>
        <v>-3.035680509420672</v>
      </c>
      <c r="AO32" s="67">
        <f t="shared" si="2"/>
        <v>-1.1929966804354706</v>
      </c>
      <c r="AP32" s="67">
        <f t="shared" si="2"/>
        <v>-1.9291319298972383</v>
      </c>
      <c r="AY32" s="67">
        <f t="shared" si="0"/>
        <v>279.03568050942067</v>
      </c>
      <c r="AZ32" s="67">
        <f t="shared" si="1"/>
        <v>79.192996680435471</v>
      </c>
      <c r="BA32" s="67">
        <f t="shared" si="3"/>
        <v>228.92913192989724</v>
      </c>
      <c r="BC32">
        <f t="shared" si="4"/>
        <v>35.234893514056914</v>
      </c>
      <c r="BD32">
        <v>1013.2</v>
      </c>
      <c r="BE32">
        <f t="shared" si="5"/>
        <v>29.827639714302066</v>
      </c>
    </row>
    <row r="33" spans="1:57" x14ac:dyDescent="0.2">
      <c r="A33" s="13">
        <v>24</v>
      </c>
      <c r="B33" s="3">
        <v>7</v>
      </c>
      <c r="C33" s="17">
        <v>8</v>
      </c>
      <c r="D33" s="3">
        <v>4</v>
      </c>
      <c r="E33" s="18">
        <v>6</v>
      </c>
      <c r="F33" s="18">
        <v>5</v>
      </c>
      <c r="G33" s="18">
        <v>50</v>
      </c>
      <c r="H33" s="19">
        <v>1</v>
      </c>
      <c r="I33" s="18">
        <v>61</v>
      </c>
      <c r="J33" s="18">
        <v>66</v>
      </c>
      <c r="K33" s="20">
        <v>126</v>
      </c>
      <c r="L33" s="18">
        <v>230</v>
      </c>
      <c r="M33" s="18">
        <v>230</v>
      </c>
      <c r="N33" s="18">
        <v>281</v>
      </c>
      <c r="O33" s="18">
        <v>100</v>
      </c>
      <c r="P33" s="18">
        <v>230</v>
      </c>
      <c r="Q33" s="17">
        <v>8</v>
      </c>
      <c r="R33" s="17">
        <v>8</v>
      </c>
      <c r="S33" s="17" t="s">
        <v>89</v>
      </c>
      <c r="T33" s="17" t="s">
        <v>89</v>
      </c>
      <c r="U33" s="17">
        <v>1</v>
      </c>
      <c r="V33" s="3">
        <v>8</v>
      </c>
      <c r="W33" s="20">
        <v>45</v>
      </c>
      <c r="X33" s="17">
        <v>8</v>
      </c>
      <c r="Y33" s="17">
        <v>7</v>
      </c>
      <c r="Z33" s="17">
        <v>6</v>
      </c>
      <c r="AA33" s="20">
        <f>32*3</f>
        <v>96</v>
      </c>
      <c r="AB33" s="3"/>
      <c r="AC33" s="3"/>
      <c r="AD33" s="20"/>
      <c r="AE33" s="3"/>
      <c r="AF33" s="3"/>
      <c r="AG33" s="20"/>
      <c r="AH33" s="107" t="s">
        <v>146</v>
      </c>
      <c r="AI33" s="107"/>
      <c r="AJ33" s="107"/>
      <c r="AK33" s="107"/>
      <c r="AL33" s="108"/>
      <c r="AN33" s="67">
        <f t="shared" si="2"/>
        <v>0.19186389788586666</v>
      </c>
      <c r="AO33" s="67">
        <f t="shared" si="2"/>
        <v>0</v>
      </c>
      <c r="AP33" s="67">
        <f t="shared" si="2"/>
        <v>2.6099651552556224E-2</v>
      </c>
      <c r="AY33" s="67">
        <f t="shared" si="0"/>
        <v>280.80813610211413</v>
      </c>
      <c r="AZ33" s="67">
        <f t="shared" si="1"/>
        <v>100</v>
      </c>
      <c r="BA33" s="67">
        <f t="shared" si="3"/>
        <v>229.97390034844744</v>
      </c>
      <c r="BC33">
        <f t="shared" si="4"/>
        <v>28.080813610211415</v>
      </c>
      <c r="BD33">
        <v>1013.2</v>
      </c>
      <c r="BE33">
        <f t="shared" si="5"/>
        <v>28.080813610211415</v>
      </c>
    </row>
    <row r="34" spans="1:57" x14ac:dyDescent="0.2">
      <c r="A34" s="13">
        <v>25</v>
      </c>
      <c r="B34" s="3">
        <v>7</v>
      </c>
      <c r="C34" s="17">
        <v>7</v>
      </c>
      <c r="D34" s="3">
        <v>4</v>
      </c>
      <c r="E34" s="18">
        <v>0</v>
      </c>
      <c r="F34" s="18">
        <v>0</v>
      </c>
      <c r="G34" s="18">
        <v>64</v>
      </c>
      <c r="H34" s="19">
        <v>1</v>
      </c>
      <c r="I34" s="18">
        <v>5</v>
      </c>
      <c r="J34" s="18">
        <v>82</v>
      </c>
      <c r="K34" s="20">
        <v>129</v>
      </c>
      <c r="L34" s="18">
        <v>242</v>
      </c>
      <c r="M34" s="18">
        <v>240</v>
      </c>
      <c r="N34" s="18">
        <v>297</v>
      </c>
      <c r="O34" s="18">
        <v>98</v>
      </c>
      <c r="P34" s="18">
        <v>239</v>
      </c>
      <c r="Q34" s="17">
        <v>7</v>
      </c>
      <c r="R34" s="17">
        <v>8</v>
      </c>
      <c r="S34" s="17">
        <v>0</v>
      </c>
      <c r="T34" s="17">
        <v>2</v>
      </c>
      <c r="U34" s="17">
        <v>5</v>
      </c>
      <c r="V34" s="3">
        <v>8</v>
      </c>
      <c r="W34" s="20">
        <v>54</v>
      </c>
      <c r="X34" s="17">
        <v>8</v>
      </c>
      <c r="Y34" s="17">
        <v>3</v>
      </c>
      <c r="Z34" s="17">
        <v>6</v>
      </c>
      <c r="AA34" s="20">
        <v>108</v>
      </c>
      <c r="AB34" s="3"/>
      <c r="AC34" s="3"/>
      <c r="AD34" s="20"/>
      <c r="AE34" s="3"/>
      <c r="AF34" s="3"/>
      <c r="AG34" s="20"/>
      <c r="AH34" s="107" t="s">
        <v>162</v>
      </c>
      <c r="AI34" s="107"/>
      <c r="AJ34" s="107"/>
      <c r="AK34" s="107"/>
      <c r="AL34" s="108"/>
      <c r="AN34" s="67">
        <f t="shared" si="2"/>
        <v>9.7939759379300995E-2</v>
      </c>
      <c r="AO34" s="67">
        <f t="shared" si="2"/>
        <v>-0.35036577819828096</v>
      </c>
      <c r="AP34" s="67">
        <f t="shared" si="2"/>
        <v>-0.20485072429306683</v>
      </c>
      <c r="AY34" s="67">
        <f t="shared" si="0"/>
        <v>296.9020602406207</v>
      </c>
      <c r="AZ34" s="67">
        <f t="shared" si="1"/>
        <v>98.350365778198281</v>
      </c>
      <c r="BA34" s="67">
        <f t="shared" si="3"/>
        <v>239.20485072429307</v>
      </c>
      <c r="BC34">
        <f t="shared" si="4"/>
        <v>30.188200917340787</v>
      </c>
      <c r="BD34">
        <v>1013.2</v>
      </c>
      <c r="BE34">
        <f t="shared" si="5"/>
        <v>29.827639714302066</v>
      </c>
    </row>
    <row r="35" spans="1:57" x14ac:dyDescent="0.2">
      <c r="A35" s="13">
        <v>26</v>
      </c>
      <c r="B35" s="3">
        <v>7</v>
      </c>
      <c r="C35" s="17">
        <v>7</v>
      </c>
      <c r="D35" s="3">
        <v>4</v>
      </c>
      <c r="E35" s="18">
        <v>8</v>
      </c>
      <c r="F35" s="18">
        <v>8</v>
      </c>
      <c r="G35" s="18">
        <v>68</v>
      </c>
      <c r="H35" s="19">
        <v>1</v>
      </c>
      <c r="I35" s="18">
        <v>15</v>
      </c>
      <c r="J35" s="18">
        <v>22</v>
      </c>
      <c r="K35" s="20">
        <v>138</v>
      </c>
      <c r="L35" s="18">
        <v>269</v>
      </c>
      <c r="M35" s="18">
        <v>249</v>
      </c>
      <c r="N35" s="18">
        <v>299</v>
      </c>
      <c r="O35" s="18">
        <v>84</v>
      </c>
      <c r="P35" s="18">
        <v>240</v>
      </c>
      <c r="Q35" s="17">
        <v>7</v>
      </c>
      <c r="R35" s="17">
        <v>8</v>
      </c>
      <c r="S35" s="17">
        <v>0</v>
      </c>
      <c r="T35" s="17">
        <v>1</v>
      </c>
      <c r="U35" s="17">
        <v>2</v>
      </c>
      <c r="V35" s="3">
        <v>8</v>
      </c>
      <c r="W35" s="20">
        <v>54</v>
      </c>
      <c r="X35" s="17">
        <v>8</v>
      </c>
      <c r="Y35" s="17">
        <v>7</v>
      </c>
      <c r="Z35" s="17">
        <v>6</v>
      </c>
      <c r="AA35" s="20">
        <v>114</v>
      </c>
      <c r="AB35" s="3"/>
      <c r="AC35" s="3"/>
      <c r="AD35" s="20"/>
      <c r="AE35" s="3"/>
      <c r="AF35" s="3"/>
      <c r="AG35" s="20"/>
      <c r="AH35" s="107" t="s">
        <v>96</v>
      </c>
      <c r="AI35" s="107"/>
      <c r="AJ35" s="107"/>
      <c r="AK35" s="107"/>
      <c r="AL35" s="108"/>
      <c r="AN35" s="67">
        <f t="shared" si="2"/>
        <v>-2.0467503139395831</v>
      </c>
      <c r="AO35" s="67">
        <f t="shared" si="2"/>
        <v>-0.93850640810531161</v>
      </c>
      <c r="AP35" s="67">
        <f t="shared" si="2"/>
        <v>-1.5110307194237578</v>
      </c>
      <c r="AY35" s="67">
        <f t="shared" si="0"/>
        <v>301.04675031393958</v>
      </c>
      <c r="AZ35" s="67">
        <f t="shared" si="1"/>
        <v>84.938506408105312</v>
      </c>
      <c r="BA35" s="67">
        <f t="shared" si="3"/>
        <v>241.51103071942376</v>
      </c>
      <c r="BC35">
        <f t="shared" si="4"/>
        <v>35.442906055764126</v>
      </c>
      <c r="BD35">
        <v>1013.2</v>
      </c>
      <c r="BE35">
        <f t="shared" si="5"/>
        <v>31.480396167633955</v>
      </c>
    </row>
    <row r="36" spans="1:57" x14ac:dyDescent="0.2">
      <c r="A36" s="13">
        <v>27</v>
      </c>
      <c r="B36" s="3">
        <v>7</v>
      </c>
      <c r="C36" s="17">
        <v>7</v>
      </c>
      <c r="D36" s="3">
        <v>4</v>
      </c>
      <c r="E36" s="18">
        <v>7</v>
      </c>
      <c r="F36" s="18">
        <v>9</v>
      </c>
      <c r="G36" s="18">
        <v>63</v>
      </c>
      <c r="H36" s="19">
        <v>1</v>
      </c>
      <c r="I36" s="18">
        <v>15</v>
      </c>
      <c r="J36" s="18">
        <v>82</v>
      </c>
      <c r="K36" s="20">
        <v>138</v>
      </c>
      <c r="L36" s="18">
        <v>256</v>
      </c>
      <c r="M36" s="18">
        <v>245</v>
      </c>
      <c r="N36" s="18">
        <v>299</v>
      </c>
      <c r="O36" s="18">
        <v>91</v>
      </c>
      <c r="P36" s="18">
        <v>240</v>
      </c>
      <c r="Q36" s="17">
        <v>6</v>
      </c>
      <c r="R36" s="17">
        <v>8</v>
      </c>
      <c r="S36" s="17">
        <v>3</v>
      </c>
      <c r="T36" s="17">
        <v>1</v>
      </c>
      <c r="U36" s="17">
        <v>3</v>
      </c>
      <c r="V36" s="3">
        <v>8</v>
      </c>
      <c r="W36" s="20">
        <v>48</v>
      </c>
      <c r="X36" s="17">
        <v>8</v>
      </c>
      <c r="Y36" s="17">
        <v>4</v>
      </c>
      <c r="Z36" s="17">
        <v>6</v>
      </c>
      <c r="AA36" s="20">
        <v>105</v>
      </c>
      <c r="AB36" s="17">
        <v>5</v>
      </c>
      <c r="AC36" s="17">
        <v>3</v>
      </c>
      <c r="AD36" s="20">
        <v>210</v>
      </c>
      <c r="AE36" s="3"/>
      <c r="AF36" s="3"/>
      <c r="AG36" s="20"/>
      <c r="AH36" s="107" t="s">
        <v>183</v>
      </c>
      <c r="AI36" s="107"/>
      <c r="AJ36" s="107"/>
      <c r="AK36" s="107"/>
      <c r="AL36" s="108"/>
      <c r="AN36" s="67">
        <f t="shared" si="2"/>
        <v>-0.79889579267069166</v>
      </c>
      <c r="AO36" s="67">
        <f t="shared" si="2"/>
        <v>-0.3443277227769812</v>
      </c>
      <c r="AP36" s="67">
        <f t="shared" si="2"/>
        <v>-0.81964243134396497</v>
      </c>
      <c r="AY36" s="67">
        <f t="shared" si="0"/>
        <v>299.79889579267069</v>
      </c>
      <c r="AZ36" s="67">
        <f t="shared" si="1"/>
        <v>91.344327722776981</v>
      </c>
      <c r="BA36" s="67">
        <f t="shared" si="3"/>
        <v>240.81964243134396</v>
      </c>
      <c r="BC36">
        <f t="shared" si="4"/>
        <v>32.820745772253893</v>
      </c>
      <c r="BD36">
        <v>1013.2</v>
      </c>
      <c r="BE36">
        <f t="shared" si="5"/>
        <v>30.736197835927069</v>
      </c>
    </row>
    <row r="37" spans="1:57" x14ac:dyDescent="0.2">
      <c r="A37" s="13">
        <v>28</v>
      </c>
      <c r="B37" s="3">
        <v>7</v>
      </c>
      <c r="C37" s="17">
        <v>8</v>
      </c>
      <c r="D37" s="3">
        <v>4</v>
      </c>
      <c r="E37" s="18">
        <v>8</v>
      </c>
      <c r="F37" s="18">
        <v>18</v>
      </c>
      <c r="G37" s="18">
        <v>40</v>
      </c>
      <c r="H37" s="19">
        <v>1</v>
      </c>
      <c r="I37" s="18">
        <v>60</v>
      </c>
      <c r="J37" s="18">
        <v>88</v>
      </c>
      <c r="K37" s="20">
        <v>161</v>
      </c>
      <c r="L37" s="18">
        <v>230</v>
      </c>
      <c r="M37" s="18">
        <v>225</v>
      </c>
      <c r="N37" s="18">
        <v>270</v>
      </c>
      <c r="O37" s="18">
        <v>96</v>
      </c>
      <c r="P37" s="18">
        <v>223</v>
      </c>
      <c r="Q37" s="17">
        <v>8</v>
      </c>
      <c r="R37" s="17">
        <v>8</v>
      </c>
      <c r="S37" s="17" t="s">
        <v>89</v>
      </c>
      <c r="T37" s="17" t="s">
        <v>89</v>
      </c>
      <c r="U37" s="17">
        <v>6</v>
      </c>
      <c r="V37" s="3">
        <v>8</v>
      </c>
      <c r="W37" s="20">
        <v>42</v>
      </c>
      <c r="X37" s="17">
        <v>8</v>
      </c>
      <c r="Y37" s="17">
        <v>7</v>
      </c>
      <c r="Z37" s="17">
        <v>6</v>
      </c>
      <c r="AA37" s="20">
        <f>32*3</f>
        <v>96</v>
      </c>
      <c r="AB37" s="3"/>
      <c r="AC37" s="3"/>
      <c r="AD37" s="20"/>
      <c r="AE37" s="3"/>
      <c r="AF37" s="3"/>
      <c r="AG37" s="20"/>
      <c r="AH37" s="107" t="s">
        <v>191</v>
      </c>
      <c r="AI37" s="107"/>
      <c r="AJ37" s="107"/>
      <c r="AK37" s="107"/>
      <c r="AL37" s="108"/>
      <c r="AN37" s="67">
        <f t="shared" si="2"/>
        <v>1.0149677717917598</v>
      </c>
      <c r="AO37" s="67">
        <f t="shared" si="2"/>
        <v>0.21038508286189028</v>
      </c>
      <c r="AP37" s="67">
        <f t="shared" si="2"/>
        <v>0.10757855205440592</v>
      </c>
      <c r="AY37" s="67">
        <f t="shared" si="0"/>
        <v>268.98503222820824</v>
      </c>
      <c r="AZ37" s="67">
        <f t="shared" si="1"/>
        <v>95.78961491713811</v>
      </c>
      <c r="BA37" s="67">
        <f t="shared" si="3"/>
        <v>222.89242144794559</v>
      </c>
      <c r="BC37">
        <f t="shared" si="4"/>
        <v>28.080813610211415</v>
      </c>
      <c r="BD37">
        <v>1013.2</v>
      </c>
      <c r="BE37">
        <f t="shared" si="5"/>
        <v>27.241510684320826</v>
      </c>
    </row>
    <row r="38" spans="1:57" x14ac:dyDescent="0.2">
      <c r="A38" s="13">
        <v>29</v>
      </c>
      <c r="B38" s="3">
        <v>7</v>
      </c>
      <c r="C38" s="17">
        <v>8</v>
      </c>
      <c r="D38" s="3">
        <v>4</v>
      </c>
      <c r="E38" s="18">
        <v>8</v>
      </c>
      <c r="F38" s="18">
        <v>12</v>
      </c>
      <c r="G38" s="18">
        <v>58</v>
      </c>
      <c r="H38" s="19">
        <v>1</v>
      </c>
      <c r="I38" s="18">
        <v>80</v>
      </c>
      <c r="J38" s="18">
        <v>22</v>
      </c>
      <c r="K38" s="20">
        <v>150</v>
      </c>
      <c r="L38" s="18">
        <v>243</v>
      </c>
      <c r="M38" s="18">
        <v>233</v>
      </c>
      <c r="N38" s="18">
        <v>279</v>
      </c>
      <c r="O38" s="18">
        <v>93</v>
      </c>
      <c r="P38" s="18">
        <v>229</v>
      </c>
      <c r="Q38" s="17">
        <v>8</v>
      </c>
      <c r="R38" s="17">
        <v>8</v>
      </c>
      <c r="S38" s="17" t="s">
        <v>89</v>
      </c>
      <c r="T38" s="17" t="s">
        <v>89</v>
      </c>
      <c r="U38" s="17">
        <v>6</v>
      </c>
      <c r="V38" s="3">
        <v>8</v>
      </c>
      <c r="W38" s="20">
        <f>12*3</f>
        <v>36</v>
      </c>
      <c r="X38" s="17">
        <v>8</v>
      </c>
      <c r="Y38" s="17">
        <v>5</v>
      </c>
      <c r="Z38" s="17">
        <v>6</v>
      </c>
      <c r="AA38" s="20">
        <f>30*3</f>
        <v>90</v>
      </c>
      <c r="AB38" s="3"/>
      <c r="AC38" s="3"/>
      <c r="AD38" s="20"/>
      <c r="AE38" s="3"/>
      <c r="AF38" s="3"/>
      <c r="AG38" s="20"/>
      <c r="AH38" s="107" t="s">
        <v>200</v>
      </c>
      <c r="AI38" s="107"/>
      <c r="AJ38" s="107"/>
      <c r="AK38" s="107"/>
      <c r="AL38" s="108"/>
      <c r="AN38" s="67">
        <f t="shared" si="2"/>
        <v>-8.5658049243136247E-2</v>
      </c>
      <c r="AO38" s="67">
        <f t="shared" si="2"/>
        <v>1.1045436848321657</v>
      </c>
      <c r="AP38" s="67">
        <f t="shared" si="2"/>
        <v>4.1329404082489418E-2</v>
      </c>
      <c r="AY38" s="67">
        <f t="shared" si="0"/>
        <v>279.08565804924314</v>
      </c>
      <c r="AZ38" s="67">
        <f t="shared" si="1"/>
        <v>91.895456315167834</v>
      </c>
      <c r="BA38" s="67">
        <f t="shared" si="3"/>
        <v>228.95867059591751</v>
      </c>
      <c r="BC38">
        <f t="shared" si="4"/>
        <v>30.369908289271816</v>
      </c>
      <c r="BD38">
        <v>1013.2</v>
      </c>
      <c r="BE38">
        <f t="shared" si="5"/>
        <v>28.595195942964317</v>
      </c>
    </row>
    <row r="39" spans="1:57" x14ac:dyDescent="0.2">
      <c r="A39" s="13">
        <v>30</v>
      </c>
      <c r="B39" s="3">
        <v>7</v>
      </c>
      <c r="C39" s="17">
        <v>8</v>
      </c>
      <c r="D39" s="3">
        <v>4</v>
      </c>
      <c r="E39" s="18">
        <v>0</v>
      </c>
      <c r="F39" s="18">
        <v>0</v>
      </c>
      <c r="G39" s="18">
        <v>62</v>
      </c>
      <c r="H39" s="19">
        <v>1</v>
      </c>
      <c r="I39" s="18">
        <v>60</v>
      </c>
      <c r="J39" s="18">
        <v>22</v>
      </c>
      <c r="K39" s="20">
        <v>140</v>
      </c>
      <c r="L39" s="18">
        <v>258</v>
      </c>
      <c r="M39" s="18">
        <v>234</v>
      </c>
      <c r="N39" s="18">
        <v>270</v>
      </c>
      <c r="O39" s="18">
        <v>81</v>
      </c>
      <c r="P39" s="18">
        <v>223</v>
      </c>
      <c r="Q39" s="17">
        <v>8</v>
      </c>
      <c r="R39" s="17">
        <v>8</v>
      </c>
      <c r="S39" s="17" t="s">
        <v>89</v>
      </c>
      <c r="T39" s="17" t="s">
        <v>89</v>
      </c>
      <c r="U39" s="17">
        <v>5</v>
      </c>
      <c r="V39" s="3">
        <v>8</v>
      </c>
      <c r="W39" s="20">
        <v>54</v>
      </c>
      <c r="X39" s="17">
        <v>8</v>
      </c>
      <c r="Y39" s="17">
        <v>6</v>
      </c>
      <c r="Z39" s="17">
        <v>6</v>
      </c>
      <c r="AA39" s="20">
        <v>114</v>
      </c>
      <c r="AB39" s="3"/>
      <c r="AC39" s="3"/>
      <c r="AD39" s="20"/>
      <c r="AE39" s="3"/>
      <c r="AF39" s="3"/>
      <c r="AG39" s="20"/>
      <c r="AH39" s="107" t="s">
        <v>215</v>
      </c>
      <c r="AI39" s="107"/>
      <c r="AJ39" s="107"/>
      <c r="AK39" s="107"/>
      <c r="AL39" s="108"/>
      <c r="AN39" s="67">
        <f t="shared" si="2"/>
        <v>-1.2038435839356794</v>
      </c>
      <c r="AO39" s="67">
        <f t="shared" si="2"/>
        <v>-0.65652583087680227</v>
      </c>
      <c r="AP39" s="67">
        <f t="shared" si="2"/>
        <v>-1.2419028721638767</v>
      </c>
      <c r="AY39" s="67">
        <f t="shared" si="0"/>
        <v>271.20384358393568</v>
      </c>
      <c r="AZ39" s="67">
        <f t="shared" si="1"/>
        <v>81.656525830876802</v>
      </c>
      <c r="BA39" s="67">
        <f t="shared" si="3"/>
        <v>224.24190287216388</v>
      </c>
      <c r="BC39">
        <f t="shared" si="4"/>
        <v>33.212758052631393</v>
      </c>
      <c r="BD39">
        <v>1013.2</v>
      </c>
      <c r="BE39">
        <f t="shared" si="5"/>
        <v>28.768481254201571</v>
      </c>
    </row>
    <row r="40" spans="1:57" x14ac:dyDescent="0.2">
      <c r="A40" s="13"/>
      <c r="B40" s="3"/>
      <c r="C40" s="17"/>
      <c r="D40" s="3"/>
      <c r="E40" s="18"/>
      <c r="F40" s="18"/>
      <c r="G40" s="18"/>
      <c r="H40" s="19"/>
      <c r="I40" s="18"/>
      <c r="J40" s="18"/>
      <c r="K40" s="20"/>
      <c r="L40" s="18"/>
      <c r="M40" s="18"/>
      <c r="N40" s="18"/>
      <c r="O40" s="18"/>
      <c r="P40" s="18"/>
      <c r="Q40" s="17"/>
      <c r="R40" s="17"/>
      <c r="S40" s="17"/>
      <c r="T40" s="17"/>
      <c r="U40" s="17"/>
      <c r="V40" s="3"/>
      <c r="W40" s="20"/>
      <c r="X40" s="17"/>
      <c r="Y40" s="3"/>
      <c r="Z40" s="3"/>
      <c r="AA40" s="20"/>
      <c r="AB40" s="3"/>
      <c r="AC40" s="3"/>
      <c r="AD40" s="20"/>
      <c r="AE40" s="3"/>
      <c r="AF40" s="3"/>
      <c r="AG40" s="20"/>
      <c r="AH40" s="107"/>
      <c r="AI40" s="107"/>
      <c r="AJ40" s="107"/>
      <c r="AK40" s="107"/>
      <c r="AL40" s="108"/>
      <c r="AN40" s="67"/>
      <c r="AO40" s="67"/>
      <c r="AP40" s="67"/>
      <c r="AY40" s="67">
        <f t="shared" si="0"/>
        <v>61.120000000000005</v>
      </c>
      <c r="AZ40" s="67">
        <f t="shared" si="1"/>
        <v>100</v>
      </c>
      <c r="BA40" s="67">
        <f t="shared" si="3"/>
        <v>0</v>
      </c>
      <c r="BC40">
        <f t="shared" si="4"/>
        <v>6.1120000000000001</v>
      </c>
      <c r="BD40">
        <v>1013.2</v>
      </c>
      <c r="BE40">
        <f t="shared" si="5"/>
        <v>6.1120000000000001</v>
      </c>
    </row>
    <row r="41" spans="1:57" x14ac:dyDescent="0.2">
      <c r="A41" s="18"/>
      <c r="B41" s="3"/>
      <c r="C41" s="17"/>
      <c r="D41" s="3"/>
      <c r="E41" s="18"/>
      <c r="F41" s="18"/>
      <c r="G41" s="18"/>
      <c r="H41" s="19"/>
      <c r="I41" s="18"/>
      <c r="J41" s="18"/>
      <c r="K41" s="20"/>
      <c r="L41" s="18"/>
      <c r="M41" s="18"/>
      <c r="N41" s="18"/>
      <c r="O41" s="18"/>
      <c r="P41" s="18"/>
      <c r="Q41" s="17"/>
      <c r="R41" s="17"/>
      <c r="S41" s="17"/>
      <c r="T41" s="17"/>
      <c r="U41" s="17"/>
      <c r="V41" s="3"/>
      <c r="W41" s="20"/>
      <c r="X41" s="3"/>
      <c r="Y41" s="3"/>
      <c r="Z41" s="3"/>
      <c r="AA41" s="20"/>
      <c r="AB41" s="3"/>
      <c r="AC41" s="3"/>
      <c r="AD41" s="20"/>
      <c r="AE41" s="3"/>
      <c r="AF41" s="3"/>
      <c r="AG41" s="20"/>
      <c r="AH41" s="109" t="s">
        <v>232</v>
      </c>
      <c r="AI41" s="107"/>
      <c r="AJ41" s="107"/>
      <c r="AK41" s="107"/>
      <c r="AL41" s="108"/>
      <c r="AN41" s="67"/>
      <c r="AO41" s="67"/>
      <c r="AP41" s="67"/>
    </row>
    <row r="42" spans="1:57" x14ac:dyDescent="0.2">
      <c r="A42" s="13" t="s">
        <v>9</v>
      </c>
      <c r="B42" s="1"/>
      <c r="C42" s="21">
        <f>SUM(C10:C40)</f>
        <v>164</v>
      </c>
      <c r="D42" s="1"/>
      <c r="E42" s="13"/>
      <c r="F42" s="13">
        <f>SUM(F10:F40)</f>
        <v>258</v>
      </c>
      <c r="G42" s="13"/>
      <c r="H42" s="2"/>
      <c r="I42" s="13"/>
      <c r="J42" s="13"/>
      <c r="K42" s="22">
        <f t="shared" ref="K42:Q42" si="6">SUM(K10:K40)</f>
        <v>3968</v>
      </c>
      <c r="L42" s="13">
        <f t="shared" si="6"/>
        <v>7889</v>
      </c>
      <c r="M42" s="13">
        <f t="shared" si="6"/>
        <v>7259</v>
      </c>
      <c r="N42" s="13">
        <f t="shared" si="6"/>
        <v>8572</v>
      </c>
      <c r="O42" s="13">
        <f t="shared" si="6"/>
        <v>2509</v>
      </c>
      <c r="P42" s="13">
        <f t="shared" si="6"/>
        <v>6975</v>
      </c>
      <c r="Q42" s="21">
        <f t="shared" si="6"/>
        <v>129</v>
      </c>
      <c r="R42" s="21"/>
      <c r="S42" s="21"/>
      <c r="T42" s="21"/>
      <c r="U42" s="21"/>
      <c r="V42" s="1"/>
      <c r="W42" s="22"/>
      <c r="X42" s="1"/>
      <c r="Y42" s="1"/>
      <c r="Z42" s="1"/>
      <c r="AA42" s="22"/>
      <c r="AB42" s="1"/>
      <c r="AC42" s="1"/>
      <c r="AD42" s="22"/>
      <c r="AE42" s="1"/>
      <c r="AF42" s="1"/>
      <c r="AG42" s="22"/>
      <c r="AH42" s="116"/>
      <c r="AI42" s="116"/>
      <c r="AJ42" s="116"/>
      <c r="AK42" s="116"/>
      <c r="AL42" s="117"/>
      <c r="AN42" s="67"/>
      <c r="AO42" s="67"/>
      <c r="AP42" s="67"/>
    </row>
    <row r="43" spans="1:57" ht="13.5" thickBot="1" x14ac:dyDescent="0.25">
      <c r="A43" s="23" t="s">
        <v>10</v>
      </c>
      <c r="B43" s="24"/>
      <c r="C43" s="25">
        <f>AVERAGE(C10:C40)</f>
        <v>5.4666666666666668</v>
      </c>
      <c r="D43" s="24"/>
      <c r="E43" s="23">
        <f>MODE(E10:E40)</f>
        <v>8</v>
      </c>
      <c r="F43" s="23">
        <f>AVERAGE(F10:F40)</f>
        <v>8.6</v>
      </c>
      <c r="G43" s="23"/>
      <c r="H43" s="26"/>
      <c r="I43" s="23"/>
      <c r="J43" s="23"/>
      <c r="K43" s="27">
        <f>AVERAGE(K10:K40)</f>
        <v>132.26666666666668</v>
      </c>
      <c r="L43" s="23">
        <f t="shared" ref="L43:Q43" si="7">AVERAGE(L10:L40)</f>
        <v>262.96666666666664</v>
      </c>
      <c r="M43" s="23">
        <f t="shared" si="7"/>
        <v>241.96666666666667</v>
      </c>
      <c r="N43" s="23">
        <f t="shared" si="7"/>
        <v>285.73333333333335</v>
      </c>
      <c r="O43" s="23">
        <f t="shared" si="7"/>
        <v>83.63333333333334</v>
      </c>
      <c r="P43" s="23">
        <f>AVERAGE(P10:P40)</f>
        <v>232.5</v>
      </c>
      <c r="Q43" s="25">
        <f t="shared" si="7"/>
        <v>4.3</v>
      </c>
      <c r="R43" s="25"/>
      <c r="S43" s="25"/>
      <c r="T43" s="25"/>
      <c r="U43" s="25"/>
      <c r="V43" s="24"/>
      <c r="W43" s="27"/>
      <c r="X43" s="24"/>
      <c r="Y43" s="24"/>
      <c r="Z43" s="24"/>
      <c r="AA43" s="27"/>
      <c r="AB43" s="24"/>
      <c r="AC43" s="24"/>
      <c r="AD43" s="27"/>
      <c r="AE43" s="24"/>
      <c r="AF43" s="24"/>
      <c r="AG43" s="27"/>
      <c r="AH43" s="111"/>
      <c r="AI43" s="111"/>
      <c r="AJ43" s="111"/>
      <c r="AK43" s="111"/>
      <c r="AL43" s="112"/>
      <c r="AN43" s="67">
        <f>AVERAGE(AN10:AN40)</f>
        <v>-1.8693935199589116</v>
      </c>
      <c r="AO43" s="67">
        <f t="shared" ref="AO43:AP43" si="8">AVERAGE(AO10:AO40)</f>
        <v>-0.609577305965045</v>
      </c>
      <c r="AP43" s="67">
        <f t="shared" si="8"/>
        <v>-1.3049692645808828</v>
      </c>
    </row>
    <row r="44" spans="1:57" x14ac:dyDescent="0.2">
      <c r="E44" s="11"/>
      <c r="G44" s="11"/>
      <c r="K44" s="4"/>
      <c r="M44" s="11"/>
      <c r="P44" s="11"/>
      <c r="Q44" s="11"/>
      <c r="W44" s="4"/>
      <c r="AA44" s="4"/>
      <c r="AD44" s="4"/>
    </row>
    <row r="45" spans="1:57" x14ac:dyDescent="0.2">
      <c r="E45" s="11"/>
      <c r="G45" s="11"/>
      <c r="K45" s="4"/>
      <c r="M45" s="11"/>
      <c r="P45" s="11"/>
      <c r="Q45" s="11"/>
      <c r="W45" s="4"/>
      <c r="AA45" s="4"/>
    </row>
    <row r="46" spans="1:57" x14ac:dyDescent="0.2">
      <c r="E46" s="11"/>
      <c r="G46" s="11"/>
      <c r="M46" s="11"/>
      <c r="P46" s="11"/>
      <c r="Q46" s="11"/>
      <c r="W46" s="4"/>
      <c r="AA46" s="4"/>
    </row>
    <row r="47" spans="1:57" x14ac:dyDescent="0.2">
      <c r="E47" s="11"/>
      <c r="G47" s="11"/>
      <c r="M47" s="11"/>
      <c r="P47" s="11"/>
      <c r="Q47" s="11"/>
    </row>
    <row r="48" spans="1:57" x14ac:dyDescent="0.2">
      <c r="E48" s="11"/>
      <c r="G48" s="11"/>
      <c r="M48" s="11"/>
      <c r="P48" s="11"/>
      <c r="Q48" s="11"/>
    </row>
    <row r="49" spans="5:17" x14ac:dyDescent="0.2">
      <c r="E49" s="11"/>
      <c r="G49" s="11"/>
      <c r="M49" s="11"/>
      <c r="P49" s="11"/>
      <c r="Q49" s="11"/>
    </row>
  </sheetData>
  <mergeCells count="72">
    <mergeCell ref="AH41:AL41"/>
    <mergeCell ref="AH42:AL42"/>
    <mergeCell ref="AH43:AL43"/>
    <mergeCell ref="AH36:AL36"/>
    <mergeCell ref="AH37:AL37"/>
    <mergeCell ref="AH38:AL38"/>
    <mergeCell ref="AH39:AL39"/>
    <mergeCell ref="AH40:AL40"/>
    <mergeCell ref="AH31:AL31"/>
    <mergeCell ref="AH32:AL32"/>
    <mergeCell ref="AH33:AL33"/>
    <mergeCell ref="AH34:AL34"/>
    <mergeCell ref="AH35:AL35"/>
    <mergeCell ref="AH26:AL26"/>
    <mergeCell ref="AH27:AL27"/>
    <mergeCell ref="AH28:AL28"/>
    <mergeCell ref="AH29:AL29"/>
    <mergeCell ref="AH30:AL30"/>
    <mergeCell ref="AH21:AL21"/>
    <mergeCell ref="AH22:AL22"/>
    <mergeCell ref="AH23:AL23"/>
    <mergeCell ref="AH24:AL24"/>
    <mergeCell ref="AH25:AL25"/>
    <mergeCell ref="AH16:AL16"/>
    <mergeCell ref="AH17:AL17"/>
    <mergeCell ref="AH18:AL18"/>
    <mergeCell ref="AH19:AL19"/>
    <mergeCell ref="AH20:AL20"/>
    <mergeCell ref="AH11:AL11"/>
    <mergeCell ref="AH12:AL12"/>
    <mergeCell ref="AH13:AL13"/>
    <mergeCell ref="AH14:AL14"/>
    <mergeCell ref="AH15:AL15"/>
    <mergeCell ref="U8:W8"/>
    <mergeCell ref="X8:AA8"/>
    <mergeCell ref="AB8:AD8"/>
    <mergeCell ref="AE8:AG8"/>
    <mergeCell ref="AH10:AL10"/>
    <mergeCell ref="AH7:AL9"/>
    <mergeCell ref="P8:P9"/>
    <mergeCell ref="Q8:Q9"/>
    <mergeCell ref="R8:R9"/>
    <mergeCell ref="S8:S9"/>
    <mergeCell ref="T8:T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3:T3"/>
    <mergeCell ref="E7:F7"/>
    <mergeCell ref="L7:P7"/>
    <mergeCell ref="Q7:T7"/>
    <mergeCell ref="U7:AG7"/>
    <mergeCell ref="AN7:AP7"/>
    <mergeCell ref="AY7:BA7"/>
    <mergeCell ref="AN8:AN9"/>
    <mergeCell ref="AO8:AO9"/>
    <mergeCell ref="AP8:AP9"/>
    <mergeCell ref="AY8:AY9"/>
    <mergeCell ref="AZ8:AZ9"/>
    <mergeCell ref="BA8:BA9"/>
  </mergeCells>
  <phoneticPr fontId="2" type="noConversion"/>
  <dataValidations count="5">
    <dataValidation type="whole" allowBlank="1" showInputMessage="1" showErrorMessage="1" sqref="C10:C40" xr:uid="{00000000-0002-0000-0D00-000000000000}">
      <formula1>0</formula1>
      <formula2>9</formula2>
    </dataValidation>
    <dataValidation type="whole" allowBlank="1" showInputMessage="1" showErrorMessage="1" sqref="AE10:AE40" xr:uid="{00000000-0002-0000-0D00-000001000000}">
      <formula1>1</formula1>
      <formula2>9</formula2>
    </dataValidation>
    <dataValidation type="whole" allowBlank="1" showInputMessage="1" showErrorMessage="1" sqref="D10:D40" xr:uid="{00000000-0002-0000-0D00-000002000000}">
      <formula1>0</formula1>
      <formula2>4</formula2>
    </dataValidation>
    <dataValidation type="whole" allowBlank="1" showInputMessage="1" showErrorMessage="1" sqref="AB10:AB40" xr:uid="{00000000-0002-0000-0D00-000003000000}">
      <formula1>5</formula1>
      <formula2>9</formula2>
    </dataValidation>
    <dataValidation type="whole" allowBlank="1" showInputMessage="1" showErrorMessage="1" sqref="Y10:Y40" xr:uid="{00000000-0002-0000-0D00-000004000000}">
      <formula1>3</formula1>
      <formula2>9</formula2>
    </dataValidation>
  </dataValidations>
  <pageMargins left="0.75" right="0.75" top="1" bottom="1" header="0.5" footer="0.5"/>
  <pageSetup orientation="portrait" horizontalDpi="3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49"/>
  <sheetViews>
    <sheetView workbookViewId="0">
      <pane xSplit="2" ySplit="9" topLeftCell="C10" activePane="bottomRight" state="frozen"/>
      <selection activeCell="AM2" sqref="AM2"/>
      <selection pane="topRight" activeCell="AM2" sqref="AM2"/>
      <selection pane="bottomLeft" activeCell="AM2" sqref="AM2"/>
      <selection pane="bottomRight" activeCell="AI49" sqref="AI49"/>
    </sheetView>
  </sheetViews>
  <sheetFormatPr defaultRowHeight="12.75" x14ac:dyDescent="0.2"/>
  <cols>
    <col min="1" max="1" width="4.28515625" bestFit="1" customWidth="1"/>
    <col min="2" max="2" width="5.140625" bestFit="1" customWidth="1"/>
    <col min="3" max="3" width="4" bestFit="1" customWidth="1"/>
    <col min="4" max="5" width="3" bestFit="1" customWidth="1"/>
    <col min="6" max="6" width="4" bestFit="1" customWidth="1"/>
    <col min="7" max="10" width="3" bestFit="1" customWidth="1"/>
    <col min="11" max="11" width="8.5703125" bestFit="1" customWidth="1"/>
    <col min="12" max="16" width="5" bestFit="1" customWidth="1"/>
    <col min="17" max="22" width="3" bestFit="1" customWidth="1"/>
    <col min="23" max="23" width="5.28515625" bestFit="1" customWidth="1"/>
    <col min="24" max="26" width="3" bestFit="1" customWidth="1"/>
    <col min="27" max="27" width="5.28515625" bestFit="1" customWidth="1"/>
    <col min="28" max="29" width="3" bestFit="1" customWidth="1"/>
    <col min="30" max="30" width="5.28515625" bestFit="1" customWidth="1"/>
    <col min="31" max="32" width="3" bestFit="1" customWidth="1"/>
    <col min="33" max="33" width="5.28515625" bestFit="1" customWidth="1"/>
    <col min="34" max="34" width="5.42578125" customWidth="1"/>
    <col min="40" max="42" width="4.7109375" customWidth="1"/>
    <col min="50" max="58" width="0" hidden="1" customWidth="1"/>
  </cols>
  <sheetData>
    <row r="1" spans="1:5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  <c r="P1" s="1"/>
      <c r="Q1" s="1"/>
      <c r="R1" s="1"/>
    </row>
    <row r="2" spans="1:57" ht="36.75" customHeight="1" x14ac:dyDescent="0.2">
      <c r="A2" s="1"/>
      <c r="B2" s="1"/>
      <c r="C2" s="1"/>
      <c r="D2" s="1"/>
      <c r="E2" s="1"/>
      <c r="F2" s="1"/>
      <c r="G2" s="1"/>
      <c r="H2" s="1"/>
      <c r="I2" s="2"/>
      <c r="J2" s="2"/>
      <c r="K2" s="1"/>
      <c r="L2" s="1"/>
      <c r="M2" s="1"/>
      <c r="O2" s="2"/>
      <c r="P2" s="1"/>
      <c r="Q2" s="1"/>
      <c r="R2" s="1"/>
    </row>
    <row r="3" spans="1:5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80"/>
      <c r="Q3" s="80"/>
      <c r="R3" s="80"/>
      <c r="S3" s="80"/>
      <c r="T3" s="80"/>
    </row>
    <row r="4" spans="1:5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7" spans="1:57" ht="14.25" x14ac:dyDescent="0.25">
      <c r="A7" s="7"/>
      <c r="B7" s="7"/>
      <c r="C7" s="7"/>
      <c r="D7" s="7"/>
      <c r="E7" s="81" t="s">
        <v>20</v>
      </c>
      <c r="F7" s="81"/>
      <c r="G7" s="7"/>
      <c r="H7" s="7"/>
      <c r="I7" s="7"/>
      <c r="J7" s="7"/>
      <c r="K7" s="7"/>
      <c r="L7" s="82" t="s">
        <v>11</v>
      </c>
      <c r="M7" s="82"/>
      <c r="N7" s="82"/>
      <c r="O7" s="82"/>
      <c r="P7" s="82"/>
      <c r="Q7" s="83" t="s">
        <v>29</v>
      </c>
      <c r="R7" s="83"/>
      <c r="S7" s="83"/>
      <c r="T7" s="83"/>
      <c r="U7" s="84" t="s">
        <v>33</v>
      </c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98" t="s">
        <v>8</v>
      </c>
      <c r="AI7" s="99"/>
      <c r="AJ7" s="99"/>
      <c r="AK7" s="99"/>
      <c r="AL7" s="100"/>
      <c r="AN7" s="73" t="s">
        <v>80</v>
      </c>
      <c r="AO7" s="74"/>
      <c r="AP7" s="75"/>
      <c r="AY7" s="76" t="s">
        <v>81</v>
      </c>
      <c r="AZ7" s="77"/>
      <c r="BA7" s="78"/>
    </row>
    <row r="8" spans="1:57" ht="16.5" customHeight="1" x14ac:dyDescent="0.2">
      <c r="A8" s="85" t="s">
        <v>18</v>
      </c>
      <c r="B8" s="89" t="s">
        <v>19</v>
      </c>
      <c r="C8" s="90" t="s">
        <v>23</v>
      </c>
      <c r="D8" s="88" t="s">
        <v>24</v>
      </c>
      <c r="E8" s="91" t="s">
        <v>25</v>
      </c>
      <c r="F8" s="86" t="s">
        <v>26</v>
      </c>
      <c r="G8" s="88" t="s">
        <v>27</v>
      </c>
      <c r="H8" s="88" t="s">
        <v>0</v>
      </c>
      <c r="I8" s="88" t="s">
        <v>21</v>
      </c>
      <c r="J8" s="88" t="s">
        <v>22</v>
      </c>
      <c r="K8" s="85" t="s">
        <v>28</v>
      </c>
      <c r="L8" s="79" t="s">
        <v>1</v>
      </c>
      <c r="M8" s="79" t="s">
        <v>2</v>
      </c>
      <c r="N8" s="79" t="s">
        <v>3</v>
      </c>
      <c r="O8" s="79" t="s">
        <v>4</v>
      </c>
      <c r="P8" s="79" t="s">
        <v>5</v>
      </c>
      <c r="Q8" s="92" t="s">
        <v>34</v>
      </c>
      <c r="R8" s="92" t="s">
        <v>30</v>
      </c>
      <c r="S8" s="92" t="s">
        <v>31</v>
      </c>
      <c r="T8" s="92" t="s">
        <v>32</v>
      </c>
      <c r="U8" s="93" t="s">
        <v>38</v>
      </c>
      <c r="V8" s="93"/>
      <c r="W8" s="93"/>
      <c r="X8" s="93" t="s">
        <v>39</v>
      </c>
      <c r="Y8" s="93"/>
      <c r="Z8" s="93"/>
      <c r="AA8" s="93"/>
      <c r="AB8" s="93" t="s">
        <v>40</v>
      </c>
      <c r="AC8" s="93"/>
      <c r="AD8" s="93"/>
      <c r="AE8" s="93" t="s">
        <v>41</v>
      </c>
      <c r="AF8" s="94"/>
      <c r="AG8" s="95"/>
      <c r="AH8" s="101"/>
      <c r="AI8" s="102"/>
      <c r="AJ8" s="102"/>
      <c r="AK8" s="102"/>
      <c r="AL8" s="103"/>
      <c r="AN8" s="79" t="s">
        <v>3</v>
      </c>
      <c r="AO8" s="79" t="s">
        <v>4</v>
      </c>
      <c r="AP8" s="79" t="s">
        <v>5</v>
      </c>
      <c r="AY8" s="79" t="s">
        <v>3</v>
      </c>
      <c r="AZ8" s="79" t="s">
        <v>4</v>
      </c>
      <c r="BA8" s="79" t="s">
        <v>5</v>
      </c>
    </row>
    <row r="9" spans="1:57" s="3" customFormat="1" ht="72" customHeight="1" x14ac:dyDescent="0.2">
      <c r="A9" s="85"/>
      <c r="B9" s="89"/>
      <c r="C9" s="90"/>
      <c r="D9" s="88"/>
      <c r="E9" s="91"/>
      <c r="F9" s="87"/>
      <c r="G9" s="88"/>
      <c r="H9" s="88"/>
      <c r="I9" s="88"/>
      <c r="J9" s="88"/>
      <c r="K9" s="85"/>
      <c r="L9" s="79"/>
      <c r="M9" s="79"/>
      <c r="N9" s="79"/>
      <c r="O9" s="79"/>
      <c r="P9" s="79"/>
      <c r="Q9" s="92"/>
      <c r="R9" s="92"/>
      <c r="S9" s="92"/>
      <c r="T9" s="92"/>
      <c r="U9" s="8" t="s">
        <v>16</v>
      </c>
      <c r="V9" s="8" t="s">
        <v>6</v>
      </c>
      <c r="W9" s="9" t="s">
        <v>7</v>
      </c>
      <c r="X9" s="8" t="s">
        <v>17</v>
      </c>
      <c r="Y9" s="8" t="s">
        <v>16</v>
      </c>
      <c r="Z9" s="8" t="s">
        <v>6</v>
      </c>
      <c r="AA9" s="9" t="s">
        <v>7</v>
      </c>
      <c r="AB9" s="8" t="s">
        <v>16</v>
      </c>
      <c r="AC9" s="8" t="s">
        <v>6</v>
      </c>
      <c r="AD9" s="9" t="s">
        <v>7</v>
      </c>
      <c r="AE9" s="8" t="s">
        <v>16</v>
      </c>
      <c r="AF9" s="8" t="s">
        <v>6</v>
      </c>
      <c r="AG9" s="9" t="s">
        <v>7</v>
      </c>
      <c r="AH9" s="104"/>
      <c r="AI9" s="105"/>
      <c r="AJ9" s="105"/>
      <c r="AK9" s="105"/>
      <c r="AL9" s="106"/>
      <c r="AN9" s="79"/>
      <c r="AO9" s="79"/>
      <c r="AP9" s="79"/>
      <c r="AY9" s="79"/>
      <c r="AZ9" s="79"/>
      <c r="BA9" s="79"/>
      <c r="BC9" s="3" t="s">
        <v>82</v>
      </c>
      <c r="BD9" s="3" t="s">
        <v>83</v>
      </c>
      <c r="BE9" s="3" t="s">
        <v>84</v>
      </c>
    </row>
    <row r="10" spans="1:57" x14ac:dyDescent="0.2">
      <c r="A10" s="13">
        <v>1</v>
      </c>
      <c r="B10" s="3">
        <v>6</v>
      </c>
      <c r="C10" s="17">
        <v>4</v>
      </c>
      <c r="D10" s="3">
        <v>4</v>
      </c>
      <c r="E10" s="18">
        <v>8</v>
      </c>
      <c r="F10" s="18">
        <v>10</v>
      </c>
      <c r="G10" s="18">
        <v>75</v>
      </c>
      <c r="H10" s="19">
        <v>2</v>
      </c>
      <c r="I10" s="18"/>
      <c r="J10" s="18"/>
      <c r="K10" s="20">
        <v>132</v>
      </c>
      <c r="L10" s="18">
        <v>260</v>
      </c>
      <c r="M10" s="18">
        <v>244</v>
      </c>
      <c r="N10" s="18">
        <v>290</v>
      </c>
      <c r="O10" s="18">
        <v>86</v>
      </c>
      <c r="P10" s="18">
        <v>237</v>
      </c>
      <c r="Q10" s="17">
        <v>1</v>
      </c>
      <c r="R10" s="17">
        <v>1</v>
      </c>
      <c r="S10" s="17">
        <v>0</v>
      </c>
      <c r="T10" s="17">
        <v>1</v>
      </c>
      <c r="U10" s="17">
        <v>1</v>
      </c>
      <c r="V10" s="3">
        <v>8</v>
      </c>
      <c r="W10" s="20">
        <v>63</v>
      </c>
      <c r="X10" s="17">
        <v>8</v>
      </c>
      <c r="Y10" s="17">
        <v>4</v>
      </c>
      <c r="Z10" s="17">
        <v>0</v>
      </c>
      <c r="AA10" s="20">
        <v>840</v>
      </c>
      <c r="AB10" s="3"/>
      <c r="AC10" s="3"/>
      <c r="AD10" s="20"/>
      <c r="AE10" s="3"/>
      <c r="AF10" s="3"/>
      <c r="AG10" s="20"/>
      <c r="AH10" s="96"/>
      <c r="AI10" s="96"/>
      <c r="AJ10" s="96"/>
      <c r="AK10" s="96"/>
      <c r="AL10" s="97"/>
      <c r="AN10" s="67">
        <f>N10-AY10</f>
        <v>-4.5261081231645335</v>
      </c>
      <c r="AO10" s="67">
        <f>O10-AZ10</f>
        <v>-1.6334710083884545</v>
      </c>
      <c r="AP10" s="67">
        <f>P10-BA10</f>
        <v>-0.87008508389104122</v>
      </c>
      <c r="AY10" s="67">
        <f t="shared" ref="AY10:AY40" si="0">10*(BE10-BD10*((L10/10)-(M10/10))*0.00066*(1+(0.00115*(M10/10))))</f>
        <v>294.52610812316453</v>
      </c>
      <c r="AZ10" s="67">
        <f t="shared" ref="AZ10:AZ40" si="1">((AY10/10)*100)/BC10</f>
        <v>87.633471008388454</v>
      </c>
      <c r="BA10" s="67">
        <f>(243.5*LN((AY10/10)/6.112))/(17.67-LN((AY10/10)/6.112))*10</f>
        <v>237.87008508389104</v>
      </c>
      <c r="BC10">
        <f>6.112*2.718^((17.67*(L10/10))/((L10/10)+243.5))</f>
        <v>33.608860260136439</v>
      </c>
      <c r="BD10">
        <v>1013.2</v>
      </c>
      <c r="BE10">
        <f>6.112*2.718^((17.67*(M10/10))/((M10/10)+243.5))</f>
        <v>30.552572506268454</v>
      </c>
    </row>
    <row r="11" spans="1:57" x14ac:dyDescent="0.2">
      <c r="A11" s="13">
        <v>2</v>
      </c>
      <c r="B11" s="3">
        <v>6</v>
      </c>
      <c r="C11" s="17">
        <v>4</v>
      </c>
      <c r="D11" s="3">
        <v>4</v>
      </c>
      <c r="E11" s="18">
        <v>8</v>
      </c>
      <c r="F11" s="18">
        <v>11</v>
      </c>
      <c r="G11" s="18">
        <v>78</v>
      </c>
      <c r="H11" s="19">
        <v>2</v>
      </c>
      <c r="I11" s="18"/>
      <c r="J11" s="18"/>
      <c r="K11" s="20">
        <v>129</v>
      </c>
      <c r="L11" s="18">
        <v>262</v>
      </c>
      <c r="M11" s="18">
        <v>245</v>
      </c>
      <c r="N11" s="18">
        <v>294</v>
      </c>
      <c r="O11" s="18">
        <v>86</v>
      </c>
      <c r="P11" s="18">
        <v>237</v>
      </c>
      <c r="Q11" s="17">
        <v>4</v>
      </c>
      <c r="R11" s="17">
        <v>8</v>
      </c>
      <c r="S11" s="17">
        <v>0</v>
      </c>
      <c r="T11" s="17">
        <v>2</v>
      </c>
      <c r="U11" s="17">
        <v>4</v>
      </c>
      <c r="V11" s="3">
        <v>8</v>
      </c>
      <c r="W11" s="20">
        <v>60</v>
      </c>
      <c r="X11" s="17">
        <v>8</v>
      </c>
      <c r="Y11" s="3"/>
      <c r="Z11" s="3"/>
      <c r="AA11" s="20"/>
      <c r="AB11" s="3"/>
      <c r="AC11" s="3"/>
      <c r="AD11" s="20"/>
      <c r="AE11" s="3"/>
      <c r="AF11" s="3"/>
      <c r="AG11" s="20"/>
      <c r="AH11" s="107"/>
      <c r="AI11" s="107"/>
      <c r="AJ11" s="107"/>
      <c r="AK11" s="107"/>
      <c r="AL11" s="108"/>
      <c r="AN11" s="67">
        <f t="shared" ref="AN11:AP39" si="2">N11-AY11</f>
        <v>-1.6735780290706543</v>
      </c>
      <c r="AO11" s="67">
        <f t="shared" si="2"/>
        <v>-0.9395774495742728</v>
      </c>
      <c r="AP11" s="67">
        <f t="shared" si="2"/>
        <v>-1.5158849894353068</v>
      </c>
      <c r="AY11" s="67">
        <f t="shared" si="0"/>
        <v>295.67357802907065</v>
      </c>
      <c r="AZ11" s="67">
        <f t="shared" si="1"/>
        <v>86.939577449574273</v>
      </c>
      <c r="BA11" s="67">
        <f t="shared" ref="BA11:BA40" si="3">(243.5*LN((AY11/10)/6.112))/(17.67-LN((AY11/10)/6.112))*10</f>
        <v>238.51588498943531</v>
      </c>
      <c r="BC11">
        <f t="shared" ref="BC11:BC40" si="4">6.112*2.718^((17.67*(L11/10))/((L11/10)+243.5))</f>
        <v>34.009088461531107</v>
      </c>
      <c r="BD11">
        <v>1013.2</v>
      </c>
      <c r="BE11">
        <f t="shared" ref="BE11:BE40" si="5">6.112*2.718^((17.67*(M11/10))/((M11/10)+243.5))</f>
        <v>30.736197835927069</v>
      </c>
    </row>
    <row r="12" spans="1:57" x14ac:dyDescent="0.2">
      <c r="A12" s="13">
        <v>3</v>
      </c>
      <c r="B12" s="3">
        <v>6</v>
      </c>
      <c r="C12" s="17">
        <v>5</v>
      </c>
      <c r="D12" s="3">
        <v>4</v>
      </c>
      <c r="E12" s="18">
        <v>7</v>
      </c>
      <c r="F12" s="18">
        <v>5</v>
      </c>
      <c r="G12" s="18">
        <v>70</v>
      </c>
      <c r="H12" s="19">
        <v>1</v>
      </c>
      <c r="I12" s="18">
        <v>6</v>
      </c>
      <c r="J12" s="18">
        <v>11</v>
      </c>
      <c r="K12" s="20">
        <v>126</v>
      </c>
      <c r="L12" s="18">
        <v>255</v>
      </c>
      <c r="M12" s="18">
        <v>236</v>
      </c>
      <c r="N12" s="18">
        <v>276</v>
      </c>
      <c r="O12" s="18">
        <v>85</v>
      </c>
      <c r="P12" s="18">
        <v>227</v>
      </c>
      <c r="Q12" s="17">
        <v>1</v>
      </c>
      <c r="R12" s="17">
        <v>8</v>
      </c>
      <c r="S12" s="17">
        <v>0</v>
      </c>
      <c r="T12" s="17">
        <v>1</v>
      </c>
      <c r="U12" s="17">
        <v>1</v>
      </c>
      <c r="V12" s="3">
        <v>8</v>
      </c>
      <c r="W12" s="20">
        <v>57</v>
      </c>
      <c r="X12" s="17">
        <v>8</v>
      </c>
      <c r="Y12" s="17">
        <v>5</v>
      </c>
      <c r="Z12" s="17">
        <v>0</v>
      </c>
      <c r="AA12" s="20">
        <v>840</v>
      </c>
      <c r="AB12" s="3"/>
      <c r="AC12" s="3"/>
      <c r="AD12" s="20"/>
      <c r="AE12" s="3"/>
      <c r="AF12" s="3"/>
      <c r="AG12" s="20"/>
      <c r="AH12" s="107" t="s">
        <v>85</v>
      </c>
      <c r="AI12" s="107"/>
      <c r="AJ12" s="107"/>
      <c r="AK12" s="107"/>
      <c r="AL12" s="108"/>
      <c r="AN12" s="67">
        <f t="shared" si="2"/>
        <v>-2.127777553553301</v>
      </c>
      <c r="AO12" s="67">
        <f t="shared" si="2"/>
        <v>-0.24659559503345463</v>
      </c>
      <c r="AP12" s="67">
        <f t="shared" si="2"/>
        <v>-1.3917174275323987</v>
      </c>
      <c r="AY12" s="67">
        <f t="shared" si="0"/>
        <v>278.1277775535533</v>
      </c>
      <c r="AZ12" s="67">
        <f t="shared" si="1"/>
        <v>85.246595595033455</v>
      </c>
      <c r="BA12" s="67">
        <f t="shared" si="3"/>
        <v>228.3917174275324</v>
      </c>
      <c r="BC12">
        <f t="shared" si="4"/>
        <v>32.626262153014039</v>
      </c>
      <c r="BD12">
        <v>1013.2</v>
      </c>
      <c r="BE12">
        <f t="shared" si="5"/>
        <v>29.117813358347327</v>
      </c>
    </row>
    <row r="13" spans="1:57" x14ac:dyDescent="0.2">
      <c r="A13" s="13">
        <v>4</v>
      </c>
      <c r="B13" s="3">
        <v>6</v>
      </c>
      <c r="C13" s="17">
        <v>6</v>
      </c>
      <c r="D13" s="3">
        <v>4</v>
      </c>
      <c r="E13" s="18">
        <v>0</v>
      </c>
      <c r="F13" s="18">
        <v>0</v>
      </c>
      <c r="G13" s="18">
        <v>75</v>
      </c>
      <c r="H13" s="19">
        <v>2</v>
      </c>
      <c r="I13" s="18"/>
      <c r="J13" s="18"/>
      <c r="K13" s="20">
        <v>134</v>
      </c>
      <c r="L13" s="18">
        <v>254</v>
      </c>
      <c r="M13" s="18">
        <v>240</v>
      </c>
      <c r="N13" s="18">
        <v>288</v>
      </c>
      <c r="O13" s="18">
        <v>89</v>
      </c>
      <c r="P13" s="18">
        <v>234</v>
      </c>
      <c r="Q13" s="17">
        <v>2</v>
      </c>
      <c r="R13" s="17">
        <v>2</v>
      </c>
      <c r="S13" s="17">
        <v>0</v>
      </c>
      <c r="T13" s="17">
        <v>1</v>
      </c>
      <c r="U13" s="17">
        <v>2</v>
      </c>
      <c r="V13" s="3">
        <v>8</v>
      </c>
      <c r="W13" s="20">
        <v>54</v>
      </c>
      <c r="X13" s="17">
        <v>8</v>
      </c>
      <c r="Y13" s="17">
        <v>5</v>
      </c>
      <c r="Z13" s="17">
        <v>0</v>
      </c>
      <c r="AA13" s="20">
        <v>870</v>
      </c>
      <c r="AB13" s="3"/>
      <c r="AC13" s="3"/>
      <c r="AD13" s="20"/>
      <c r="AE13" s="3"/>
      <c r="AF13" s="3"/>
      <c r="AG13" s="20"/>
      <c r="AH13" s="107"/>
      <c r="AI13" s="107"/>
      <c r="AJ13" s="107"/>
      <c r="AK13" s="107"/>
      <c r="AL13" s="108"/>
      <c r="AN13" s="67">
        <f t="shared" si="2"/>
        <v>-0.65603882622065157</v>
      </c>
      <c r="AO13" s="67">
        <f t="shared" si="2"/>
        <v>-1.3039711715379099E-3</v>
      </c>
      <c r="AP13" s="67">
        <f t="shared" si="2"/>
        <v>-0.5315106910884424</v>
      </c>
      <c r="AY13" s="67">
        <f t="shared" si="0"/>
        <v>288.65603882622065</v>
      </c>
      <c r="AZ13" s="67">
        <f t="shared" si="1"/>
        <v>89.001303971171538</v>
      </c>
      <c r="BA13" s="67">
        <f t="shared" si="3"/>
        <v>234.53151069108844</v>
      </c>
      <c r="BC13">
        <f t="shared" si="4"/>
        <v>32.432787604968055</v>
      </c>
      <c r="BD13">
        <v>1013.2</v>
      </c>
      <c r="BE13">
        <f t="shared" si="5"/>
        <v>29.827639714302066</v>
      </c>
    </row>
    <row r="14" spans="1:57" x14ac:dyDescent="0.2">
      <c r="A14" s="13">
        <v>5</v>
      </c>
      <c r="B14" s="3">
        <v>6</v>
      </c>
      <c r="C14" s="17">
        <v>3</v>
      </c>
      <c r="D14" s="3">
        <v>4</v>
      </c>
      <c r="E14" s="18">
        <v>10</v>
      </c>
      <c r="F14" s="18">
        <v>13</v>
      </c>
      <c r="G14" s="18">
        <v>80</v>
      </c>
      <c r="H14" s="19">
        <v>2</v>
      </c>
      <c r="I14" s="18"/>
      <c r="J14" s="18"/>
      <c r="K14" s="20">
        <v>137</v>
      </c>
      <c r="L14" s="18">
        <v>265</v>
      </c>
      <c r="M14" s="18">
        <v>245</v>
      </c>
      <c r="N14" s="18">
        <v>291</v>
      </c>
      <c r="O14" s="18">
        <v>84</v>
      </c>
      <c r="P14" s="18">
        <v>236</v>
      </c>
      <c r="Q14" s="17">
        <v>2</v>
      </c>
      <c r="R14" s="17">
        <v>2</v>
      </c>
      <c r="S14" s="17">
        <v>0</v>
      </c>
      <c r="T14" s="17">
        <v>1</v>
      </c>
      <c r="U14" s="17">
        <v>2</v>
      </c>
      <c r="V14" s="3">
        <v>8</v>
      </c>
      <c r="W14" s="20">
        <v>60</v>
      </c>
      <c r="X14" s="17">
        <v>8</v>
      </c>
      <c r="Y14" s="17">
        <v>3</v>
      </c>
      <c r="Z14" s="17">
        <v>0</v>
      </c>
      <c r="AA14" s="20">
        <v>840</v>
      </c>
      <c r="AB14" s="3"/>
      <c r="AC14" s="3"/>
      <c r="AD14" s="20"/>
      <c r="AE14" s="3"/>
      <c r="AF14" s="3"/>
      <c r="AG14" s="20"/>
      <c r="AH14" s="107"/>
      <c r="AI14" s="107"/>
      <c r="AJ14" s="107"/>
      <c r="AK14" s="107"/>
      <c r="AL14" s="108"/>
      <c r="AN14" s="67">
        <f t="shared" si="2"/>
        <v>-2.6109191472706925</v>
      </c>
      <c r="AO14" s="67">
        <f t="shared" si="2"/>
        <v>-0.81637005629677617</v>
      </c>
      <c r="AP14" s="67">
        <f t="shared" si="2"/>
        <v>-1.3534322275399404</v>
      </c>
      <c r="AY14" s="67">
        <f t="shared" si="0"/>
        <v>293.61091914727069</v>
      </c>
      <c r="AZ14" s="67">
        <f t="shared" si="1"/>
        <v>84.816370056296776</v>
      </c>
      <c r="BA14" s="67">
        <f t="shared" si="3"/>
        <v>237.35343222753994</v>
      </c>
      <c r="BC14">
        <f t="shared" si="4"/>
        <v>34.617246523564582</v>
      </c>
      <c r="BD14">
        <v>1013.2</v>
      </c>
      <c r="BE14">
        <f t="shared" si="5"/>
        <v>30.736197835927069</v>
      </c>
    </row>
    <row r="15" spans="1:57" x14ac:dyDescent="0.2">
      <c r="A15" s="13">
        <v>6</v>
      </c>
      <c r="B15" s="3">
        <v>6</v>
      </c>
      <c r="C15" s="17">
        <v>2</v>
      </c>
      <c r="D15" s="3">
        <v>4</v>
      </c>
      <c r="E15" s="18">
        <v>10</v>
      </c>
      <c r="F15" s="18">
        <v>14</v>
      </c>
      <c r="G15" s="18">
        <v>78</v>
      </c>
      <c r="H15" s="19">
        <v>2</v>
      </c>
      <c r="I15" s="18"/>
      <c r="J15" s="18"/>
      <c r="K15" s="20">
        <v>128</v>
      </c>
      <c r="L15" s="18">
        <v>265</v>
      </c>
      <c r="M15" s="18">
        <v>243</v>
      </c>
      <c r="N15" s="18">
        <v>287</v>
      </c>
      <c r="O15" s="18">
        <v>83</v>
      </c>
      <c r="P15" s="18">
        <v>233</v>
      </c>
      <c r="Q15" s="17">
        <v>2</v>
      </c>
      <c r="R15" s="17">
        <v>2</v>
      </c>
      <c r="S15" s="17">
        <v>0</v>
      </c>
      <c r="T15" s="17">
        <v>1</v>
      </c>
      <c r="U15" s="17">
        <v>2</v>
      </c>
      <c r="V15" s="3">
        <v>8</v>
      </c>
      <c r="W15" s="20">
        <v>60</v>
      </c>
      <c r="X15" s="17">
        <v>8</v>
      </c>
      <c r="Y15" s="3"/>
      <c r="Z15" s="3"/>
      <c r="AA15" s="20"/>
      <c r="AB15" s="3"/>
      <c r="AC15" s="3"/>
      <c r="AD15" s="20"/>
      <c r="AE15" s="3"/>
      <c r="AF15" s="3"/>
      <c r="AG15" s="20"/>
      <c r="AH15" s="107"/>
      <c r="AI15" s="107"/>
      <c r="AJ15" s="107"/>
      <c r="AK15" s="107"/>
      <c r="AL15" s="108"/>
      <c r="AN15" s="67">
        <f t="shared" si="2"/>
        <v>-1.5763014422381616</v>
      </c>
      <c r="AO15" s="67">
        <f t="shared" si="2"/>
        <v>-0.36200316966258583</v>
      </c>
      <c r="AP15" s="67">
        <f t="shared" si="2"/>
        <v>-1.485752539740929</v>
      </c>
      <c r="AY15" s="67">
        <f t="shared" si="0"/>
        <v>288.57630144223816</v>
      </c>
      <c r="AZ15" s="67">
        <f t="shared" si="1"/>
        <v>83.362003169662586</v>
      </c>
      <c r="BA15" s="67">
        <f t="shared" si="3"/>
        <v>234.48575253974093</v>
      </c>
      <c r="BC15">
        <f t="shared" si="4"/>
        <v>34.617246523564582</v>
      </c>
      <c r="BD15">
        <v>1013.2</v>
      </c>
      <c r="BE15">
        <f t="shared" si="5"/>
        <v>30.369908289271816</v>
      </c>
    </row>
    <row r="16" spans="1:57" x14ac:dyDescent="0.2">
      <c r="A16" s="13">
        <v>7</v>
      </c>
      <c r="B16" s="3">
        <v>6</v>
      </c>
      <c r="C16" s="17">
        <v>6</v>
      </c>
      <c r="D16" s="3">
        <v>4</v>
      </c>
      <c r="E16" s="18">
        <v>9</v>
      </c>
      <c r="F16" s="18">
        <v>10</v>
      </c>
      <c r="G16" s="18">
        <v>70</v>
      </c>
      <c r="H16" s="19">
        <v>1</v>
      </c>
      <c r="I16" s="18">
        <v>5</v>
      </c>
      <c r="J16" s="18">
        <v>11</v>
      </c>
      <c r="K16" s="20">
        <v>119</v>
      </c>
      <c r="L16" s="18">
        <v>260</v>
      </c>
      <c r="M16" s="18">
        <v>237</v>
      </c>
      <c r="N16" s="18">
        <v>275</v>
      </c>
      <c r="O16" s="18">
        <v>71</v>
      </c>
      <c r="P16" s="18">
        <v>226</v>
      </c>
      <c r="Q16" s="17">
        <v>1</v>
      </c>
      <c r="R16" s="17">
        <v>2</v>
      </c>
      <c r="S16" s="17">
        <v>0</v>
      </c>
      <c r="T16" s="17">
        <v>1</v>
      </c>
      <c r="U16" s="17">
        <v>1</v>
      </c>
      <c r="V16" s="3">
        <v>8</v>
      </c>
      <c r="W16" s="20">
        <v>60</v>
      </c>
      <c r="X16" s="17">
        <v>8</v>
      </c>
      <c r="Y16" s="17">
        <v>6</v>
      </c>
      <c r="Z16" s="17">
        <v>0</v>
      </c>
      <c r="AA16" s="20">
        <v>840</v>
      </c>
      <c r="AB16" s="3"/>
      <c r="AC16" s="3"/>
      <c r="AD16" s="20"/>
      <c r="AE16" s="3"/>
      <c r="AF16" s="3"/>
      <c r="AG16" s="20"/>
      <c r="AH16" s="107" t="s">
        <v>85</v>
      </c>
      <c r="AI16" s="107"/>
      <c r="AJ16" s="107"/>
      <c r="AK16" s="107"/>
      <c r="AL16" s="108"/>
      <c r="AN16" s="67">
        <f t="shared" si="2"/>
        <v>-2.139116155554575</v>
      </c>
      <c r="AO16" s="67">
        <f t="shared" si="2"/>
        <v>-11.460135217459325</v>
      </c>
      <c r="AP16" s="67">
        <f t="shared" si="2"/>
        <v>-1.8047485100318568</v>
      </c>
      <c r="AY16" s="67">
        <f t="shared" si="0"/>
        <v>277.13911615555458</v>
      </c>
      <c r="AZ16" s="67">
        <f t="shared" si="1"/>
        <v>82.460135217459325</v>
      </c>
      <c r="BA16" s="67">
        <f t="shared" si="3"/>
        <v>227.80474851003186</v>
      </c>
      <c r="BC16">
        <f t="shared" si="4"/>
        <v>33.608860260136439</v>
      </c>
      <c r="BD16">
        <v>1013.2</v>
      </c>
      <c r="BE16">
        <f t="shared" si="5"/>
        <v>29.293868430343458</v>
      </c>
    </row>
    <row r="17" spans="1:57" x14ac:dyDescent="0.2">
      <c r="A17" s="13">
        <v>8</v>
      </c>
      <c r="B17" s="3">
        <v>6</v>
      </c>
      <c r="C17" s="17">
        <v>2</v>
      </c>
      <c r="D17" s="3">
        <v>4</v>
      </c>
      <c r="E17" s="18">
        <v>10</v>
      </c>
      <c r="F17" s="18">
        <v>14</v>
      </c>
      <c r="G17" s="18">
        <v>78</v>
      </c>
      <c r="H17" s="19">
        <v>2</v>
      </c>
      <c r="I17" s="18"/>
      <c r="J17" s="18"/>
      <c r="K17" s="20">
        <v>123</v>
      </c>
      <c r="L17" s="18">
        <v>265</v>
      </c>
      <c r="M17" s="18">
        <v>237</v>
      </c>
      <c r="N17" s="18">
        <v>271</v>
      </c>
      <c r="O17" s="18">
        <v>78</v>
      </c>
      <c r="P17" s="18">
        <v>224</v>
      </c>
      <c r="Q17" s="17">
        <v>2</v>
      </c>
      <c r="R17" s="17">
        <v>8</v>
      </c>
      <c r="S17" s="17">
        <v>0</v>
      </c>
      <c r="T17" s="17">
        <v>0</v>
      </c>
      <c r="U17" s="17">
        <v>2</v>
      </c>
      <c r="V17" s="3">
        <v>8</v>
      </c>
      <c r="W17" s="20">
        <v>69</v>
      </c>
      <c r="X17" s="17">
        <v>8</v>
      </c>
      <c r="Y17" s="3"/>
      <c r="Z17" s="3"/>
      <c r="AA17" s="20"/>
      <c r="AB17" s="3"/>
      <c r="AC17" s="3"/>
      <c r="AD17" s="20"/>
      <c r="AE17" s="3"/>
      <c r="AF17" s="3"/>
      <c r="AG17" s="20"/>
      <c r="AH17" s="107"/>
      <c r="AI17" s="107"/>
      <c r="AJ17" s="107"/>
      <c r="AK17" s="107"/>
      <c r="AL17" s="108"/>
      <c r="AN17" s="67">
        <f t="shared" si="2"/>
        <v>-2.704427427754581</v>
      </c>
      <c r="AO17" s="67">
        <f t="shared" si="2"/>
        <v>-1.0659150898784162</v>
      </c>
      <c r="AP17" s="67">
        <f t="shared" si="2"/>
        <v>-1.7512101423430408</v>
      </c>
      <c r="AY17" s="67">
        <f t="shared" si="0"/>
        <v>273.70442742775458</v>
      </c>
      <c r="AZ17" s="67">
        <f t="shared" si="1"/>
        <v>79.065915089878416</v>
      </c>
      <c r="BA17" s="67">
        <f t="shared" si="3"/>
        <v>225.75121014234304</v>
      </c>
      <c r="BC17">
        <f t="shared" si="4"/>
        <v>34.617246523564582</v>
      </c>
      <c r="BD17">
        <v>1013.2</v>
      </c>
      <c r="BE17">
        <f t="shared" si="5"/>
        <v>29.293868430343458</v>
      </c>
    </row>
    <row r="18" spans="1:57" x14ac:dyDescent="0.2">
      <c r="A18" s="13">
        <v>9</v>
      </c>
      <c r="B18" s="3">
        <v>6</v>
      </c>
      <c r="C18" s="17">
        <v>3</v>
      </c>
      <c r="D18" s="3">
        <v>4</v>
      </c>
      <c r="E18" s="18">
        <v>11</v>
      </c>
      <c r="F18" s="18">
        <v>14</v>
      </c>
      <c r="G18" s="18">
        <v>72</v>
      </c>
      <c r="H18" s="19">
        <v>1</v>
      </c>
      <c r="I18" s="18">
        <v>5</v>
      </c>
      <c r="J18" s="18">
        <v>0</v>
      </c>
      <c r="K18" s="20">
        <v>124</v>
      </c>
      <c r="L18" s="18">
        <v>270</v>
      </c>
      <c r="M18" s="18">
        <v>245</v>
      </c>
      <c r="N18" s="18">
        <v>288</v>
      </c>
      <c r="O18" s="18">
        <v>81</v>
      </c>
      <c r="P18" s="18">
        <v>234</v>
      </c>
      <c r="Q18" s="17">
        <v>2</v>
      </c>
      <c r="R18" s="17">
        <v>2</v>
      </c>
      <c r="S18" s="17">
        <v>0</v>
      </c>
      <c r="T18" s="17">
        <v>1</v>
      </c>
      <c r="U18" s="17">
        <v>2</v>
      </c>
      <c r="V18" s="3">
        <v>8</v>
      </c>
      <c r="W18" s="20">
        <v>60</v>
      </c>
      <c r="X18" s="17">
        <v>8</v>
      </c>
      <c r="Y18" s="3"/>
      <c r="Z18" s="3"/>
      <c r="AA18" s="20"/>
      <c r="AB18" s="3"/>
      <c r="AC18" s="3"/>
      <c r="AD18" s="20"/>
      <c r="AE18" s="3"/>
      <c r="AF18" s="3"/>
      <c r="AG18" s="20"/>
      <c r="AH18" s="107" t="s">
        <v>85</v>
      </c>
      <c r="AI18" s="107"/>
      <c r="AJ18" s="107"/>
      <c r="AK18" s="107"/>
      <c r="AL18" s="108"/>
      <c r="AN18" s="67">
        <f t="shared" si="2"/>
        <v>-2.1731543442706993</v>
      </c>
      <c r="AO18" s="67">
        <f t="shared" si="2"/>
        <v>-0.39044762522162557</v>
      </c>
      <c r="AP18" s="67">
        <f t="shared" si="2"/>
        <v>-1.4000211914740817</v>
      </c>
      <c r="AY18" s="67">
        <f t="shared" si="0"/>
        <v>290.1731543442707</v>
      </c>
      <c r="AZ18" s="67">
        <f t="shared" si="1"/>
        <v>81.390447625221626</v>
      </c>
      <c r="BA18" s="67">
        <f t="shared" si="3"/>
        <v>235.40002119147408</v>
      </c>
      <c r="BC18">
        <f t="shared" si="4"/>
        <v>35.651991457330503</v>
      </c>
      <c r="BD18">
        <v>1013.2</v>
      </c>
      <c r="BE18">
        <f t="shared" si="5"/>
        <v>30.736197835927069</v>
      </c>
    </row>
    <row r="19" spans="1:57" x14ac:dyDescent="0.2">
      <c r="A19" s="13">
        <v>10</v>
      </c>
      <c r="B19" s="3">
        <v>6</v>
      </c>
      <c r="C19" s="17">
        <v>7</v>
      </c>
      <c r="D19" s="3">
        <v>4</v>
      </c>
      <c r="E19" s="18">
        <v>7</v>
      </c>
      <c r="F19" s="18">
        <v>6</v>
      </c>
      <c r="G19" s="18">
        <v>75</v>
      </c>
      <c r="H19" s="19">
        <v>2</v>
      </c>
      <c r="I19" s="18"/>
      <c r="J19" s="18"/>
      <c r="K19" s="20">
        <v>113</v>
      </c>
      <c r="L19" s="18">
        <v>260</v>
      </c>
      <c r="M19" s="18">
        <v>246</v>
      </c>
      <c r="N19" s="18">
        <v>299</v>
      </c>
      <c r="O19" s="18">
        <v>89</v>
      </c>
      <c r="P19" s="18">
        <v>240</v>
      </c>
      <c r="Q19" s="17">
        <v>2</v>
      </c>
      <c r="R19" s="17">
        <v>2</v>
      </c>
      <c r="S19" s="17">
        <v>0</v>
      </c>
      <c r="T19" s="17">
        <v>2</v>
      </c>
      <c r="U19" s="17">
        <v>2</v>
      </c>
      <c r="V19" s="3">
        <v>8</v>
      </c>
      <c r="W19" s="20">
        <v>60</v>
      </c>
      <c r="X19" s="17">
        <v>8</v>
      </c>
      <c r="Y19" s="17">
        <v>6</v>
      </c>
      <c r="Z19" s="17">
        <v>0</v>
      </c>
      <c r="AA19" s="20">
        <v>840</v>
      </c>
      <c r="AB19" s="3"/>
      <c r="AC19" s="3"/>
      <c r="AD19" s="20"/>
      <c r="AE19" s="3"/>
      <c r="AF19" s="3"/>
      <c r="AG19" s="20"/>
      <c r="AH19" s="107"/>
      <c r="AI19" s="107"/>
      <c r="AJ19" s="107"/>
      <c r="AK19" s="107"/>
      <c r="AL19" s="108"/>
      <c r="AN19" s="67">
        <f t="shared" si="2"/>
        <v>-0.58106753620972995</v>
      </c>
      <c r="AO19" s="67">
        <f t="shared" si="2"/>
        <v>-0.13752659787266452</v>
      </c>
      <c r="AP19" s="67">
        <f t="shared" si="2"/>
        <v>-0.69869391694771821</v>
      </c>
      <c r="AY19" s="67">
        <f t="shared" si="0"/>
        <v>299.58106753620973</v>
      </c>
      <c r="AZ19" s="67">
        <f t="shared" si="1"/>
        <v>89.137526597872665</v>
      </c>
      <c r="BA19" s="67">
        <f t="shared" si="3"/>
        <v>240.69869391694772</v>
      </c>
      <c r="BC19">
        <f t="shared" si="4"/>
        <v>33.608860260136439</v>
      </c>
      <c r="BD19">
        <v>1013.2</v>
      </c>
      <c r="BE19">
        <f t="shared" si="5"/>
        <v>30.920788561092973</v>
      </c>
    </row>
    <row r="20" spans="1:57" x14ac:dyDescent="0.2">
      <c r="A20" s="13">
        <v>11</v>
      </c>
      <c r="B20" s="3">
        <v>6</v>
      </c>
      <c r="C20" s="17">
        <v>3</v>
      </c>
      <c r="D20" s="3">
        <v>4</v>
      </c>
      <c r="E20" s="18">
        <v>0</v>
      </c>
      <c r="F20" s="18">
        <v>0</v>
      </c>
      <c r="G20" s="18">
        <v>70</v>
      </c>
      <c r="H20" s="19">
        <v>1</v>
      </c>
      <c r="I20" s="18">
        <v>5</v>
      </c>
      <c r="J20" s="18">
        <v>0</v>
      </c>
      <c r="K20" s="20">
        <v>99</v>
      </c>
      <c r="L20" s="18">
        <v>250</v>
      </c>
      <c r="M20" s="18">
        <v>237</v>
      </c>
      <c r="N20" s="18">
        <v>283</v>
      </c>
      <c r="O20" s="18">
        <v>89</v>
      </c>
      <c r="P20" s="18">
        <v>231</v>
      </c>
      <c r="Q20" s="17">
        <v>1</v>
      </c>
      <c r="R20" s="17">
        <v>2</v>
      </c>
      <c r="S20" s="17">
        <v>0</v>
      </c>
      <c r="T20" s="17">
        <v>1</v>
      </c>
      <c r="U20" s="17">
        <v>1</v>
      </c>
      <c r="V20" s="3">
        <v>8</v>
      </c>
      <c r="W20" s="20">
        <v>60</v>
      </c>
      <c r="X20" s="17">
        <v>8</v>
      </c>
      <c r="Y20" s="17">
        <v>3</v>
      </c>
      <c r="Z20" s="17">
        <v>0</v>
      </c>
      <c r="AA20" s="20">
        <v>900</v>
      </c>
      <c r="AB20" s="3"/>
      <c r="AC20" s="3"/>
      <c r="AD20" s="20"/>
      <c r="AE20" s="3"/>
      <c r="AF20" s="3"/>
      <c r="AG20" s="20"/>
      <c r="AH20" s="107" t="s">
        <v>85</v>
      </c>
      <c r="AI20" s="107"/>
      <c r="AJ20" s="107"/>
      <c r="AK20" s="107"/>
      <c r="AL20" s="108"/>
      <c r="AN20" s="67">
        <f t="shared" si="2"/>
        <v>-1.008493611154563</v>
      </c>
      <c r="AO20" s="67">
        <f t="shared" si="2"/>
        <v>-0.68059163931008015</v>
      </c>
      <c r="AP20" s="67">
        <f t="shared" si="2"/>
        <v>-0.84579331775057653</v>
      </c>
      <c r="AY20" s="67">
        <f t="shared" si="0"/>
        <v>284.00849361115456</v>
      </c>
      <c r="AZ20" s="67">
        <f t="shared" si="1"/>
        <v>89.68059163931008</v>
      </c>
      <c r="BA20" s="67">
        <f t="shared" si="3"/>
        <v>231.84579331775058</v>
      </c>
      <c r="BC20">
        <f t="shared" si="4"/>
        <v>31.668891609615997</v>
      </c>
      <c r="BD20">
        <v>1013.2</v>
      </c>
      <c r="BE20">
        <f t="shared" si="5"/>
        <v>29.293868430343458</v>
      </c>
    </row>
    <row r="21" spans="1:57" x14ac:dyDescent="0.2">
      <c r="A21" s="13">
        <v>12</v>
      </c>
      <c r="B21" s="3">
        <v>6</v>
      </c>
      <c r="C21" s="17">
        <v>7</v>
      </c>
      <c r="D21" s="3">
        <v>4</v>
      </c>
      <c r="E21" s="18">
        <v>9</v>
      </c>
      <c r="F21" s="18">
        <v>6</v>
      </c>
      <c r="G21" s="18">
        <v>70</v>
      </c>
      <c r="H21" s="19">
        <v>1</v>
      </c>
      <c r="I21" s="18">
        <v>15</v>
      </c>
      <c r="J21" s="18">
        <v>22</v>
      </c>
      <c r="K21" s="20">
        <v>110</v>
      </c>
      <c r="L21" s="18">
        <v>248</v>
      </c>
      <c r="M21" s="18">
        <v>227</v>
      </c>
      <c r="N21" s="18">
        <v>260</v>
      </c>
      <c r="O21" s="18">
        <v>83</v>
      </c>
      <c r="P21" s="18">
        <v>217</v>
      </c>
      <c r="Q21" s="17">
        <v>7</v>
      </c>
      <c r="R21" s="17">
        <v>4</v>
      </c>
      <c r="S21" s="17">
        <v>6</v>
      </c>
      <c r="T21" s="17">
        <v>1</v>
      </c>
      <c r="U21" s="17">
        <v>2</v>
      </c>
      <c r="V21" s="3">
        <v>8</v>
      </c>
      <c r="W21" s="20">
        <v>48</v>
      </c>
      <c r="X21" s="17">
        <v>8</v>
      </c>
      <c r="Y21" s="17">
        <v>7</v>
      </c>
      <c r="Z21" s="17">
        <v>6</v>
      </c>
      <c r="AA21" s="20">
        <f>34*3</f>
        <v>102</v>
      </c>
      <c r="AB21" s="17">
        <v>6</v>
      </c>
      <c r="AC21" s="17">
        <v>0</v>
      </c>
      <c r="AD21" s="20">
        <v>840</v>
      </c>
      <c r="AE21" s="3"/>
      <c r="AF21" s="3"/>
      <c r="AG21" s="20"/>
      <c r="AH21" s="107" t="s">
        <v>91</v>
      </c>
      <c r="AI21" s="107"/>
      <c r="AJ21" s="107"/>
      <c r="AK21" s="107"/>
      <c r="AL21" s="108"/>
      <c r="AN21" s="67">
        <f t="shared" si="2"/>
        <v>-1.3360166723829252</v>
      </c>
      <c r="AO21" s="67">
        <f t="shared" si="2"/>
        <v>-0.51292314082752455</v>
      </c>
      <c r="AP21" s="67">
        <f t="shared" si="2"/>
        <v>-1.1642543693238281</v>
      </c>
      <c r="AY21" s="67">
        <f t="shared" si="0"/>
        <v>261.33601667238293</v>
      </c>
      <c r="AZ21" s="67">
        <f t="shared" si="1"/>
        <v>83.512923140827525</v>
      </c>
      <c r="BA21" s="67">
        <f t="shared" si="3"/>
        <v>218.16425436932383</v>
      </c>
      <c r="BC21">
        <f t="shared" si="4"/>
        <v>31.29288340580451</v>
      </c>
      <c r="BD21">
        <v>1013.2</v>
      </c>
      <c r="BE21">
        <f t="shared" si="5"/>
        <v>27.574555993434295</v>
      </c>
    </row>
    <row r="22" spans="1:57" x14ac:dyDescent="0.2">
      <c r="A22" s="13">
        <v>13</v>
      </c>
      <c r="B22" s="3">
        <v>6</v>
      </c>
      <c r="C22" s="17">
        <v>5</v>
      </c>
      <c r="D22" s="3">
        <v>4</v>
      </c>
      <c r="E22" s="18">
        <v>6</v>
      </c>
      <c r="F22" s="18">
        <v>5</v>
      </c>
      <c r="G22" s="18">
        <v>75</v>
      </c>
      <c r="H22" s="19">
        <v>2</v>
      </c>
      <c r="I22" s="18"/>
      <c r="J22" s="18"/>
      <c r="K22" s="20">
        <v>126</v>
      </c>
      <c r="L22" s="18">
        <v>260</v>
      </c>
      <c r="M22" s="18">
        <v>232</v>
      </c>
      <c r="N22" s="18">
        <v>261</v>
      </c>
      <c r="O22" s="18">
        <v>78</v>
      </c>
      <c r="P22" s="18">
        <v>218</v>
      </c>
      <c r="Q22" s="17">
        <v>3</v>
      </c>
      <c r="R22" s="17">
        <v>8</v>
      </c>
      <c r="S22" s="17">
        <v>0</v>
      </c>
      <c r="T22" s="17">
        <v>2</v>
      </c>
      <c r="U22" s="17">
        <v>1</v>
      </c>
      <c r="V22" s="3">
        <v>8</v>
      </c>
      <c r="W22" s="20">
        <v>63</v>
      </c>
      <c r="X22" s="17">
        <v>8</v>
      </c>
      <c r="Y22" s="17">
        <v>3</v>
      </c>
      <c r="Z22" s="17">
        <v>6</v>
      </c>
      <c r="AA22" s="20">
        <v>120</v>
      </c>
      <c r="AB22" s="3"/>
      <c r="AC22" s="3"/>
      <c r="AD22" s="20"/>
      <c r="AE22" s="3"/>
      <c r="AF22" s="3"/>
      <c r="AG22" s="20"/>
      <c r="AH22" s="107"/>
      <c r="AI22" s="107"/>
      <c r="AJ22" s="107"/>
      <c r="AK22" s="107"/>
      <c r="AL22" s="108"/>
      <c r="AN22" s="67">
        <f t="shared" si="2"/>
        <v>-4.0047656977641282</v>
      </c>
      <c r="AO22" s="67">
        <f t="shared" si="2"/>
        <v>-0.84967346306801517</v>
      </c>
      <c r="AP22" s="67">
        <f t="shared" si="2"/>
        <v>-2.4469829066567854</v>
      </c>
      <c r="AY22" s="67">
        <f t="shared" si="0"/>
        <v>265.00476569776413</v>
      </c>
      <c r="AZ22" s="67">
        <f t="shared" si="1"/>
        <v>78.849673463068015</v>
      </c>
      <c r="BA22" s="67">
        <f t="shared" si="3"/>
        <v>220.44698290665679</v>
      </c>
      <c r="BC22">
        <f t="shared" si="4"/>
        <v>33.608860260136439</v>
      </c>
      <c r="BD22">
        <v>1013.2</v>
      </c>
      <c r="BE22">
        <f t="shared" si="5"/>
        <v>28.422825631024409</v>
      </c>
    </row>
    <row r="23" spans="1:57" x14ac:dyDescent="0.2">
      <c r="A23" s="13">
        <v>14</v>
      </c>
      <c r="B23" s="3">
        <v>6</v>
      </c>
      <c r="C23" s="17">
        <v>4</v>
      </c>
      <c r="D23" s="3">
        <v>4</v>
      </c>
      <c r="E23" s="18">
        <v>6</v>
      </c>
      <c r="F23" s="18">
        <v>4</v>
      </c>
      <c r="G23" s="18">
        <v>75</v>
      </c>
      <c r="H23" s="19">
        <v>2</v>
      </c>
      <c r="I23" s="18"/>
      <c r="J23" s="18"/>
      <c r="K23" s="20">
        <v>127</v>
      </c>
      <c r="L23" s="18">
        <v>252</v>
      </c>
      <c r="M23" s="18">
        <v>232</v>
      </c>
      <c r="N23" s="18">
        <v>270</v>
      </c>
      <c r="O23" s="18">
        <v>84</v>
      </c>
      <c r="P23" s="18">
        <v>223</v>
      </c>
      <c r="Q23" s="17">
        <v>3</v>
      </c>
      <c r="R23" s="17">
        <v>2</v>
      </c>
      <c r="S23" s="17">
        <v>0</v>
      </c>
      <c r="T23" s="17">
        <v>2</v>
      </c>
      <c r="U23" s="17">
        <v>3</v>
      </c>
      <c r="V23" s="3">
        <v>8</v>
      </c>
      <c r="W23" s="20">
        <v>60</v>
      </c>
      <c r="X23" s="17">
        <v>8</v>
      </c>
      <c r="Y23" s="3"/>
      <c r="Z23" s="3"/>
      <c r="AA23" s="20"/>
      <c r="AB23" s="3"/>
      <c r="AC23" s="3"/>
      <c r="AD23" s="20"/>
      <c r="AE23" s="3"/>
      <c r="AF23" s="3"/>
      <c r="AG23" s="20"/>
      <c r="AH23" s="107"/>
      <c r="AI23" s="107"/>
      <c r="AJ23" s="107"/>
      <c r="AK23" s="107"/>
      <c r="AL23" s="108"/>
      <c r="AN23" s="67">
        <f t="shared" si="2"/>
        <v>-0.49719158704408528</v>
      </c>
      <c r="AO23" s="67">
        <f t="shared" si="2"/>
        <v>-0.40153346122841072</v>
      </c>
      <c r="AP23" s="67">
        <f t="shared" si="2"/>
        <v>-0.81317045851076841</v>
      </c>
      <c r="AY23" s="67">
        <f t="shared" si="0"/>
        <v>270.49719158704409</v>
      </c>
      <c r="AZ23" s="67">
        <f t="shared" si="1"/>
        <v>84.401533461228411</v>
      </c>
      <c r="BA23" s="67">
        <f t="shared" si="3"/>
        <v>223.81317045851077</v>
      </c>
      <c r="BC23">
        <f t="shared" si="4"/>
        <v>32.048847988206589</v>
      </c>
      <c r="BD23">
        <v>1013.2</v>
      </c>
      <c r="BE23">
        <f t="shared" si="5"/>
        <v>28.422825631024409</v>
      </c>
    </row>
    <row r="24" spans="1:57" x14ac:dyDescent="0.2">
      <c r="A24" s="13">
        <v>15</v>
      </c>
      <c r="B24" s="3">
        <v>6</v>
      </c>
      <c r="C24" s="17">
        <v>7</v>
      </c>
      <c r="D24" s="3">
        <v>4</v>
      </c>
      <c r="E24" s="18">
        <v>7</v>
      </c>
      <c r="F24" s="18">
        <v>5</v>
      </c>
      <c r="G24" s="18">
        <v>70</v>
      </c>
      <c r="H24" s="19">
        <v>1</v>
      </c>
      <c r="I24" s="18">
        <v>5</v>
      </c>
      <c r="J24" s="18">
        <v>22</v>
      </c>
      <c r="K24" s="20">
        <v>122</v>
      </c>
      <c r="L24" s="18">
        <v>250</v>
      </c>
      <c r="M24" s="18">
        <v>235</v>
      </c>
      <c r="N24" s="18">
        <v>278</v>
      </c>
      <c r="O24" s="18">
        <v>88</v>
      </c>
      <c r="P24" s="18">
        <v>228</v>
      </c>
      <c r="Q24" s="17">
        <v>2</v>
      </c>
      <c r="R24" s="17">
        <v>2</v>
      </c>
      <c r="S24" s="17">
        <v>0</v>
      </c>
      <c r="T24" s="17">
        <v>1</v>
      </c>
      <c r="U24" s="17">
        <v>2</v>
      </c>
      <c r="V24" s="3">
        <v>8</v>
      </c>
      <c r="W24" s="20">
        <v>54</v>
      </c>
      <c r="X24" s="17">
        <v>8</v>
      </c>
      <c r="Y24" s="17">
        <v>6</v>
      </c>
      <c r="Z24" s="17">
        <v>0</v>
      </c>
      <c r="AA24" s="20">
        <v>840</v>
      </c>
      <c r="AB24" s="3"/>
      <c r="AC24" s="3"/>
      <c r="AD24" s="20"/>
      <c r="AE24" s="3"/>
      <c r="AF24" s="3"/>
      <c r="AG24" s="20"/>
      <c r="AH24" s="107" t="s">
        <v>85</v>
      </c>
      <c r="AI24" s="107"/>
      <c r="AJ24" s="107"/>
      <c r="AK24" s="107"/>
      <c r="AL24" s="108"/>
      <c r="AN24" s="67">
        <f t="shared" si="2"/>
        <v>-1.1250976926501153</v>
      </c>
      <c r="AO24" s="67">
        <f t="shared" si="2"/>
        <v>-0.13857495659749475</v>
      </c>
      <c r="AP24" s="67">
        <f t="shared" si="2"/>
        <v>-0.9819776844491912</v>
      </c>
      <c r="AY24" s="67">
        <f t="shared" si="0"/>
        <v>279.12509769265012</v>
      </c>
      <c r="AZ24" s="67">
        <f t="shared" si="1"/>
        <v>88.138574956597495</v>
      </c>
      <c r="BA24" s="67">
        <f t="shared" si="3"/>
        <v>228.98197768444919</v>
      </c>
      <c r="BC24">
        <f t="shared" si="4"/>
        <v>31.668891609615997</v>
      </c>
      <c r="BD24">
        <v>1013.2</v>
      </c>
      <c r="BE24">
        <f t="shared" si="5"/>
        <v>28.94268568196501</v>
      </c>
    </row>
    <row r="25" spans="1:57" x14ac:dyDescent="0.2">
      <c r="A25" s="13">
        <v>16</v>
      </c>
      <c r="B25" s="3">
        <v>6</v>
      </c>
      <c r="C25" s="17">
        <v>6</v>
      </c>
      <c r="D25" s="3">
        <v>4</v>
      </c>
      <c r="E25" s="18">
        <v>7</v>
      </c>
      <c r="F25" s="18">
        <v>3</v>
      </c>
      <c r="G25" s="18">
        <v>72</v>
      </c>
      <c r="H25" s="19">
        <v>1</v>
      </c>
      <c r="I25" s="18">
        <v>6</v>
      </c>
      <c r="J25" s="18">
        <v>22</v>
      </c>
      <c r="K25" s="20">
        <v>126</v>
      </c>
      <c r="L25" s="18">
        <v>252</v>
      </c>
      <c r="M25" s="18">
        <v>235</v>
      </c>
      <c r="N25" s="18">
        <v>276</v>
      </c>
      <c r="O25" s="18">
        <v>86</v>
      </c>
      <c r="P25" s="18">
        <v>227</v>
      </c>
      <c r="Q25" s="17">
        <v>4</v>
      </c>
      <c r="R25" s="17">
        <v>8</v>
      </c>
      <c r="S25" s="17">
        <v>0</v>
      </c>
      <c r="T25" s="17">
        <v>2</v>
      </c>
      <c r="U25" s="17">
        <v>3</v>
      </c>
      <c r="V25" s="3">
        <v>8</v>
      </c>
      <c r="W25" s="20">
        <v>54</v>
      </c>
      <c r="X25" s="17">
        <v>8</v>
      </c>
      <c r="Y25" s="17">
        <v>4</v>
      </c>
      <c r="Z25" s="17">
        <v>0</v>
      </c>
      <c r="AA25" s="20">
        <v>840</v>
      </c>
      <c r="AB25" s="3"/>
      <c r="AC25" s="3"/>
      <c r="AD25" s="20"/>
      <c r="AE25" s="3"/>
      <c r="AF25" s="3"/>
      <c r="AG25" s="20"/>
      <c r="AH25" s="107" t="s">
        <v>85</v>
      </c>
      <c r="AI25" s="107"/>
      <c r="AJ25" s="107"/>
      <c r="AK25" s="107"/>
      <c r="AL25" s="108"/>
      <c r="AN25" s="67">
        <f t="shared" si="2"/>
        <v>-1.7515298090501119</v>
      </c>
      <c r="AO25" s="67">
        <f t="shared" si="2"/>
        <v>-0.66505888488029541</v>
      </c>
      <c r="AP25" s="67">
        <f t="shared" si="2"/>
        <v>-1.1685547089000465</v>
      </c>
      <c r="AY25" s="67">
        <f t="shared" si="0"/>
        <v>277.75152980905011</v>
      </c>
      <c r="AZ25" s="67">
        <f t="shared" si="1"/>
        <v>86.665058884880295</v>
      </c>
      <c r="BA25" s="67">
        <f t="shared" si="3"/>
        <v>228.16855470890005</v>
      </c>
      <c r="BC25">
        <f t="shared" si="4"/>
        <v>32.048847988206589</v>
      </c>
      <c r="BD25">
        <v>1013.2</v>
      </c>
      <c r="BE25">
        <f t="shared" si="5"/>
        <v>28.94268568196501</v>
      </c>
    </row>
    <row r="26" spans="1:57" x14ac:dyDescent="0.2">
      <c r="A26" s="13">
        <v>17</v>
      </c>
      <c r="B26" s="3">
        <v>6</v>
      </c>
      <c r="C26" s="17">
        <v>7</v>
      </c>
      <c r="D26" s="3">
        <v>4</v>
      </c>
      <c r="E26" s="18">
        <v>9</v>
      </c>
      <c r="F26" s="18">
        <v>12</v>
      </c>
      <c r="G26" s="18">
        <v>65</v>
      </c>
      <c r="H26" s="19">
        <v>1</v>
      </c>
      <c r="I26" s="18">
        <v>15</v>
      </c>
      <c r="J26" s="18">
        <v>22</v>
      </c>
      <c r="K26" s="20">
        <v>136</v>
      </c>
      <c r="L26" s="18">
        <v>258</v>
      </c>
      <c r="M26" s="18">
        <v>242</v>
      </c>
      <c r="N26" s="18">
        <v>290</v>
      </c>
      <c r="O26" s="18">
        <v>87</v>
      </c>
      <c r="P26" s="18">
        <v>235</v>
      </c>
      <c r="Q26" s="17">
        <v>7</v>
      </c>
      <c r="R26" s="17">
        <v>8</v>
      </c>
      <c r="S26" s="17">
        <v>0</v>
      </c>
      <c r="T26" s="17">
        <v>2</v>
      </c>
      <c r="U26" s="17">
        <v>1</v>
      </c>
      <c r="V26" s="3">
        <v>8</v>
      </c>
      <c r="W26" s="20">
        <v>57</v>
      </c>
      <c r="X26" s="17">
        <v>8</v>
      </c>
      <c r="Y26" s="17">
        <v>7</v>
      </c>
      <c r="Z26" s="17">
        <v>6</v>
      </c>
      <c r="AA26" s="20">
        <v>114</v>
      </c>
      <c r="AB26" s="17">
        <v>5</v>
      </c>
      <c r="AC26" s="17">
        <v>0</v>
      </c>
      <c r="AD26" s="20">
        <v>840</v>
      </c>
      <c r="AE26" s="3"/>
      <c r="AF26" s="3"/>
      <c r="AG26" s="20"/>
      <c r="AH26" s="107" t="s">
        <v>96</v>
      </c>
      <c r="AI26" s="107"/>
      <c r="AJ26" s="107"/>
      <c r="AK26" s="107"/>
      <c r="AL26" s="108"/>
      <c r="AN26" s="67">
        <f t="shared" si="2"/>
        <v>-0.88485309404785539</v>
      </c>
      <c r="AO26" s="67">
        <f t="shared" si="2"/>
        <v>-0.58226360878859396</v>
      </c>
      <c r="AP26" s="67">
        <f t="shared" si="2"/>
        <v>-0.80608107843832499</v>
      </c>
      <c r="AY26" s="67">
        <f t="shared" si="0"/>
        <v>290.88485309404786</v>
      </c>
      <c r="AZ26" s="67">
        <f t="shared" si="1"/>
        <v>87.582263608788594</v>
      </c>
      <c r="BA26" s="67">
        <f t="shared" si="3"/>
        <v>235.80608107843832</v>
      </c>
      <c r="BC26">
        <f t="shared" si="4"/>
        <v>33.212758052631393</v>
      </c>
      <c r="BD26">
        <v>1013.2</v>
      </c>
      <c r="BE26">
        <f t="shared" si="5"/>
        <v>30.188200917340787</v>
      </c>
    </row>
    <row r="27" spans="1:57" x14ac:dyDescent="0.2">
      <c r="A27" s="13">
        <v>18</v>
      </c>
      <c r="B27" s="3">
        <v>6</v>
      </c>
      <c r="C27" s="17">
        <v>8</v>
      </c>
      <c r="D27" s="3">
        <v>4</v>
      </c>
      <c r="E27" s="18">
        <v>8</v>
      </c>
      <c r="F27" s="18">
        <v>10</v>
      </c>
      <c r="G27" s="18">
        <v>67</v>
      </c>
      <c r="H27" s="19">
        <v>1</v>
      </c>
      <c r="I27" s="18">
        <v>15</v>
      </c>
      <c r="J27" s="18">
        <v>22</v>
      </c>
      <c r="K27" s="20">
        <v>143</v>
      </c>
      <c r="L27" s="18">
        <v>258</v>
      </c>
      <c r="M27" s="18">
        <v>245</v>
      </c>
      <c r="N27" s="18">
        <v>304</v>
      </c>
      <c r="O27" s="18">
        <v>93</v>
      </c>
      <c r="P27" s="18">
        <v>243</v>
      </c>
      <c r="Q27" s="17">
        <v>7</v>
      </c>
      <c r="R27" s="17">
        <v>8</v>
      </c>
      <c r="S27" s="17">
        <v>4</v>
      </c>
      <c r="T27" s="17">
        <v>2</v>
      </c>
      <c r="U27" s="17">
        <v>5</v>
      </c>
      <c r="V27" s="3">
        <v>8</v>
      </c>
      <c r="W27" s="20">
        <v>42</v>
      </c>
      <c r="X27" s="17">
        <v>8</v>
      </c>
      <c r="Y27" s="17">
        <v>6</v>
      </c>
      <c r="Z27" s="17">
        <v>6</v>
      </c>
      <c r="AA27" s="20">
        <v>114</v>
      </c>
      <c r="AB27" s="3"/>
      <c r="AC27" s="3"/>
      <c r="AD27" s="20"/>
      <c r="AE27" s="3"/>
      <c r="AF27" s="3"/>
      <c r="AG27" s="20"/>
      <c r="AH27" s="107" t="s">
        <v>109</v>
      </c>
      <c r="AI27" s="107"/>
      <c r="AJ27" s="107"/>
      <c r="AK27" s="107"/>
      <c r="AL27" s="108"/>
      <c r="AN27" s="67">
        <f t="shared" si="2"/>
        <v>5.5762101285293397</v>
      </c>
      <c r="AO27" s="67">
        <f t="shared" si="2"/>
        <v>3.147844572689138</v>
      </c>
      <c r="AP27" s="67">
        <f t="shared" si="2"/>
        <v>2.9451754692748011</v>
      </c>
      <c r="AY27" s="67">
        <f t="shared" si="0"/>
        <v>298.42378987147066</v>
      </c>
      <c r="AZ27" s="67">
        <f t="shared" si="1"/>
        <v>89.852155427310862</v>
      </c>
      <c r="BA27" s="67">
        <f t="shared" si="3"/>
        <v>240.0548245307252</v>
      </c>
      <c r="BC27">
        <f t="shared" si="4"/>
        <v>33.212758052631393</v>
      </c>
      <c r="BD27">
        <v>1013.2</v>
      </c>
      <c r="BE27">
        <f t="shared" si="5"/>
        <v>30.736197835927069</v>
      </c>
    </row>
    <row r="28" spans="1:57" x14ac:dyDescent="0.2">
      <c r="A28" s="13">
        <v>19</v>
      </c>
      <c r="B28" s="3">
        <v>6</v>
      </c>
      <c r="C28" s="17">
        <v>7</v>
      </c>
      <c r="D28" s="3">
        <v>4</v>
      </c>
      <c r="E28" s="18">
        <v>8</v>
      </c>
      <c r="F28" s="18">
        <v>9</v>
      </c>
      <c r="G28" s="18">
        <v>68</v>
      </c>
      <c r="H28" s="19">
        <v>1</v>
      </c>
      <c r="I28" s="18">
        <v>15</v>
      </c>
      <c r="J28" s="18">
        <v>22</v>
      </c>
      <c r="K28" s="20">
        <v>129</v>
      </c>
      <c r="L28" s="18">
        <v>260</v>
      </c>
      <c r="M28" s="18">
        <v>243</v>
      </c>
      <c r="N28" s="18">
        <v>290</v>
      </c>
      <c r="O28" s="18">
        <v>86</v>
      </c>
      <c r="P28" s="18">
        <v>235</v>
      </c>
      <c r="Q28" s="17">
        <v>6</v>
      </c>
      <c r="R28" s="17">
        <v>8</v>
      </c>
      <c r="S28" s="17">
        <v>0</v>
      </c>
      <c r="T28" s="17">
        <v>2</v>
      </c>
      <c r="U28" s="17">
        <v>2</v>
      </c>
      <c r="V28" s="3">
        <v>8</v>
      </c>
      <c r="W28" s="20">
        <v>54</v>
      </c>
      <c r="X28" s="17">
        <v>8</v>
      </c>
      <c r="Y28" s="17">
        <v>6</v>
      </c>
      <c r="Z28" s="17">
        <v>6</v>
      </c>
      <c r="AA28" s="20">
        <f>43*3</f>
        <v>129</v>
      </c>
      <c r="AB28" s="3"/>
      <c r="AC28" s="3"/>
      <c r="AD28" s="20"/>
      <c r="AE28" s="3"/>
      <c r="AF28" s="3"/>
      <c r="AG28" s="20"/>
      <c r="AH28" s="107" t="s">
        <v>96</v>
      </c>
      <c r="AI28" s="107"/>
      <c r="AJ28" s="107"/>
      <c r="AK28" s="107"/>
      <c r="AL28" s="108"/>
      <c r="AN28" s="67">
        <f t="shared" si="2"/>
        <v>-2.0132972264381692</v>
      </c>
      <c r="AO28" s="67">
        <f t="shared" si="2"/>
        <v>-0.88580777991926141</v>
      </c>
      <c r="AP28" s="67">
        <f t="shared" si="2"/>
        <v>-1.4481350133988258</v>
      </c>
      <c r="AY28" s="67">
        <f t="shared" si="0"/>
        <v>292.01329722643817</v>
      </c>
      <c r="AZ28" s="67">
        <f t="shared" si="1"/>
        <v>86.885807779919261</v>
      </c>
      <c r="BA28" s="67">
        <f t="shared" si="3"/>
        <v>236.44813501339883</v>
      </c>
      <c r="BC28">
        <f t="shared" si="4"/>
        <v>33.608860260136439</v>
      </c>
      <c r="BD28">
        <v>1013.2</v>
      </c>
      <c r="BE28">
        <f t="shared" si="5"/>
        <v>30.369908289271816</v>
      </c>
    </row>
    <row r="29" spans="1:57" x14ac:dyDescent="0.2">
      <c r="A29" s="13">
        <v>20</v>
      </c>
      <c r="B29" s="3">
        <v>6</v>
      </c>
      <c r="C29" s="17">
        <v>7</v>
      </c>
      <c r="D29" s="3">
        <v>4</v>
      </c>
      <c r="E29" s="18">
        <v>10</v>
      </c>
      <c r="F29" s="18">
        <v>12</v>
      </c>
      <c r="G29" s="18">
        <v>70</v>
      </c>
      <c r="H29" s="19">
        <v>1</v>
      </c>
      <c r="I29" s="18">
        <v>80</v>
      </c>
      <c r="J29" s="18">
        <v>22</v>
      </c>
      <c r="K29" s="20">
        <v>119</v>
      </c>
      <c r="L29" s="18">
        <v>266</v>
      </c>
      <c r="M29" s="18">
        <v>250</v>
      </c>
      <c r="N29" s="18">
        <v>305</v>
      </c>
      <c r="O29" s="18">
        <v>87</v>
      </c>
      <c r="P29" s="18">
        <v>243</v>
      </c>
      <c r="Q29" s="17">
        <v>5</v>
      </c>
      <c r="R29" s="17">
        <v>8</v>
      </c>
      <c r="S29" s="17">
        <v>0</v>
      </c>
      <c r="T29" s="17">
        <v>2</v>
      </c>
      <c r="U29" s="17">
        <v>4</v>
      </c>
      <c r="V29" s="3">
        <v>8</v>
      </c>
      <c r="W29" s="20">
        <v>54</v>
      </c>
      <c r="X29" s="17">
        <v>8</v>
      </c>
      <c r="Y29" s="17">
        <v>5</v>
      </c>
      <c r="Z29" s="17">
        <v>0</v>
      </c>
      <c r="AA29" s="20">
        <v>840</v>
      </c>
      <c r="AB29" s="3"/>
      <c r="AC29" s="3"/>
      <c r="AD29" s="20"/>
      <c r="AE29" s="3"/>
      <c r="AF29" s="3"/>
      <c r="AG29" s="20"/>
      <c r="AH29" s="107" t="s">
        <v>128</v>
      </c>
      <c r="AI29" s="107"/>
      <c r="AJ29" s="107"/>
      <c r="AK29" s="107"/>
      <c r="AL29" s="108"/>
      <c r="AN29" s="67">
        <f t="shared" si="2"/>
        <v>-0.68191657616000612</v>
      </c>
      <c r="AO29" s="67">
        <f t="shared" si="2"/>
        <v>-0.78396309007153775</v>
      </c>
      <c r="AP29" s="67">
        <f t="shared" si="2"/>
        <v>-1.057419962438189</v>
      </c>
      <c r="AY29" s="67">
        <f t="shared" si="0"/>
        <v>305.68191657616001</v>
      </c>
      <c r="AZ29" s="67">
        <f t="shared" si="1"/>
        <v>87.783963090071538</v>
      </c>
      <c r="BA29" s="67">
        <f t="shared" si="3"/>
        <v>244.05741996243819</v>
      </c>
      <c r="BC29">
        <f t="shared" si="4"/>
        <v>34.822068384234633</v>
      </c>
      <c r="BD29">
        <v>1013.2</v>
      </c>
      <c r="BE29">
        <f t="shared" si="5"/>
        <v>31.668891609615997</v>
      </c>
    </row>
    <row r="30" spans="1:57" x14ac:dyDescent="0.2">
      <c r="A30" s="13">
        <v>21</v>
      </c>
      <c r="B30" s="3">
        <v>6</v>
      </c>
      <c r="C30" s="17">
        <v>4</v>
      </c>
      <c r="D30" s="3">
        <v>4</v>
      </c>
      <c r="E30" s="18">
        <v>8</v>
      </c>
      <c r="F30" s="18">
        <v>11</v>
      </c>
      <c r="G30" s="18">
        <v>68</v>
      </c>
      <c r="H30" s="19">
        <v>1</v>
      </c>
      <c r="I30" s="18">
        <v>5</v>
      </c>
      <c r="J30" s="18">
        <v>0</v>
      </c>
      <c r="K30" s="20">
        <v>116</v>
      </c>
      <c r="L30" s="18">
        <v>268</v>
      </c>
      <c r="M30" s="18">
        <v>245</v>
      </c>
      <c r="N30" s="18">
        <v>290</v>
      </c>
      <c r="O30" s="18">
        <v>82</v>
      </c>
      <c r="P30" s="18">
        <v>235</v>
      </c>
      <c r="Q30" s="17">
        <v>3</v>
      </c>
      <c r="R30" s="17">
        <v>8</v>
      </c>
      <c r="S30" s="17">
        <v>0</v>
      </c>
      <c r="T30" s="17">
        <v>1</v>
      </c>
      <c r="U30" s="17">
        <v>3</v>
      </c>
      <c r="V30" s="3">
        <v>8</v>
      </c>
      <c r="W30" s="20">
        <v>57</v>
      </c>
      <c r="X30" s="17">
        <v>8</v>
      </c>
      <c r="Y30" s="3"/>
      <c r="Z30" s="3"/>
      <c r="AA30" s="20"/>
      <c r="AB30" s="3"/>
      <c r="AC30" s="3"/>
      <c r="AD30" s="20"/>
      <c r="AE30" s="3"/>
      <c r="AF30" s="3"/>
      <c r="AG30" s="20"/>
      <c r="AH30" s="107" t="s">
        <v>85</v>
      </c>
      <c r="AI30" s="107"/>
      <c r="AJ30" s="107"/>
      <c r="AK30" s="107"/>
      <c r="AL30" s="108"/>
      <c r="AN30" s="67">
        <f t="shared" si="2"/>
        <v>-1.5482602654706739</v>
      </c>
      <c r="AO30" s="67">
        <f t="shared" si="2"/>
        <v>-0.74418656868023447</v>
      </c>
      <c r="AP30" s="67">
        <f t="shared" si="2"/>
        <v>-1.1838053580768531</v>
      </c>
      <c r="AY30" s="67">
        <f t="shared" si="0"/>
        <v>291.54826026547067</v>
      </c>
      <c r="AZ30" s="67">
        <f t="shared" si="1"/>
        <v>82.744186568680234</v>
      </c>
      <c r="BA30" s="67">
        <f t="shared" si="3"/>
        <v>236.18380535807685</v>
      </c>
      <c r="BC30">
        <f t="shared" si="4"/>
        <v>35.234893514056914</v>
      </c>
      <c r="BD30">
        <v>1013.2</v>
      </c>
      <c r="BE30">
        <f t="shared" si="5"/>
        <v>30.736197835927069</v>
      </c>
    </row>
    <row r="31" spans="1:57" x14ac:dyDescent="0.2">
      <c r="A31" s="13">
        <v>22</v>
      </c>
      <c r="B31" s="3">
        <v>6</v>
      </c>
      <c r="C31" s="17">
        <v>6</v>
      </c>
      <c r="D31" s="3">
        <v>4</v>
      </c>
      <c r="E31" s="18">
        <v>7</v>
      </c>
      <c r="F31" s="18">
        <v>11</v>
      </c>
      <c r="G31" s="18">
        <v>68</v>
      </c>
      <c r="H31" s="19">
        <v>1</v>
      </c>
      <c r="I31" s="18">
        <v>5</v>
      </c>
      <c r="J31" s="18">
        <v>22</v>
      </c>
      <c r="K31" s="20">
        <v>131</v>
      </c>
      <c r="L31" s="18">
        <v>266</v>
      </c>
      <c r="M31" s="18">
        <v>245</v>
      </c>
      <c r="N31" s="18">
        <v>292</v>
      </c>
      <c r="O31" s="18">
        <v>84</v>
      </c>
      <c r="P31" s="18">
        <v>236</v>
      </c>
      <c r="Q31" s="17">
        <v>5</v>
      </c>
      <c r="R31" s="17">
        <v>8</v>
      </c>
      <c r="S31" s="17">
        <v>0</v>
      </c>
      <c r="T31" s="17">
        <v>2</v>
      </c>
      <c r="U31" s="17">
        <v>3</v>
      </c>
      <c r="V31" s="3">
        <v>8</v>
      </c>
      <c r="W31" s="20">
        <v>54</v>
      </c>
      <c r="X31" s="17">
        <v>8</v>
      </c>
      <c r="Y31" s="17">
        <v>5</v>
      </c>
      <c r="Z31" s="17">
        <v>6</v>
      </c>
      <c r="AA31" s="20">
        <v>114</v>
      </c>
      <c r="AB31" s="3"/>
      <c r="AC31" s="3"/>
      <c r="AD31" s="20"/>
      <c r="AE31" s="3"/>
      <c r="AF31" s="3"/>
      <c r="AG31" s="20"/>
      <c r="AH31" s="107" t="s">
        <v>85</v>
      </c>
      <c r="AI31" s="107"/>
      <c r="AJ31" s="107"/>
      <c r="AK31" s="107"/>
      <c r="AL31" s="108"/>
      <c r="AN31" s="67">
        <f t="shared" si="2"/>
        <v>-0.92336618667070525</v>
      </c>
      <c r="AO31" s="67">
        <f t="shared" si="2"/>
        <v>-0.12003645346037217</v>
      </c>
      <c r="AP31" s="67">
        <f t="shared" si="2"/>
        <v>-0.96435842587442266</v>
      </c>
      <c r="AY31" s="67">
        <f t="shared" si="0"/>
        <v>292.92336618667071</v>
      </c>
      <c r="AZ31" s="67">
        <f t="shared" si="1"/>
        <v>84.120036453460372</v>
      </c>
      <c r="BA31" s="67">
        <f t="shared" si="3"/>
        <v>236.96435842587442</v>
      </c>
      <c r="BC31">
        <f t="shared" si="4"/>
        <v>34.822068384234633</v>
      </c>
      <c r="BD31">
        <v>1013.2</v>
      </c>
      <c r="BE31">
        <f t="shared" si="5"/>
        <v>30.736197835927069</v>
      </c>
    </row>
    <row r="32" spans="1:57" x14ac:dyDescent="0.2">
      <c r="A32" s="13">
        <v>23</v>
      </c>
      <c r="B32" s="3">
        <v>6</v>
      </c>
      <c r="C32" s="17">
        <v>7</v>
      </c>
      <c r="D32" s="3">
        <v>4</v>
      </c>
      <c r="E32" s="18">
        <v>5</v>
      </c>
      <c r="F32" s="18">
        <v>7</v>
      </c>
      <c r="G32" s="18">
        <v>68</v>
      </c>
      <c r="H32" s="19">
        <v>1</v>
      </c>
      <c r="I32" s="18">
        <v>6</v>
      </c>
      <c r="J32" s="18">
        <v>22</v>
      </c>
      <c r="K32" s="20">
        <v>120</v>
      </c>
      <c r="L32" s="18">
        <v>258</v>
      </c>
      <c r="M32" s="18">
        <v>235</v>
      </c>
      <c r="N32" s="18">
        <v>272</v>
      </c>
      <c r="O32" s="18">
        <v>82</v>
      </c>
      <c r="P32" s="18">
        <v>224</v>
      </c>
      <c r="Q32" s="17">
        <v>4</v>
      </c>
      <c r="R32" s="17">
        <v>4</v>
      </c>
      <c r="S32" s="17">
        <v>4</v>
      </c>
      <c r="T32" s="17">
        <v>1</v>
      </c>
      <c r="U32" s="17">
        <v>2</v>
      </c>
      <c r="V32" s="3">
        <v>8</v>
      </c>
      <c r="W32" s="20">
        <v>54</v>
      </c>
      <c r="X32" s="17">
        <v>8</v>
      </c>
      <c r="Y32" s="17">
        <v>6</v>
      </c>
      <c r="Z32" s="17">
        <v>0</v>
      </c>
      <c r="AA32" s="20">
        <v>840</v>
      </c>
      <c r="AB32" s="3"/>
      <c r="AC32" s="3"/>
      <c r="AD32" s="20"/>
      <c r="AE32" s="3"/>
      <c r="AF32" s="3"/>
      <c r="AG32" s="20"/>
      <c r="AH32" s="107" t="s">
        <v>85</v>
      </c>
      <c r="AI32" s="107"/>
      <c r="AJ32" s="107"/>
      <c r="AK32" s="107"/>
      <c r="AL32" s="108"/>
      <c r="AN32" s="67">
        <f t="shared" si="2"/>
        <v>-1.6308261582501018</v>
      </c>
      <c r="AO32" s="67">
        <f t="shared" si="2"/>
        <v>-0.38726387150217079</v>
      </c>
      <c r="AP32" s="67">
        <f t="shared" si="2"/>
        <v>-1.7069586745465699</v>
      </c>
      <c r="AY32" s="67">
        <f t="shared" si="0"/>
        <v>273.6308261582501</v>
      </c>
      <c r="AZ32" s="67">
        <f t="shared" si="1"/>
        <v>82.387263871502171</v>
      </c>
      <c r="BA32" s="67">
        <f t="shared" si="3"/>
        <v>225.70695867454657</v>
      </c>
      <c r="BC32">
        <f t="shared" si="4"/>
        <v>33.212758052631393</v>
      </c>
      <c r="BD32">
        <v>1013.2</v>
      </c>
      <c r="BE32">
        <f t="shared" si="5"/>
        <v>28.94268568196501</v>
      </c>
    </row>
    <row r="33" spans="1:57" x14ac:dyDescent="0.2">
      <c r="A33" s="13">
        <v>24</v>
      </c>
      <c r="B33" s="3">
        <v>6</v>
      </c>
      <c r="C33" s="17">
        <v>8</v>
      </c>
      <c r="D33" s="3">
        <v>4</v>
      </c>
      <c r="E33" s="18">
        <v>2</v>
      </c>
      <c r="F33" s="18">
        <v>7</v>
      </c>
      <c r="G33" s="18">
        <v>50</v>
      </c>
      <c r="H33" s="19">
        <v>1</v>
      </c>
      <c r="I33" s="18">
        <v>60</v>
      </c>
      <c r="J33" s="18">
        <v>22</v>
      </c>
      <c r="K33" s="20">
        <v>119</v>
      </c>
      <c r="L33" s="18">
        <v>235</v>
      </c>
      <c r="M33" s="18">
        <v>232</v>
      </c>
      <c r="N33" s="18">
        <v>283</v>
      </c>
      <c r="O33" s="18">
        <v>98</v>
      </c>
      <c r="P33" s="18">
        <v>231</v>
      </c>
      <c r="Q33" s="17">
        <v>8</v>
      </c>
      <c r="R33" s="17">
        <v>8</v>
      </c>
      <c r="S33" s="17" t="s">
        <v>89</v>
      </c>
      <c r="T33" s="17" t="s">
        <v>89</v>
      </c>
      <c r="U33" s="17">
        <v>1</v>
      </c>
      <c r="V33" s="3">
        <v>8</v>
      </c>
      <c r="W33" s="20">
        <v>45</v>
      </c>
      <c r="X33" s="17">
        <v>8</v>
      </c>
      <c r="Y33" s="17">
        <v>7</v>
      </c>
      <c r="Z33" s="17">
        <v>6</v>
      </c>
      <c r="AA33" s="20">
        <v>105</v>
      </c>
      <c r="AB33" s="3"/>
      <c r="AC33" s="3"/>
      <c r="AD33" s="20"/>
      <c r="AE33" s="3"/>
      <c r="AF33" s="3"/>
      <c r="AG33" s="20"/>
      <c r="AH33" s="107" t="s">
        <v>145</v>
      </c>
      <c r="AI33" s="107"/>
      <c r="AJ33" s="107"/>
      <c r="AK33" s="107"/>
      <c r="AL33" s="108"/>
      <c r="AN33" s="67">
        <f t="shared" si="2"/>
        <v>0.83140339823592058</v>
      </c>
      <c r="AO33" s="67">
        <f t="shared" si="2"/>
        <v>0.50780466527641011</v>
      </c>
      <c r="AP33" s="67">
        <f t="shared" si="2"/>
        <v>0.22809253651513473</v>
      </c>
      <c r="AY33" s="67">
        <f t="shared" si="0"/>
        <v>282.16859660176408</v>
      </c>
      <c r="AZ33" s="67">
        <f t="shared" si="1"/>
        <v>97.49219533472359</v>
      </c>
      <c r="BA33" s="67">
        <f t="shared" si="3"/>
        <v>230.77190746348487</v>
      </c>
      <c r="BC33">
        <f t="shared" si="4"/>
        <v>28.94268568196501</v>
      </c>
      <c r="BD33">
        <v>1013.2</v>
      </c>
      <c r="BE33">
        <f t="shared" si="5"/>
        <v>28.422825631024409</v>
      </c>
    </row>
    <row r="34" spans="1:57" x14ac:dyDescent="0.2">
      <c r="A34" s="13">
        <v>25</v>
      </c>
      <c r="B34" s="3">
        <v>6</v>
      </c>
      <c r="C34" s="17">
        <v>7</v>
      </c>
      <c r="D34" s="3">
        <v>4</v>
      </c>
      <c r="E34" s="18">
        <v>0</v>
      </c>
      <c r="F34" s="18">
        <v>0</v>
      </c>
      <c r="G34" s="18">
        <v>64</v>
      </c>
      <c r="H34" s="19">
        <v>1</v>
      </c>
      <c r="I34" s="18">
        <v>5</v>
      </c>
      <c r="J34" s="18">
        <v>22</v>
      </c>
      <c r="K34" s="20">
        <v>125</v>
      </c>
      <c r="L34" s="18">
        <v>242</v>
      </c>
      <c r="M34" s="18">
        <v>240</v>
      </c>
      <c r="N34" s="18">
        <v>297</v>
      </c>
      <c r="O34" s="18">
        <v>98</v>
      </c>
      <c r="P34" s="18">
        <v>239</v>
      </c>
      <c r="Q34" s="17">
        <v>7</v>
      </c>
      <c r="R34" s="17">
        <v>8</v>
      </c>
      <c r="S34" s="17">
        <v>0</v>
      </c>
      <c r="T34" s="17">
        <v>2</v>
      </c>
      <c r="U34" s="17">
        <v>2</v>
      </c>
      <c r="V34" s="3">
        <v>8</v>
      </c>
      <c r="W34" s="20">
        <v>54</v>
      </c>
      <c r="X34" s="17">
        <v>8</v>
      </c>
      <c r="Y34" s="17">
        <v>6</v>
      </c>
      <c r="Z34" s="17">
        <v>6</v>
      </c>
      <c r="AA34" s="20">
        <f>36*3</f>
        <v>108</v>
      </c>
      <c r="AB34" s="3"/>
      <c r="AC34" s="3"/>
      <c r="AD34" s="20"/>
      <c r="AE34" s="3"/>
      <c r="AF34" s="3"/>
      <c r="AG34" s="20"/>
      <c r="AH34" s="107" t="s">
        <v>85</v>
      </c>
      <c r="AI34" s="107"/>
      <c r="AJ34" s="107"/>
      <c r="AK34" s="107"/>
      <c r="AL34" s="108"/>
      <c r="AN34" s="67">
        <f t="shared" si="2"/>
        <v>9.7939759379300995E-2</v>
      </c>
      <c r="AO34" s="67">
        <f t="shared" si="2"/>
        <v>-0.35036577819828096</v>
      </c>
      <c r="AP34" s="67">
        <f t="shared" si="2"/>
        <v>-0.20485072429306683</v>
      </c>
      <c r="AY34" s="67">
        <f t="shared" si="0"/>
        <v>296.9020602406207</v>
      </c>
      <c r="AZ34" s="67">
        <f t="shared" si="1"/>
        <v>98.350365778198281</v>
      </c>
      <c r="BA34" s="67">
        <f t="shared" si="3"/>
        <v>239.20485072429307</v>
      </c>
      <c r="BC34">
        <f t="shared" si="4"/>
        <v>30.188200917340787</v>
      </c>
      <c r="BD34">
        <v>1013.2</v>
      </c>
      <c r="BE34">
        <f t="shared" si="5"/>
        <v>29.827639714302066</v>
      </c>
    </row>
    <row r="35" spans="1:57" x14ac:dyDescent="0.2">
      <c r="A35" s="13">
        <v>26</v>
      </c>
      <c r="B35" s="3">
        <v>6</v>
      </c>
      <c r="C35" s="17">
        <v>6</v>
      </c>
      <c r="D35" s="3">
        <v>4</v>
      </c>
      <c r="E35" s="18">
        <v>8</v>
      </c>
      <c r="F35" s="18">
        <v>5</v>
      </c>
      <c r="G35" s="18">
        <v>75</v>
      </c>
      <c r="H35" s="19">
        <v>1</v>
      </c>
      <c r="I35" s="18">
        <v>2</v>
      </c>
      <c r="J35" s="18">
        <v>82</v>
      </c>
      <c r="K35" s="20">
        <v>133</v>
      </c>
      <c r="L35" s="18">
        <v>262</v>
      </c>
      <c r="M35" s="18">
        <v>245</v>
      </c>
      <c r="N35" s="18">
        <v>295</v>
      </c>
      <c r="O35" s="18">
        <v>82</v>
      </c>
      <c r="P35" s="18">
        <v>238</v>
      </c>
      <c r="Q35" s="17">
        <v>6</v>
      </c>
      <c r="R35" s="17">
        <v>8</v>
      </c>
      <c r="S35" s="17">
        <v>0</v>
      </c>
      <c r="T35" s="17">
        <v>1</v>
      </c>
      <c r="U35" s="17">
        <v>2</v>
      </c>
      <c r="V35" s="3">
        <v>8</v>
      </c>
      <c r="W35" s="20">
        <v>54</v>
      </c>
      <c r="X35" s="17">
        <v>8</v>
      </c>
      <c r="Y35" s="17">
        <v>6</v>
      </c>
      <c r="Z35" s="17">
        <v>6</v>
      </c>
      <c r="AA35" s="20">
        <v>114</v>
      </c>
      <c r="AB35" s="3"/>
      <c r="AC35" s="3"/>
      <c r="AD35" s="20"/>
      <c r="AE35" s="3"/>
      <c r="AF35" s="3"/>
      <c r="AG35" s="20"/>
      <c r="AH35" s="107" t="s">
        <v>171</v>
      </c>
      <c r="AI35" s="107"/>
      <c r="AJ35" s="107"/>
      <c r="AK35" s="107"/>
      <c r="AL35" s="108"/>
      <c r="AN35" s="67">
        <f t="shared" si="2"/>
        <v>-0.67357802907065434</v>
      </c>
      <c r="AO35" s="67">
        <f t="shared" si="2"/>
        <v>-4.9395774495742728</v>
      </c>
      <c r="AP35" s="67">
        <f t="shared" si="2"/>
        <v>-0.51588498943530681</v>
      </c>
      <c r="AY35" s="67">
        <f t="shared" si="0"/>
        <v>295.67357802907065</v>
      </c>
      <c r="AZ35" s="67">
        <f t="shared" si="1"/>
        <v>86.939577449574273</v>
      </c>
      <c r="BA35" s="67">
        <f t="shared" si="3"/>
        <v>238.51588498943531</v>
      </c>
      <c r="BC35">
        <f t="shared" si="4"/>
        <v>34.009088461531107</v>
      </c>
      <c r="BD35">
        <v>1013.2</v>
      </c>
      <c r="BE35">
        <f t="shared" si="5"/>
        <v>30.736197835927069</v>
      </c>
    </row>
    <row r="36" spans="1:57" x14ac:dyDescent="0.2">
      <c r="A36" s="13">
        <v>27</v>
      </c>
      <c r="B36" s="3">
        <v>6</v>
      </c>
      <c r="C36" s="17">
        <v>7</v>
      </c>
      <c r="D36" s="3">
        <v>4</v>
      </c>
      <c r="E36" s="18">
        <v>8</v>
      </c>
      <c r="F36" s="18">
        <v>8</v>
      </c>
      <c r="G36" s="18">
        <v>65</v>
      </c>
      <c r="H36" s="19">
        <v>1</v>
      </c>
      <c r="I36" s="18">
        <v>80</v>
      </c>
      <c r="J36" s="18">
        <v>22</v>
      </c>
      <c r="K36" s="20">
        <v>135</v>
      </c>
      <c r="L36" s="18">
        <v>246</v>
      </c>
      <c r="M36" s="18">
        <v>233</v>
      </c>
      <c r="N36" s="18">
        <v>277</v>
      </c>
      <c r="O36" s="18">
        <v>90</v>
      </c>
      <c r="P36" s="18">
        <v>227</v>
      </c>
      <c r="Q36" s="17">
        <v>7</v>
      </c>
      <c r="R36" s="17">
        <v>8</v>
      </c>
      <c r="S36" s="17" t="s">
        <v>89</v>
      </c>
      <c r="T36" s="17" t="s">
        <v>89</v>
      </c>
      <c r="U36" s="17">
        <v>4</v>
      </c>
      <c r="V36" s="3">
        <v>8</v>
      </c>
      <c r="W36" s="20">
        <f>13*3</f>
        <v>39</v>
      </c>
      <c r="X36" s="17">
        <v>8</v>
      </c>
      <c r="Y36" s="17">
        <v>6</v>
      </c>
      <c r="Z36" s="17">
        <v>6</v>
      </c>
      <c r="AA36" s="20">
        <v>105</v>
      </c>
      <c r="AB36" s="3"/>
      <c r="AC36" s="3"/>
      <c r="AD36" s="20"/>
      <c r="AE36" s="3"/>
      <c r="AF36" s="3"/>
      <c r="AG36" s="20"/>
      <c r="AH36" s="107" t="s">
        <v>182</v>
      </c>
      <c r="AI36" s="107"/>
      <c r="AJ36" s="107"/>
      <c r="AK36" s="107"/>
      <c r="AL36" s="108"/>
      <c r="AN36" s="67">
        <f t="shared" si="2"/>
        <v>-2.5767635123145283E-2</v>
      </c>
      <c r="AO36" s="67">
        <f t="shared" si="2"/>
        <v>0.40792278380011737</v>
      </c>
      <c r="AP36" s="67">
        <f t="shared" si="2"/>
        <v>-0.73733623393908942</v>
      </c>
      <c r="AY36" s="67">
        <f t="shared" si="0"/>
        <v>277.02576763512315</v>
      </c>
      <c r="AZ36" s="67">
        <f t="shared" si="1"/>
        <v>89.592077216199883</v>
      </c>
      <c r="BA36" s="67">
        <f t="shared" si="3"/>
        <v>227.73733623393909</v>
      </c>
      <c r="BC36">
        <f t="shared" si="4"/>
        <v>30.920788561092973</v>
      </c>
      <c r="BD36">
        <v>1013.2</v>
      </c>
      <c r="BE36">
        <f t="shared" si="5"/>
        <v>28.595195942964317</v>
      </c>
    </row>
    <row r="37" spans="1:57" x14ac:dyDescent="0.2">
      <c r="A37" s="13">
        <v>28</v>
      </c>
      <c r="B37" s="3">
        <v>6</v>
      </c>
      <c r="C37" s="17">
        <v>8</v>
      </c>
      <c r="D37" s="3">
        <v>4</v>
      </c>
      <c r="E37" s="18">
        <v>12</v>
      </c>
      <c r="F37" s="18">
        <v>12</v>
      </c>
      <c r="G37" s="18">
        <v>40</v>
      </c>
      <c r="H37" s="19">
        <v>1</v>
      </c>
      <c r="I37" s="18">
        <v>80</v>
      </c>
      <c r="J37" s="18">
        <v>22</v>
      </c>
      <c r="K37" s="20">
        <v>151</v>
      </c>
      <c r="L37" s="18">
        <v>247</v>
      </c>
      <c r="M37" s="18">
        <v>242</v>
      </c>
      <c r="N37" s="18">
        <v>299</v>
      </c>
      <c r="O37" s="18">
        <v>96</v>
      </c>
      <c r="P37" s="18">
        <v>240</v>
      </c>
      <c r="Q37" s="17">
        <v>8</v>
      </c>
      <c r="R37" s="17">
        <v>8</v>
      </c>
      <c r="S37" s="17" t="s">
        <v>89</v>
      </c>
      <c r="T37" s="17" t="s">
        <v>89</v>
      </c>
      <c r="U37" s="17">
        <v>6</v>
      </c>
      <c r="V37" s="3">
        <v>8</v>
      </c>
      <c r="W37" s="20">
        <v>48</v>
      </c>
      <c r="X37" s="17">
        <v>8</v>
      </c>
      <c r="Y37" s="17">
        <v>6</v>
      </c>
      <c r="Z37" s="17">
        <v>6</v>
      </c>
      <c r="AA37" s="20">
        <v>105</v>
      </c>
      <c r="AB37" s="3"/>
      <c r="AC37" s="3"/>
      <c r="AD37" s="20"/>
      <c r="AE37" s="3"/>
      <c r="AF37" s="3"/>
      <c r="AG37" s="20"/>
      <c r="AH37" s="107" t="s">
        <v>190</v>
      </c>
      <c r="AI37" s="107"/>
      <c r="AJ37" s="107"/>
      <c r="AK37" s="107"/>
      <c r="AL37" s="108"/>
      <c r="AN37" s="67">
        <f t="shared" si="2"/>
        <v>0.55460210139216315</v>
      </c>
      <c r="AO37" s="67">
        <f t="shared" si="2"/>
        <v>5.643616630682402E-2</v>
      </c>
      <c r="AP37" s="67">
        <f t="shared" si="2"/>
        <v>-6.6866506992539598E-2</v>
      </c>
      <c r="AY37" s="67">
        <f t="shared" si="0"/>
        <v>298.44539789860784</v>
      </c>
      <c r="AZ37" s="67">
        <f t="shared" si="1"/>
        <v>95.943563833693176</v>
      </c>
      <c r="BA37" s="67">
        <f t="shared" si="3"/>
        <v>240.06686650699254</v>
      </c>
      <c r="BC37">
        <f t="shared" si="4"/>
        <v>31.106348979899021</v>
      </c>
      <c r="BD37">
        <v>1013.2</v>
      </c>
      <c r="BE37">
        <f t="shared" si="5"/>
        <v>30.188200917340787</v>
      </c>
    </row>
    <row r="38" spans="1:57" x14ac:dyDescent="0.2">
      <c r="A38" s="13">
        <v>29</v>
      </c>
      <c r="B38" s="3">
        <v>6</v>
      </c>
      <c r="C38" s="17">
        <v>8</v>
      </c>
      <c r="D38" s="3">
        <v>4</v>
      </c>
      <c r="E38" s="18">
        <v>7</v>
      </c>
      <c r="F38" s="18">
        <v>14</v>
      </c>
      <c r="G38" s="18">
        <v>40</v>
      </c>
      <c r="H38" s="19">
        <v>1</v>
      </c>
      <c r="I38" s="18">
        <v>81</v>
      </c>
      <c r="J38" s="18">
        <v>22</v>
      </c>
      <c r="K38" s="20">
        <v>145</v>
      </c>
      <c r="L38" s="18">
        <v>236</v>
      </c>
      <c r="M38" s="18">
        <v>235</v>
      </c>
      <c r="N38" s="18">
        <v>288</v>
      </c>
      <c r="O38" s="18">
        <v>99</v>
      </c>
      <c r="P38" s="18">
        <v>234</v>
      </c>
      <c r="Q38" s="17">
        <v>8</v>
      </c>
      <c r="R38" s="17">
        <v>8</v>
      </c>
      <c r="S38" s="17" t="s">
        <v>89</v>
      </c>
      <c r="T38" s="17" t="s">
        <v>89</v>
      </c>
      <c r="U38" s="17">
        <v>7</v>
      </c>
      <c r="V38" s="3">
        <v>8</v>
      </c>
      <c r="W38" s="20">
        <v>42</v>
      </c>
      <c r="X38" s="17">
        <v>8</v>
      </c>
      <c r="Y38" s="3"/>
      <c r="Z38" s="3"/>
      <c r="AA38" s="20"/>
      <c r="AB38" s="3"/>
      <c r="AC38" s="3"/>
      <c r="AD38" s="20"/>
      <c r="AE38" s="3"/>
      <c r="AF38" s="3"/>
      <c r="AG38" s="20"/>
      <c r="AH38" s="107" t="s">
        <v>199</v>
      </c>
      <c r="AI38" s="107"/>
      <c r="AJ38" s="107"/>
      <c r="AK38" s="107"/>
      <c r="AL38" s="108"/>
      <c r="AN38" s="67">
        <f t="shared" si="2"/>
        <v>-0.74007287785008202</v>
      </c>
      <c r="AO38" s="67">
        <f t="shared" si="2"/>
        <v>-0.1626910044313945</v>
      </c>
      <c r="AP38" s="67">
        <f t="shared" si="2"/>
        <v>-0.57972255015465635</v>
      </c>
      <c r="AY38" s="67">
        <f t="shared" si="0"/>
        <v>288.74007287785008</v>
      </c>
      <c r="AZ38" s="67">
        <f t="shared" si="1"/>
        <v>99.162691004431395</v>
      </c>
      <c r="BA38" s="67">
        <f t="shared" si="3"/>
        <v>234.57972255015466</v>
      </c>
      <c r="BC38">
        <f t="shared" si="4"/>
        <v>29.117813358347327</v>
      </c>
      <c r="BD38">
        <v>1013.2</v>
      </c>
      <c r="BE38">
        <f t="shared" si="5"/>
        <v>28.94268568196501</v>
      </c>
    </row>
    <row r="39" spans="1:57" x14ac:dyDescent="0.2">
      <c r="A39" s="13">
        <v>30</v>
      </c>
      <c r="B39" s="3">
        <v>6</v>
      </c>
      <c r="C39" s="17">
        <v>7</v>
      </c>
      <c r="D39" s="3">
        <v>4</v>
      </c>
      <c r="E39" s="18">
        <v>5</v>
      </c>
      <c r="F39" s="18">
        <v>5</v>
      </c>
      <c r="G39" s="18">
        <v>62</v>
      </c>
      <c r="H39" s="19">
        <v>1</v>
      </c>
      <c r="I39" s="18">
        <v>5</v>
      </c>
      <c r="J39" s="18">
        <v>22</v>
      </c>
      <c r="K39" s="20">
        <v>133</v>
      </c>
      <c r="L39" s="18">
        <v>250</v>
      </c>
      <c r="M39" s="18">
        <v>230</v>
      </c>
      <c r="N39" s="18">
        <v>266</v>
      </c>
      <c r="O39" s="18">
        <v>84</v>
      </c>
      <c r="P39" s="18">
        <v>221</v>
      </c>
      <c r="Q39" s="17">
        <v>7</v>
      </c>
      <c r="R39" s="17">
        <v>8</v>
      </c>
      <c r="S39" s="17" t="s">
        <v>89</v>
      </c>
      <c r="T39" s="17" t="s">
        <v>89</v>
      </c>
      <c r="U39" s="17">
        <v>4</v>
      </c>
      <c r="V39" s="3">
        <v>8</v>
      </c>
      <c r="W39" s="20">
        <v>54</v>
      </c>
      <c r="X39" s="17">
        <v>8</v>
      </c>
      <c r="Y39" s="17">
        <v>6</v>
      </c>
      <c r="Z39" s="17">
        <v>6</v>
      </c>
      <c r="AA39" s="20">
        <v>105</v>
      </c>
      <c r="AB39" s="3"/>
      <c r="AC39" s="3"/>
      <c r="AD39" s="20"/>
      <c r="AE39" s="3"/>
      <c r="AF39" s="3"/>
      <c r="AG39" s="20"/>
      <c r="AH39" s="107" t="s">
        <v>85</v>
      </c>
      <c r="AI39" s="107"/>
      <c r="AJ39" s="107"/>
      <c r="AK39" s="107"/>
      <c r="AL39" s="108"/>
      <c r="AN39" s="67">
        <f t="shared" si="2"/>
        <v>-1.080147454114126</v>
      </c>
      <c r="AO39" s="67">
        <f t="shared" si="2"/>
        <v>-0.33517369234905914</v>
      </c>
      <c r="AP39" s="67">
        <f t="shared" si="2"/>
        <v>-0.72606419062842065</v>
      </c>
      <c r="AY39" s="67">
        <f t="shared" si="0"/>
        <v>267.08014745411413</v>
      </c>
      <c r="AZ39" s="67">
        <f t="shared" si="1"/>
        <v>84.335173692349059</v>
      </c>
      <c r="BA39" s="67">
        <f t="shared" si="3"/>
        <v>221.72606419062842</v>
      </c>
      <c r="BC39">
        <f t="shared" si="4"/>
        <v>31.668891609615997</v>
      </c>
      <c r="BD39">
        <v>1013.2</v>
      </c>
      <c r="BE39">
        <f t="shared" si="5"/>
        <v>28.080813610211415</v>
      </c>
    </row>
    <row r="40" spans="1:57" x14ac:dyDescent="0.2">
      <c r="A40" s="13"/>
      <c r="B40" s="3"/>
      <c r="C40" s="17"/>
      <c r="D40" s="3"/>
      <c r="E40" s="18"/>
      <c r="F40" s="18"/>
      <c r="G40" s="18"/>
      <c r="H40" s="19"/>
      <c r="I40" s="18"/>
      <c r="J40" s="18"/>
      <c r="K40" s="20"/>
      <c r="L40" s="18"/>
      <c r="M40" s="18"/>
      <c r="N40" s="18"/>
      <c r="O40" s="18"/>
      <c r="P40" s="18"/>
      <c r="Q40" s="17"/>
      <c r="R40" s="17"/>
      <c r="S40" s="17"/>
      <c r="T40" s="17"/>
      <c r="U40" s="17"/>
      <c r="V40" s="3"/>
      <c r="W40" s="20"/>
      <c r="X40" s="17"/>
      <c r="Y40" s="3"/>
      <c r="Z40" s="3"/>
      <c r="AA40" s="20"/>
      <c r="AB40" s="3"/>
      <c r="AC40" s="3"/>
      <c r="AD40" s="20"/>
      <c r="AE40" s="3"/>
      <c r="AF40" s="3"/>
      <c r="AG40" s="20"/>
      <c r="AH40" s="107"/>
      <c r="AI40" s="107"/>
      <c r="AJ40" s="107"/>
      <c r="AK40" s="107"/>
      <c r="AL40" s="108"/>
      <c r="AN40" s="67"/>
      <c r="AO40" s="67"/>
      <c r="AP40" s="67"/>
      <c r="AY40" s="67">
        <f t="shared" si="0"/>
        <v>61.120000000000005</v>
      </c>
      <c r="AZ40" s="67">
        <f t="shared" si="1"/>
        <v>100</v>
      </c>
      <c r="BA40" s="67">
        <f t="shared" si="3"/>
        <v>0</v>
      </c>
      <c r="BC40">
        <f t="shared" si="4"/>
        <v>6.1120000000000001</v>
      </c>
      <c r="BD40">
        <v>1013.2</v>
      </c>
      <c r="BE40">
        <f t="shared" si="5"/>
        <v>6.1120000000000001</v>
      </c>
    </row>
    <row r="41" spans="1:57" x14ac:dyDescent="0.2">
      <c r="A41" s="18"/>
      <c r="B41" s="3"/>
      <c r="C41" s="17"/>
      <c r="D41" s="3"/>
      <c r="E41" s="18"/>
      <c r="F41" s="18"/>
      <c r="G41" s="18"/>
      <c r="H41" s="19"/>
      <c r="I41" s="18"/>
      <c r="J41" s="18"/>
      <c r="K41" s="20"/>
      <c r="L41" s="18"/>
      <c r="M41" s="18"/>
      <c r="N41" s="18"/>
      <c r="O41" s="18"/>
      <c r="P41" s="18"/>
      <c r="Q41" s="17"/>
      <c r="R41" s="17"/>
      <c r="S41" s="17"/>
      <c r="T41" s="17"/>
      <c r="U41" s="17"/>
      <c r="V41" s="3"/>
      <c r="W41" s="20"/>
      <c r="X41" s="3"/>
      <c r="Y41" s="3"/>
      <c r="Z41" s="3"/>
      <c r="AA41" s="20"/>
      <c r="AB41" s="3"/>
      <c r="AC41" s="3"/>
      <c r="AD41" s="20"/>
      <c r="AE41" s="3"/>
      <c r="AF41" s="3"/>
      <c r="AG41" s="20"/>
      <c r="AH41" s="109" t="s">
        <v>233</v>
      </c>
      <c r="AI41" s="107"/>
      <c r="AJ41" s="107"/>
      <c r="AK41" s="107"/>
      <c r="AL41" s="108"/>
      <c r="AN41" s="67"/>
      <c r="AO41" s="67"/>
      <c r="AP41" s="67"/>
    </row>
    <row r="42" spans="1:57" x14ac:dyDescent="0.2">
      <c r="A42" s="13" t="s">
        <v>9</v>
      </c>
      <c r="B42" s="1"/>
      <c r="C42" s="21">
        <f>SUM(C10:C40)</f>
        <v>171</v>
      </c>
      <c r="D42" s="1"/>
      <c r="E42" s="13"/>
      <c r="F42" s="13">
        <f>SUM(F10:F40)</f>
        <v>243</v>
      </c>
      <c r="G42" s="13"/>
      <c r="H42" s="2"/>
      <c r="I42" s="13"/>
      <c r="J42" s="13"/>
      <c r="K42" s="22">
        <f>SUM(K10:K40)</f>
        <v>3810</v>
      </c>
      <c r="L42" s="13">
        <f>SUM(L10:L40)</f>
        <v>7680</v>
      </c>
      <c r="M42" s="13">
        <f>SUM(M10:M40)</f>
        <v>7178</v>
      </c>
      <c r="N42" s="13">
        <f>SUM(N10:N40)</f>
        <v>8535</v>
      </c>
      <c r="O42" s="13">
        <f>SUM(O10:O40)</f>
        <v>2588</v>
      </c>
      <c r="P42" s="13">
        <f t="shared" ref="P42" si="6">SUM(P10:P40)</f>
        <v>6953</v>
      </c>
      <c r="Q42" s="21">
        <f>SUM(Q10:Q40)</f>
        <v>127</v>
      </c>
      <c r="R42" s="21"/>
      <c r="S42" s="21"/>
      <c r="T42" s="21"/>
      <c r="U42" s="21"/>
      <c r="V42" s="1"/>
      <c r="W42" s="22"/>
      <c r="X42" s="1"/>
      <c r="Y42" s="1"/>
      <c r="Z42" s="1"/>
      <c r="AA42" s="22"/>
      <c r="AB42" s="1"/>
      <c r="AC42" s="1"/>
      <c r="AD42" s="22"/>
      <c r="AE42" s="1"/>
      <c r="AF42" s="1"/>
      <c r="AG42" s="22"/>
      <c r="AH42" s="116"/>
      <c r="AI42" s="116"/>
      <c r="AJ42" s="116"/>
      <c r="AK42" s="116"/>
      <c r="AL42" s="117"/>
      <c r="AN42" s="67"/>
      <c r="AO42" s="67"/>
      <c r="AP42" s="67"/>
    </row>
    <row r="43" spans="1:57" ht="13.5" thickBot="1" x14ac:dyDescent="0.25">
      <c r="A43" s="23" t="s">
        <v>10</v>
      </c>
      <c r="B43" s="24"/>
      <c r="C43" s="25">
        <f>AVERAGE(C10:C40)</f>
        <v>5.7</v>
      </c>
      <c r="D43" s="24"/>
      <c r="E43" s="23">
        <f>MODE(E10:E40)</f>
        <v>8</v>
      </c>
      <c r="F43" s="23">
        <f>AVERAGE(F10:F40)</f>
        <v>8.1</v>
      </c>
      <c r="G43" s="23"/>
      <c r="H43" s="26"/>
      <c r="I43" s="23"/>
      <c r="J43" s="23"/>
      <c r="K43" s="27">
        <f>AVERAGE(K10:K40)</f>
        <v>127</v>
      </c>
      <c r="L43" s="23">
        <f t="shared" ref="L43:Q43" si="7">AVERAGE(L10:L40)</f>
        <v>256</v>
      </c>
      <c r="M43" s="23">
        <f t="shared" si="7"/>
        <v>239.26666666666668</v>
      </c>
      <c r="N43" s="23">
        <f t="shared" si="7"/>
        <v>284.5</v>
      </c>
      <c r="O43" s="23">
        <f t="shared" si="7"/>
        <v>86.266666666666666</v>
      </c>
      <c r="P43" s="23">
        <f>AVERAGE(P10:P40)</f>
        <v>231.76666666666668</v>
      </c>
      <c r="Q43" s="25">
        <f t="shared" si="7"/>
        <v>4.2333333333333334</v>
      </c>
      <c r="R43" s="25"/>
      <c r="S43" s="25"/>
      <c r="T43" s="25"/>
      <c r="U43" s="25"/>
      <c r="V43" s="24"/>
      <c r="W43" s="27"/>
      <c r="X43" s="24"/>
      <c r="Y43" s="24"/>
      <c r="Z43" s="24"/>
      <c r="AA43" s="27"/>
      <c r="AB43" s="24"/>
      <c r="AC43" s="24"/>
      <c r="AD43" s="27"/>
      <c r="AE43" s="24"/>
      <c r="AF43" s="24"/>
      <c r="AG43" s="27"/>
      <c r="AH43" s="111"/>
      <c r="AI43" s="111"/>
      <c r="AJ43" s="111"/>
      <c r="AK43" s="111"/>
      <c r="AL43" s="112"/>
      <c r="AN43" s="67">
        <f>AVERAGE(AN10:AN40)</f>
        <v>-1.1211171257004102</v>
      </c>
      <c r="AO43" s="67">
        <f t="shared" ref="AO43:AP43" si="8">AVERAGE(AO10:AO40)</f>
        <v>-0.84910074784578737</v>
      </c>
      <c r="AP43" s="67">
        <f t="shared" si="8"/>
        <v>-0.90160019560140936</v>
      </c>
    </row>
    <row r="44" spans="1:57" x14ac:dyDescent="0.2">
      <c r="E44" s="11"/>
      <c r="G44" s="11"/>
      <c r="K44" s="4"/>
      <c r="M44" s="11"/>
      <c r="P44" s="11"/>
      <c r="Q44" s="11"/>
      <c r="W44" s="4"/>
      <c r="AA44" s="4"/>
      <c r="AD44" s="4"/>
    </row>
    <row r="45" spans="1:57" x14ac:dyDescent="0.2">
      <c r="E45" s="11"/>
      <c r="G45" s="11"/>
      <c r="K45" s="4"/>
      <c r="M45" s="11"/>
      <c r="P45" s="11"/>
      <c r="Q45" s="11"/>
      <c r="W45" s="4"/>
      <c r="AA45" s="4"/>
    </row>
    <row r="46" spans="1:57" x14ac:dyDescent="0.2">
      <c r="E46" s="11"/>
      <c r="G46" s="11"/>
      <c r="M46" s="11"/>
      <c r="P46" s="11"/>
      <c r="Q46" s="11"/>
      <c r="W46" s="4"/>
      <c r="AA46" s="4"/>
    </row>
    <row r="47" spans="1:57" x14ac:dyDescent="0.2">
      <c r="E47" s="11"/>
      <c r="G47" s="11"/>
      <c r="M47" s="11"/>
      <c r="P47" s="11"/>
      <c r="Q47" s="11"/>
    </row>
    <row r="48" spans="1:57" x14ac:dyDescent="0.2">
      <c r="E48" s="11"/>
      <c r="G48" s="11"/>
      <c r="M48" s="11"/>
      <c r="P48" s="11"/>
      <c r="Q48" s="11"/>
    </row>
    <row r="49" spans="5:17" x14ac:dyDescent="0.2">
      <c r="E49" s="11"/>
      <c r="G49" s="11"/>
      <c r="M49" s="11"/>
      <c r="P49" s="11"/>
      <c r="Q49" s="11"/>
    </row>
  </sheetData>
  <mergeCells count="72">
    <mergeCell ref="AH41:AL41"/>
    <mergeCell ref="AH42:AL42"/>
    <mergeCell ref="AH43:AL43"/>
    <mergeCell ref="AH36:AL36"/>
    <mergeCell ref="AH37:AL37"/>
    <mergeCell ref="AH38:AL38"/>
    <mergeCell ref="AH39:AL39"/>
    <mergeCell ref="AH40:AL40"/>
    <mergeCell ref="AH31:AL31"/>
    <mergeCell ref="AH32:AL32"/>
    <mergeCell ref="AH33:AL33"/>
    <mergeCell ref="AH34:AL34"/>
    <mergeCell ref="AH35:AL35"/>
    <mergeCell ref="AH26:AL26"/>
    <mergeCell ref="AH27:AL27"/>
    <mergeCell ref="AH28:AL28"/>
    <mergeCell ref="AH29:AL29"/>
    <mergeCell ref="AH30:AL30"/>
    <mergeCell ref="AH21:AL21"/>
    <mergeCell ref="AH22:AL22"/>
    <mergeCell ref="AH23:AL23"/>
    <mergeCell ref="AH24:AL24"/>
    <mergeCell ref="AH25:AL25"/>
    <mergeCell ref="AH16:AL16"/>
    <mergeCell ref="AH17:AL17"/>
    <mergeCell ref="AH18:AL18"/>
    <mergeCell ref="AH19:AL19"/>
    <mergeCell ref="AH20:AL20"/>
    <mergeCell ref="AH11:AL11"/>
    <mergeCell ref="AH12:AL12"/>
    <mergeCell ref="AH13:AL13"/>
    <mergeCell ref="AH14:AL14"/>
    <mergeCell ref="AH15:AL15"/>
    <mergeCell ref="U8:W8"/>
    <mergeCell ref="X8:AA8"/>
    <mergeCell ref="AB8:AD8"/>
    <mergeCell ref="AE8:AG8"/>
    <mergeCell ref="AH10:AL10"/>
    <mergeCell ref="AH7:AL9"/>
    <mergeCell ref="P8:P9"/>
    <mergeCell ref="Q8:Q9"/>
    <mergeCell ref="R8:R9"/>
    <mergeCell ref="S8:S9"/>
    <mergeCell ref="T8:T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3:T3"/>
    <mergeCell ref="E7:F7"/>
    <mergeCell ref="L7:P7"/>
    <mergeCell ref="Q7:T7"/>
    <mergeCell ref="U7:AG7"/>
    <mergeCell ref="AN7:AP7"/>
    <mergeCell ref="AY7:BA7"/>
    <mergeCell ref="AN8:AN9"/>
    <mergeCell ref="AO8:AO9"/>
    <mergeCell ref="AP8:AP9"/>
    <mergeCell ref="AY8:AY9"/>
    <mergeCell ref="AZ8:AZ9"/>
    <mergeCell ref="BA8:BA9"/>
  </mergeCells>
  <phoneticPr fontId="2" type="noConversion"/>
  <dataValidations count="5">
    <dataValidation type="whole" allowBlank="1" showInputMessage="1" showErrorMessage="1" sqref="C10:C40" xr:uid="{00000000-0002-0000-0E00-000000000000}">
      <formula1>0</formula1>
      <formula2>9</formula2>
    </dataValidation>
    <dataValidation type="whole" allowBlank="1" showInputMessage="1" showErrorMessage="1" sqref="AE10:AE40" xr:uid="{00000000-0002-0000-0E00-000001000000}">
      <formula1>1</formula1>
      <formula2>9</formula2>
    </dataValidation>
    <dataValidation type="whole" allowBlank="1" showInputMessage="1" showErrorMessage="1" sqref="D10:D40" xr:uid="{00000000-0002-0000-0E00-000002000000}">
      <formula1>0</formula1>
      <formula2>4</formula2>
    </dataValidation>
    <dataValidation type="whole" allowBlank="1" showInputMessage="1" showErrorMessage="1" sqref="AB10:AB40" xr:uid="{00000000-0002-0000-0E00-000003000000}">
      <formula1>5</formula1>
      <formula2>9</formula2>
    </dataValidation>
    <dataValidation type="whole" allowBlank="1" showInputMessage="1" showErrorMessage="1" sqref="Y10:Y40" xr:uid="{00000000-0002-0000-0E00-000004000000}">
      <formula1>3</formula1>
      <formula2>9</formula2>
    </dataValidation>
  </dataValidations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49"/>
  <sheetViews>
    <sheetView workbookViewId="0">
      <pane xSplit="2" ySplit="9" topLeftCell="C10" activePane="bottomRight" state="frozen"/>
      <selection activeCell="AM2" sqref="AM2"/>
      <selection pane="topRight" activeCell="AM2" sqref="AM2"/>
      <selection pane="bottomLeft" activeCell="AM2" sqref="AM2"/>
      <selection pane="bottomRight" activeCell="N29" sqref="N29:P29"/>
    </sheetView>
  </sheetViews>
  <sheetFormatPr defaultRowHeight="12.75" x14ac:dyDescent="0.2"/>
  <cols>
    <col min="1" max="1" width="4.28515625" bestFit="1" customWidth="1"/>
    <col min="2" max="2" width="5.140625" bestFit="1" customWidth="1"/>
    <col min="3" max="3" width="4" bestFit="1" customWidth="1"/>
    <col min="4" max="5" width="3" bestFit="1" customWidth="1"/>
    <col min="6" max="6" width="4" bestFit="1" customWidth="1"/>
    <col min="7" max="10" width="3" bestFit="1" customWidth="1"/>
    <col min="11" max="11" width="8.5703125" bestFit="1" customWidth="1"/>
    <col min="12" max="16" width="5" bestFit="1" customWidth="1"/>
    <col min="17" max="22" width="3" bestFit="1" customWidth="1"/>
    <col min="23" max="23" width="5.28515625" bestFit="1" customWidth="1"/>
    <col min="24" max="26" width="3" bestFit="1" customWidth="1"/>
    <col min="27" max="27" width="5.28515625" bestFit="1" customWidth="1"/>
    <col min="28" max="29" width="3" bestFit="1" customWidth="1"/>
    <col min="30" max="30" width="5.28515625" bestFit="1" customWidth="1"/>
    <col min="31" max="32" width="3" bestFit="1" customWidth="1"/>
    <col min="33" max="33" width="5.28515625" bestFit="1" customWidth="1"/>
    <col min="34" max="34" width="5.42578125" customWidth="1"/>
    <col min="40" max="42" width="4.7109375" customWidth="1"/>
    <col min="50" max="58" width="0" hidden="1" customWidth="1"/>
  </cols>
  <sheetData>
    <row r="1" spans="1:5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  <c r="P1" s="1"/>
      <c r="Q1" s="1"/>
      <c r="R1" s="1"/>
    </row>
    <row r="2" spans="1:57" ht="36.75" customHeight="1" x14ac:dyDescent="0.2">
      <c r="A2" s="1"/>
      <c r="B2" s="1"/>
      <c r="C2" s="1"/>
      <c r="D2" s="1"/>
      <c r="E2" s="1"/>
      <c r="F2" s="1"/>
      <c r="G2" s="1"/>
      <c r="H2" s="1"/>
      <c r="I2" s="2"/>
      <c r="J2" s="2"/>
      <c r="K2" s="1"/>
      <c r="L2" s="1"/>
      <c r="M2" s="1"/>
      <c r="O2" s="2"/>
      <c r="P2" s="1"/>
      <c r="Q2" s="1"/>
      <c r="R2" s="1"/>
    </row>
    <row r="3" spans="1:5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80"/>
      <c r="Q3" s="80"/>
      <c r="R3" s="80"/>
      <c r="S3" s="80"/>
      <c r="T3" s="80"/>
    </row>
    <row r="4" spans="1:5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7" spans="1:57" ht="14.25" x14ac:dyDescent="0.25">
      <c r="A7" s="7"/>
      <c r="B7" s="7"/>
      <c r="C7" s="7"/>
      <c r="D7" s="7"/>
      <c r="E7" s="81" t="s">
        <v>20</v>
      </c>
      <c r="F7" s="81"/>
      <c r="G7" s="7"/>
      <c r="H7" s="7"/>
      <c r="I7" s="7"/>
      <c r="J7" s="7"/>
      <c r="K7" s="7"/>
      <c r="L7" s="82" t="s">
        <v>11</v>
      </c>
      <c r="M7" s="82"/>
      <c r="N7" s="82"/>
      <c r="O7" s="82"/>
      <c r="P7" s="82"/>
      <c r="Q7" s="83" t="s">
        <v>29</v>
      </c>
      <c r="R7" s="83"/>
      <c r="S7" s="83"/>
      <c r="T7" s="83"/>
      <c r="U7" s="84" t="s">
        <v>33</v>
      </c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98" t="s">
        <v>8</v>
      </c>
      <c r="AI7" s="99"/>
      <c r="AJ7" s="99"/>
      <c r="AK7" s="99"/>
      <c r="AL7" s="100"/>
      <c r="AN7" s="73" t="s">
        <v>80</v>
      </c>
      <c r="AO7" s="74"/>
      <c r="AP7" s="75"/>
      <c r="AY7" s="76" t="s">
        <v>81</v>
      </c>
      <c r="AZ7" s="77"/>
      <c r="BA7" s="78"/>
    </row>
    <row r="8" spans="1:57" ht="16.5" customHeight="1" x14ac:dyDescent="0.2">
      <c r="A8" s="85" t="s">
        <v>18</v>
      </c>
      <c r="B8" s="89" t="s">
        <v>19</v>
      </c>
      <c r="C8" s="90" t="s">
        <v>23</v>
      </c>
      <c r="D8" s="88" t="s">
        <v>24</v>
      </c>
      <c r="E8" s="91" t="s">
        <v>25</v>
      </c>
      <c r="F8" s="86" t="s">
        <v>26</v>
      </c>
      <c r="G8" s="88" t="s">
        <v>27</v>
      </c>
      <c r="H8" s="88" t="s">
        <v>0</v>
      </c>
      <c r="I8" s="88" t="s">
        <v>21</v>
      </c>
      <c r="J8" s="88" t="s">
        <v>22</v>
      </c>
      <c r="K8" s="85" t="s">
        <v>28</v>
      </c>
      <c r="L8" s="79" t="s">
        <v>1</v>
      </c>
      <c r="M8" s="79" t="s">
        <v>2</v>
      </c>
      <c r="N8" s="79" t="s">
        <v>3</v>
      </c>
      <c r="O8" s="79" t="s">
        <v>4</v>
      </c>
      <c r="P8" s="79" t="s">
        <v>5</v>
      </c>
      <c r="Q8" s="92" t="s">
        <v>34</v>
      </c>
      <c r="R8" s="92" t="s">
        <v>30</v>
      </c>
      <c r="S8" s="92" t="s">
        <v>31</v>
      </c>
      <c r="T8" s="92" t="s">
        <v>32</v>
      </c>
      <c r="U8" s="93" t="s">
        <v>38</v>
      </c>
      <c r="V8" s="93"/>
      <c r="W8" s="93"/>
      <c r="X8" s="93" t="s">
        <v>39</v>
      </c>
      <c r="Y8" s="93"/>
      <c r="Z8" s="93"/>
      <c r="AA8" s="93"/>
      <c r="AB8" s="93" t="s">
        <v>40</v>
      </c>
      <c r="AC8" s="93"/>
      <c r="AD8" s="93"/>
      <c r="AE8" s="93" t="s">
        <v>41</v>
      </c>
      <c r="AF8" s="94"/>
      <c r="AG8" s="95"/>
      <c r="AH8" s="101"/>
      <c r="AI8" s="102"/>
      <c r="AJ8" s="102"/>
      <c r="AK8" s="102"/>
      <c r="AL8" s="103"/>
      <c r="AN8" s="79" t="s">
        <v>3</v>
      </c>
      <c r="AO8" s="79" t="s">
        <v>4</v>
      </c>
      <c r="AP8" s="79" t="s">
        <v>5</v>
      </c>
      <c r="AY8" s="79" t="s">
        <v>3</v>
      </c>
      <c r="AZ8" s="79" t="s">
        <v>4</v>
      </c>
      <c r="BA8" s="79" t="s">
        <v>5</v>
      </c>
    </row>
    <row r="9" spans="1:57" s="3" customFormat="1" ht="72" customHeight="1" x14ac:dyDescent="0.2">
      <c r="A9" s="85"/>
      <c r="B9" s="89"/>
      <c r="C9" s="90"/>
      <c r="D9" s="88"/>
      <c r="E9" s="91"/>
      <c r="F9" s="87"/>
      <c r="G9" s="88"/>
      <c r="H9" s="88"/>
      <c r="I9" s="88"/>
      <c r="J9" s="88"/>
      <c r="K9" s="85"/>
      <c r="L9" s="79"/>
      <c r="M9" s="79"/>
      <c r="N9" s="79"/>
      <c r="O9" s="79"/>
      <c r="P9" s="79"/>
      <c r="Q9" s="92"/>
      <c r="R9" s="92"/>
      <c r="S9" s="92"/>
      <c r="T9" s="92"/>
      <c r="U9" s="8" t="s">
        <v>16</v>
      </c>
      <c r="V9" s="8" t="s">
        <v>6</v>
      </c>
      <c r="W9" s="9" t="s">
        <v>7</v>
      </c>
      <c r="X9" s="8" t="s">
        <v>17</v>
      </c>
      <c r="Y9" s="8" t="s">
        <v>16</v>
      </c>
      <c r="Z9" s="8" t="s">
        <v>6</v>
      </c>
      <c r="AA9" s="9" t="s">
        <v>7</v>
      </c>
      <c r="AB9" s="8" t="s">
        <v>16</v>
      </c>
      <c r="AC9" s="8" t="s">
        <v>6</v>
      </c>
      <c r="AD9" s="9" t="s">
        <v>7</v>
      </c>
      <c r="AE9" s="8" t="s">
        <v>16</v>
      </c>
      <c r="AF9" s="8" t="s">
        <v>6</v>
      </c>
      <c r="AG9" s="9" t="s">
        <v>7</v>
      </c>
      <c r="AH9" s="104"/>
      <c r="AI9" s="105"/>
      <c r="AJ9" s="105"/>
      <c r="AK9" s="105"/>
      <c r="AL9" s="106"/>
      <c r="AN9" s="79"/>
      <c r="AO9" s="79"/>
      <c r="AP9" s="79"/>
      <c r="AY9" s="79"/>
      <c r="AZ9" s="79"/>
      <c r="BA9" s="79"/>
      <c r="BC9" s="3" t="s">
        <v>82</v>
      </c>
      <c r="BD9" s="3" t="s">
        <v>83</v>
      </c>
      <c r="BE9" s="3" t="s">
        <v>84</v>
      </c>
    </row>
    <row r="10" spans="1:57" x14ac:dyDescent="0.2">
      <c r="A10" s="13">
        <v>1</v>
      </c>
      <c r="B10" s="3">
        <v>5</v>
      </c>
      <c r="C10" s="17">
        <v>5</v>
      </c>
      <c r="D10" s="3">
        <v>4</v>
      </c>
      <c r="E10" s="18">
        <v>9</v>
      </c>
      <c r="F10" s="18">
        <v>10</v>
      </c>
      <c r="G10" s="18">
        <v>75</v>
      </c>
      <c r="H10" s="19">
        <v>2</v>
      </c>
      <c r="I10" s="18"/>
      <c r="J10" s="18"/>
      <c r="K10" s="20">
        <v>126</v>
      </c>
      <c r="L10" s="18">
        <v>260</v>
      </c>
      <c r="M10" s="18">
        <v>245</v>
      </c>
      <c r="N10" s="18">
        <v>295</v>
      </c>
      <c r="O10" s="18">
        <v>88</v>
      </c>
      <c r="P10" s="18">
        <v>238</v>
      </c>
      <c r="Q10" s="17">
        <v>2</v>
      </c>
      <c r="R10" s="17">
        <v>1</v>
      </c>
      <c r="S10" s="17">
        <v>0</v>
      </c>
      <c r="T10" s="17">
        <v>1</v>
      </c>
      <c r="U10" s="17">
        <v>2</v>
      </c>
      <c r="V10" s="3">
        <v>8</v>
      </c>
      <c r="W10" s="20">
        <v>63</v>
      </c>
      <c r="X10" s="3">
        <v>8</v>
      </c>
      <c r="Y10" s="3">
        <v>5</v>
      </c>
      <c r="Z10" s="3">
        <v>0</v>
      </c>
      <c r="AA10" s="20">
        <v>840</v>
      </c>
      <c r="AB10" s="3"/>
      <c r="AC10" s="3"/>
      <c r="AD10" s="20"/>
      <c r="AE10" s="3"/>
      <c r="AF10" s="3"/>
      <c r="AG10" s="20"/>
      <c r="AH10" s="96"/>
      <c r="AI10" s="96"/>
      <c r="AJ10" s="96"/>
      <c r="AK10" s="96"/>
      <c r="AL10" s="97"/>
      <c r="AN10" s="67">
        <f>N10-AY10</f>
        <v>-2.0486839502706857</v>
      </c>
      <c r="AO10" s="67">
        <f>O10-AZ10</f>
        <v>-0.38403969997190757</v>
      </c>
      <c r="AP10" s="67">
        <f>P10-BA10</f>
        <v>-1.2869143939119851</v>
      </c>
      <c r="AY10" s="67">
        <f t="shared" ref="AY10:AY40" si="0">10*(BE10-BD10*((L10/10)-(M10/10))*0.00066*(1+(0.00115*(M10/10))))</f>
        <v>297.04868395027069</v>
      </c>
      <c r="AZ10" s="67">
        <f t="shared" ref="AZ10:AZ40" si="1">((AY10/10)*100)/BC10</f>
        <v>88.384039699971908</v>
      </c>
      <c r="BA10" s="67">
        <f>(243.5*LN((AY10/10)/6.112))/(17.67-LN((AY10/10)/6.112))*10</f>
        <v>239.28691439391199</v>
      </c>
      <c r="BC10">
        <f>6.112*2.718^((17.67*(L10/10))/((L10/10)+243.5))</f>
        <v>33.608860260136439</v>
      </c>
      <c r="BD10">
        <v>1013.2</v>
      </c>
      <c r="BE10">
        <f>6.112*2.718^((17.67*(M10/10))/((M10/10)+243.5))</f>
        <v>30.736197835927069</v>
      </c>
    </row>
    <row r="11" spans="1:57" x14ac:dyDescent="0.2">
      <c r="A11" s="13">
        <v>2</v>
      </c>
      <c r="B11" s="3">
        <v>5</v>
      </c>
      <c r="C11" s="17">
        <v>4</v>
      </c>
      <c r="D11" s="3">
        <v>4</v>
      </c>
      <c r="E11" s="18">
        <v>9</v>
      </c>
      <c r="F11" s="18">
        <v>9</v>
      </c>
      <c r="G11" s="18">
        <v>78</v>
      </c>
      <c r="H11" s="19">
        <v>2</v>
      </c>
      <c r="I11" s="18"/>
      <c r="J11" s="18"/>
      <c r="K11" s="20">
        <v>126</v>
      </c>
      <c r="L11" s="18">
        <v>263</v>
      </c>
      <c r="M11" s="18">
        <v>246</v>
      </c>
      <c r="N11" s="18">
        <v>296</v>
      </c>
      <c r="O11" s="18">
        <v>87</v>
      </c>
      <c r="P11" s="18">
        <v>239</v>
      </c>
      <c r="Q11" s="17">
        <v>4</v>
      </c>
      <c r="R11" s="17">
        <v>2</v>
      </c>
      <c r="S11" s="17">
        <v>0</v>
      </c>
      <c r="T11" s="17">
        <v>0</v>
      </c>
      <c r="U11" s="17">
        <v>4</v>
      </c>
      <c r="V11" s="3">
        <v>8</v>
      </c>
      <c r="W11" s="20">
        <v>60</v>
      </c>
      <c r="X11" s="3">
        <v>8</v>
      </c>
      <c r="Y11" s="3"/>
      <c r="Z11" s="3"/>
      <c r="AA11" s="20"/>
      <c r="AB11" s="3"/>
      <c r="AC11" s="3"/>
      <c r="AD11" s="20"/>
      <c r="AE11" s="3"/>
      <c r="AF11" s="3"/>
      <c r="AG11" s="20"/>
      <c r="AH11" s="107"/>
      <c r="AI11" s="107"/>
      <c r="AJ11" s="107"/>
      <c r="AK11" s="107"/>
      <c r="AL11" s="108"/>
      <c r="AN11" s="67">
        <f t="shared" ref="AN11:AP39" si="2">N11-AY11</f>
        <v>-1.5181779487697327</v>
      </c>
      <c r="AO11" s="67">
        <f t="shared" si="2"/>
        <v>3.3744954576008013E-2</v>
      </c>
      <c r="AP11" s="67">
        <f t="shared" si="2"/>
        <v>-0.54944657491299154</v>
      </c>
      <c r="AY11" s="67">
        <f t="shared" si="0"/>
        <v>297.51817794876973</v>
      </c>
      <c r="AZ11" s="67">
        <f t="shared" si="1"/>
        <v>86.966255045423992</v>
      </c>
      <c r="BA11" s="67">
        <f t="shared" ref="BA11:BA40" si="3">(243.5*LN((AY11/10)/6.112))/(17.67-LN((AY11/10)/6.112))*10</f>
        <v>239.54944657491299</v>
      </c>
      <c r="BC11">
        <f t="shared" ref="BC11:BC40" si="4">6.112*2.718^((17.67*(L11/10))/((L11/10)+243.5))</f>
        <v>34.210761150215198</v>
      </c>
      <c r="BD11">
        <v>1013.2</v>
      </c>
      <c r="BE11">
        <f t="shared" ref="BE11:BE40" si="5">6.112*2.718^((17.67*(M11/10))/((M11/10)+243.5))</f>
        <v>30.920788561092973</v>
      </c>
    </row>
    <row r="12" spans="1:57" x14ac:dyDescent="0.2">
      <c r="A12" s="13">
        <v>3</v>
      </c>
      <c r="B12" s="3">
        <v>5</v>
      </c>
      <c r="C12" s="17">
        <v>1</v>
      </c>
      <c r="D12" s="3">
        <v>4</v>
      </c>
      <c r="E12" s="18">
        <v>9</v>
      </c>
      <c r="F12" s="18">
        <v>5</v>
      </c>
      <c r="G12" s="18">
        <v>70</v>
      </c>
      <c r="H12" s="19">
        <v>1</v>
      </c>
      <c r="I12" s="18">
        <v>6</v>
      </c>
      <c r="J12" s="18">
        <v>0</v>
      </c>
      <c r="K12" s="20">
        <v>117</v>
      </c>
      <c r="L12" s="18">
        <v>256</v>
      </c>
      <c r="M12" s="18">
        <v>238</v>
      </c>
      <c r="N12" s="18">
        <v>281</v>
      </c>
      <c r="O12" s="18">
        <v>86</v>
      </c>
      <c r="P12" s="18">
        <v>230</v>
      </c>
      <c r="Q12" s="17">
        <v>1</v>
      </c>
      <c r="R12" s="17">
        <v>8</v>
      </c>
      <c r="S12" s="17">
        <v>0</v>
      </c>
      <c r="T12" s="17">
        <v>1</v>
      </c>
      <c r="U12" s="17">
        <v>1</v>
      </c>
      <c r="V12" s="3">
        <v>8</v>
      </c>
      <c r="W12" s="20">
        <v>57</v>
      </c>
      <c r="X12" s="3">
        <v>8</v>
      </c>
      <c r="Y12" s="3"/>
      <c r="Z12" s="3"/>
      <c r="AA12" s="20"/>
      <c r="AB12" s="3"/>
      <c r="AC12" s="3"/>
      <c r="AD12" s="20"/>
      <c r="AE12" s="3"/>
      <c r="AF12" s="3"/>
      <c r="AG12" s="20"/>
      <c r="AH12" s="96" t="s">
        <v>85</v>
      </c>
      <c r="AI12" s="96"/>
      <c r="AJ12" s="96"/>
      <c r="AK12" s="96"/>
      <c r="AL12" s="97"/>
      <c r="AN12" s="67">
        <f t="shared" si="2"/>
        <v>-1.3422869449683503</v>
      </c>
      <c r="AO12" s="67">
        <f t="shared" si="2"/>
        <v>-2.5554965803294749E-2</v>
      </c>
      <c r="AP12" s="67">
        <f t="shared" si="2"/>
        <v>-0.87354646275517212</v>
      </c>
      <c r="AY12" s="67">
        <f t="shared" si="0"/>
        <v>282.34228694496835</v>
      </c>
      <c r="AZ12" s="67">
        <f t="shared" si="1"/>
        <v>86.025554965803295</v>
      </c>
      <c r="BA12" s="67">
        <f t="shared" si="3"/>
        <v>230.87354646275517</v>
      </c>
      <c r="BC12">
        <f t="shared" si="4"/>
        <v>32.820745772253893</v>
      </c>
      <c r="BD12">
        <v>1013.2</v>
      </c>
      <c r="BE12">
        <f t="shared" si="5"/>
        <v>29.470855059888834</v>
      </c>
    </row>
    <row r="13" spans="1:57" x14ac:dyDescent="0.2">
      <c r="A13" s="13">
        <v>4</v>
      </c>
      <c r="B13" s="3">
        <v>5</v>
      </c>
      <c r="C13" s="17">
        <v>1</v>
      </c>
      <c r="D13" s="3">
        <v>4</v>
      </c>
      <c r="E13" s="18">
        <v>0</v>
      </c>
      <c r="F13" s="18">
        <v>0</v>
      </c>
      <c r="G13" s="18">
        <v>75</v>
      </c>
      <c r="H13" s="19">
        <v>2</v>
      </c>
      <c r="I13" s="18"/>
      <c r="J13" s="18"/>
      <c r="K13" s="20">
        <v>128</v>
      </c>
      <c r="L13" s="18">
        <v>257</v>
      </c>
      <c r="M13" s="18">
        <v>244</v>
      </c>
      <c r="N13" s="18">
        <v>295</v>
      </c>
      <c r="O13" s="18">
        <v>89</v>
      </c>
      <c r="P13" s="18">
        <v>238</v>
      </c>
      <c r="Q13" s="17">
        <v>1</v>
      </c>
      <c r="R13" s="17">
        <v>8</v>
      </c>
      <c r="S13" s="17">
        <v>0</v>
      </c>
      <c r="T13" s="17">
        <v>1</v>
      </c>
      <c r="U13" s="17">
        <v>1</v>
      </c>
      <c r="V13" s="3">
        <v>8</v>
      </c>
      <c r="W13" s="20">
        <v>60</v>
      </c>
      <c r="X13" s="3">
        <v>8</v>
      </c>
      <c r="Y13" s="3"/>
      <c r="Z13" s="3"/>
      <c r="AA13" s="20"/>
      <c r="AB13" s="3"/>
      <c r="AC13" s="3"/>
      <c r="AD13" s="20"/>
      <c r="AE13" s="3"/>
      <c r="AF13" s="3"/>
      <c r="AG13" s="20"/>
      <c r="AH13" s="96"/>
      <c r="AI13" s="96"/>
      <c r="AJ13" s="96"/>
      <c r="AK13" s="96"/>
      <c r="AL13" s="97"/>
      <c r="AN13" s="67">
        <f t="shared" si="2"/>
        <v>-1.5885362993245735</v>
      </c>
      <c r="AO13" s="67">
        <f t="shared" si="2"/>
        <v>-0.83109830375487093</v>
      </c>
      <c r="AP13" s="67">
        <f t="shared" si="2"/>
        <v>-1.0292556959692831</v>
      </c>
      <c r="AY13" s="67">
        <f t="shared" si="0"/>
        <v>296.58853629932457</v>
      </c>
      <c r="AZ13" s="67">
        <f t="shared" si="1"/>
        <v>89.831098303754871</v>
      </c>
      <c r="BA13" s="67">
        <f t="shared" si="3"/>
        <v>239.02925569596928</v>
      </c>
      <c r="BC13">
        <f t="shared" si="4"/>
        <v>33.016242915837466</v>
      </c>
      <c r="BD13">
        <v>1013.2</v>
      </c>
      <c r="BE13">
        <f t="shared" si="5"/>
        <v>30.552572506268454</v>
      </c>
    </row>
    <row r="14" spans="1:57" x14ac:dyDescent="0.2">
      <c r="A14" s="13">
        <v>5</v>
      </c>
      <c r="B14" s="3">
        <v>5</v>
      </c>
      <c r="C14" s="17">
        <v>4</v>
      </c>
      <c r="D14" s="3">
        <v>4</v>
      </c>
      <c r="E14" s="18">
        <v>10</v>
      </c>
      <c r="F14" s="18">
        <v>11</v>
      </c>
      <c r="G14" s="18">
        <v>80</v>
      </c>
      <c r="H14" s="19">
        <v>2</v>
      </c>
      <c r="I14" s="18"/>
      <c r="J14" s="18"/>
      <c r="K14" s="20">
        <v>132</v>
      </c>
      <c r="L14" s="18">
        <v>265</v>
      </c>
      <c r="M14" s="18">
        <v>245</v>
      </c>
      <c r="N14" s="18">
        <v>291</v>
      </c>
      <c r="O14" s="18">
        <v>84</v>
      </c>
      <c r="P14" s="18">
        <v>236</v>
      </c>
      <c r="Q14" s="17">
        <v>3</v>
      </c>
      <c r="R14" s="17">
        <v>2</v>
      </c>
      <c r="S14" s="17">
        <v>0</v>
      </c>
      <c r="T14" s="17">
        <v>1</v>
      </c>
      <c r="U14" s="17">
        <v>3</v>
      </c>
      <c r="V14" s="3">
        <v>8</v>
      </c>
      <c r="W14" s="20">
        <v>57</v>
      </c>
      <c r="X14" s="3">
        <v>8</v>
      </c>
      <c r="Y14" s="3"/>
      <c r="Z14" s="3"/>
      <c r="AA14" s="20"/>
      <c r="AB14" s="3"/>
      <c r="AC14" s="3"/>
      <c r="AD14" s="20"/>
      <c r="AE14" s="3"/>
      <c r="AF14" s="3"/>
      <c r="AG14" s="20"/>
      <c r="AH14" s="96"/>
      <c r="AI14" s="96"/>
      <c r="AJ14" s="96"/>
      <c r="AK14" s="96"/>
      <c r="AL14" s="97"/>
      <c r="AN14" s="67">
        <f t="shared" si="2"/>
        <v>-2.6109191472706925</v>
      </c>
      <c r="AO14" s="67">
        <f t="shared" si="2"/>
        <v>-0.81637005629677617</v>
      </c>
      <c r="AP14" s="67">
        <f t="shared" si="2"/>
        <v>-1.3534322275399404</v>
      </c>
      <c r="AY14" s="67">
        <f t="shared" si="0"/>
        <v>293.61091914727069</v>
      </c>
      <c r="AZ14" s="67">
        <f t="shared" si="1"/>
        <v>84.816370056296776</v>
      </c>
      <c r="BA14" s="67">
        <f t="shared" si="3"/>
        <v>237.35343222753994</v>
      </c>
      <c r="BC14">
        <f t="shared" si="4"/>
        <v>34.617246523564582</v>
      </c>
      <c r="BD14">
        <v>1013.2</v>
      </c>
      <c r="BE14">
        <f t="shared" si="5"/>
        <v>30.736197835927069</v>
      </c>
    </row>
    <row r="15" spans="1:57" x14ac:dyDescent="0.2">
      <c r="A15" s="13">
        <v>6</v>
      </c>
      <c r="B15" s="3">
        <v>5</v>
      </c>
      <c r="C15" s="17">
        <v>1</v>
      </c>
      <c r="D15" s="3">
        <v>4</v>
      </c>
      <c r="E15" s="18">
        <v>9</v>
      </c>
      <c r="F15" s="18">
        <v>14</v>
      </c>
      <c r="G15" s="18">
        <v>78</v>
      </c>
      <c r="H15" s="19">
        <v>2</v>
      </c>
      <c r="I15" s="18"/>
      <c r="J15" s="18"/>
      <c r="K15" s="20">
        <v>126</v>
      </c>
      <c r="L15" s="18">
        <v>266</v>
      </c>
      <c r="M15" s="18">
        <v>245</v>
      </c>
      <c r="N15" s="18">
        <v>290</v>
      </c>
      <c r="O15" s="18">
        <v>82</v>
      </c>
      <c r="P15" s="18">
        <v>235</v>
      </c>
      <c r="Q15" s="17">
        <v>1</v>
      </c>
      <c r="R15" s="17">
        <v>2</v>
      </c>
      <c r="S15" s="17">
        <v>0</v>
      </c>
      <c r="T15" s="17">
        <v>0</v>
      </c>
      <c r="U15" s="17">
        <v>1</v>
      </c>
      <c r="V15" s="3">
        <v>8</v>
      </c>
      <c r="W15" s="20">
        <v>66</v>
      </c>
      <c r="X15" s="3">
        <v>8</v>
      </c>
      <c r="Y15" s="3"/>
      <c r="Z15" s="3"/>
      <c r="AA15" s="20"/>
      <c r="AB15" s="3"/>
      <c r="AC15" s="3"/>
      <c r="AD15" s="20"/>
      <c r="AE15" s="3"/>
      <c r="AF15" s="3"/>
      <c r="AG15" s="20"/>
      <c r="AH15" s="96"/>
      <c r="AI15" s="96"/>
      <c r="AJ15" s="96"/>
      <c r="AK15" s="96"/>
      <c r="AL15" s="97"/>
      <c r="AN15" s="67">
        <f t="shared" si="2"/>
        <v>-2.9233661866707052</v>
      </c>
      <c r="AO15" s="67">
        <f t="shared" si="2"/>
        <v>-2.1200364534603722</v>
      </c>
      <c r="AP15" s="67">
        <f t="shared" si="2"/>
        <v>-1.9643584258744227</v>
      </c>
      <c r="AY15" s="67">
        <f t="shared" si="0"/>
        <v>292.92336618667071</v>
      </c>
      <c r="AZ15" s="67">
        <f t="shared" si="1"/>
        <v>84.120036453460372</v>
      </c>
      <c r="BA15" s="67">
        <f t="shared" si="3"/>
        <v>236.96435842587442</v>
      </c>
      <c r="BC15">
        <f t="shared" si="4"/>
        <v>34.822068384234633</v>
      </c>
      <c r="BD15">
        <v>1013.2</v>
      </c>
      <c r="BE15">
        <f t="shared" si="5"/>
        <v>30.736197835927069</v>
      </c>
    </row>
    <row r="16" spans="1:57" x14ac:dyDescent="0.2">
      <c r="A16" s="13">
        <v>7</v>
      </c>
      <c r="B16" s="3">
        <v>5</v>
      </c>
      <c r="C16" s="17">
        <v>1</v>
      </c>
      <c r="D16" s="3">
        <v>4</v>
      </c>
      <c r="E16" s="18">
        <v>9</v>
      </c>
      <c r="F16" s="18">
        <v>6</v>
      </c>
      <c r="G16" s="18">
        <v>80</v>
      </c>
      <c r="H16" s="19">
        <v>2</v>
      </c>
      <c r="I16" s="18"/>
      <c r="J16" s="18"/>
      <c r="K16" s="20">
        <v>117</v>
      </c>
      <c r="L16" s="18">
        <v>260</v>
      </c>
      <c r="M16" s="18">
        <v>235</v>
      </c>
      <c r="N16" s="18">
        <v>270</v>
      </c>
      <c r="O16" s="18">
        <v>80</v>
      </c>
      <c r="P16" s="18">
        <v>223</v>
      </c>
      <c r="Q16" s="17">
        <v>1</v>
      </c>
      <c r="R16" s="17">
        <v>2</v>
      </c>
      <c r="S16" s="17">
        <v>0</v>
      </c>
      <c r="T16" s="17">
        <v>0</v>
      </c>
      <c r="U16" s="17">
        <v>1</v>
      </c>
      <c r="V16" s="3">
        <v>8</v>
      </c>
      <c r="W16" s="20">
        <v>60</v>
      </c>
      <c r="X16" s="3">
        <v>8</v>
      </c>
      <c r="Y16" s="3"/>
      <c r="Z16" s="3"/>
      <c r="AA16" s="20"/>
      <c r="AB16" s="3"/>
      <c r="AC16" s="3"/>
      <c r="AD16" s="20"/>
      <c r="AE16" s="3"/>
      <c r="AF16" s="3"/>
      <c r="AG16" s="20"/>
      <c r="AH16" s="96"/>
      <c r="AI16" s="96"/>
      <c r="AJ16" s="96"/>
      <c r="AK16" s="96"/>
      <c r="AL16" s="97"/>
      <c r="AN16" s="67">
        <f t="shared" si="2"/>
        <v>-2.2572582746500984</v>
      </c>
      <c r="AO16" s="67">
        <f t="shared" si="2"/>
        <v>-1.0075843594063087</v>
      </c>
      <c r="AP16" s="67">
        <f t="shared" si="2"/>
        <v>-1.8792054716885502</v>
      </c>
      <c r="AY16" s="67">
        <f t="shared" si="0"/>
        <v>272.2572582746501</v>
      </c>
      <c r="AZ16" s="67">
        <f t="shared" si="1"/>
        <v>81.007584359406309</v>
      </c>
      <c r="BA16" s="67">
        <f t="shared" si="3"/>
        <v>224.87920547168855</v>
      </c>
      <c r="BC16">
        <f t="shared" si="4"/>
        <v>33.608860260136439</v>
      </c>
      <c r="BD16">
        <v>1013.2</v>
      </c>
      <c r="BE16">
        <f t="shared" si="5"/>
        <v>28.94268568196501</v>
      </c>
    </row>
    <row r="17" spans="1:57" x14ac:dyDescent="0.2">
      <c r="A17" s="13">
        <v>8</v>
      </c>
      <c r="B17" s="3">
        <v>5</v>
      </c>
      <c r="C17" s="17">
        <v>2</v>
      </c>
      <c r="D17" s="3">
        <v>4</v>
      </c>
      <c r="E17" s="18">
        <v>8</v>
      </c>
      <c r="F17" s="18">
        <v>10</v>
      </c>
      <c r="G17" s="18">
        <v>78</v>
      </c>
      <c r="H17" s="19">
        <v>2</v>
      </c>
      <c r="I17" s="18"/>
      <c r="J17" s="18"/>
      <c r="K17" s="20">
        <v>118</v>
      </c>
      <c r="L17" s="18">
        <v>265</v>
      </c>
      <c r="M17" s="18">
        <v>237</v>
      </c>
      <c r="N17" s="18">
        <v>271</v>
      </c>
      <c r="O17" s="18">
        <v>78</v>
      </c>
      <c r="P17" s="18">
        <v>224</v>
      </c>
      <c r="Q17" s="17">
        <v>2</v>
      </c>
      <c r="R17" s="17">
        <v>8</v>
      </c>
      <c r="S17" s="17">
        <v>0</v>
      </c>
      <c r="T17" s="17">
        <v>0</v>
      </c>
      <c r="U17" s="17">
        <v>2</v>
      </c>
      <c r="V17" s="3">
        <v>8</v>
      </c>
      <c r="W17" s="20">
        <v>66</v>
      </c>
      <c r="X17" s="3">
        <v>8</v>
      </c>
      <c r="Y17" s="3"/>
      <c r="Z17" s="3"/>
      <c r="AA17" s="20"/>
      <c r="AB17" s="3"/>
      <c r="AC17" s="3"/>
      <c r="AD17" s="20"/>
      <c r="AE17" s="3"/>
      <c r="AF17" s="3"/>
      <c r="AG17" s="20"/>
      <c r="AH17" s="96"/>
      <c r="AI17" s="96"/>
      <c r="AJ17" s="96"/>
      <c r="AK17" s="96"/>
      <c r="AL17" s="97"/>
      <c r="AN17" s="67">
        <f t="shared" si="2"/>
        <v>-2.704427427754581</v>
      </c>
      <c r="AO17" s="67">
        <f t="shared" si="2"/>
        <v>-1.0659150898784162</v>
      </c>
      <c r="AP17" s="67">
        <f t="shared" si="2"/>
        <v>-1.7512101423430408</v>
      </c>
      <c r="AY17" s="67">
        <f t="shared" si="0"/>
        <v>273.70442742775458</v>
      </c>
      <c r="AZ17" s="67">
        <f t="shared" si="1"/>
        <v>79.065915089878416</v>
      </c>
      <c r="BA17" s="67">
        <f t="shared" si="3"/>
        <v>225.75121014234304</v>
      </c>
      <c r="BC17">
        <f t="shared" si="4"/>
        <v>34.617246523564582</v>
      </c>
      <c r="BD17">
        <v>1013.2</v>
      </c>
      <c r="BE17">
        <f t="shared" si="5"/>
        <v>29.293868430343458</v>
      </c>
    </row>
    <row r="18" spans="1:57" x14ac:dyDescent="0.2">
      <c r="A18" s="13">
        <v>9</v>
      </c>
      <c r="B18" s="3">
        <v>5</v>
      </c>
      <c r="C18" s="17">
        <v>2</v>
      </c>
      <c r="D18" s="3">
        <v>4</v>
      </c>
      <c r="E18" s="18">
        <v>11</v>
      </c>
      <c r="F18" s="18">
        <v>14</v>
      </c>
      <c r="G18" s="18">
        <v>72</v>
      </c>
      <c r="H18" s="19">
        <v>1</v>
      </c>
      <c r="I18" s="18">
        <v>5</v>
      </c>
      <c r="J18" s="18">
        <v>0</v>
      </c>
      <c r="K18" s="20">
        <v>115</v>
      </c>
      <c r="L18" s="18">
        <v>269</v>
      </c>
      <c r="M18" s="18">
        <v>245</v>
      </c>
      <c r="N18" s="18">
        <v>288</v>
      </c>
      <c r="O18" s="18">
        <v>81</v>
      </c>
      <c r="P18" s="18">
        <v>234</v>
      </c>
      <c r="Q18" s="17">
        <v>2</v>
      </c>
      <c r="R18" s="17">
        <v>2</v>
      </c>
      <c r="S18" s="17">
        <v>0</v>
      </c>
      <c r="T18" s="17">
        <v>0</v>
      </c>
      <c r="U18" s="17">
        <v>2</v>
      </c>
      <c r="V18" s="3">
        <v>8</v>
      </c>
      <c r="W18" s="20">
        <v>60</v>
      </c>
      <c r="X18" s="3">
        <v>8</v>
      </c>
      <c r="Y18" s="3"/>
      <c r="Z18" s="3"/>
      <c r="AA18" s="20"/>
      <c r="AB18" s="3"/>
      <c r="AC18" s="3"/>
      <c r="AD18" s="20"/>
      <c r="AE18" s="3"/>
      <c r="AF18" s="3"/>
      <c r="AG18" s="20"/>
      <c r="AH18" s="96" t="s">
        <v>85</v>
      </c>
      <c r="AI18" s="96"/>
      <c r="AJ18" s="96"/>
      <c r="AK18" s="96"/>
      <c r="AL18" s="97"/>
      <c r="AN18" s="67">
        <f t="shared" si="2"/>
        <v>-2.8607073048706866</v>
      </c>
      <c r="AO18" s="67">
        <f t="shared" si="2"/>
        <v>-1.0645764337847226</v>
      </c>
      <c r="AP18" s="67">
        <f t="shared" si="2"/>
        <v>-1.7923189602715581</v>
      </c>
      <c r="AY18" s="67">
        <f t="shared" si="0"/>
        <v>290.86070730487069</v>
      </c>
      <c r="AZ18" s="67">
        <f t="shared" si="1"/>
        <v>82.064576433784723</v>
      </c>
      <c r="BA18" s="67">
        <f t="shared" si="3"/>
        <v>235.79231896027156</v>
      </c>
      <c r="BC18">
        <f t="shared" si="4"/>
        <v>35.442906055764126</v>
      </c>
      <c r="BD18">
        <v>1013.2</v>
      </c>
      <c r="BE18">
        <f t="shared" si="5"/>
        <v>30.736197835927069</v>
      </c>
    </row>
    <row r="19" spans="1:57" x14ac:dyDescent="0.2">
      <c r="A19" s="13">
        <v>10</v>
      </c>
      <c r="B19" s="3">
        <v>5</v>
      </c>
      <c r="C19" s="17">
        <v>3</v>
      </c>
      <c r="D19" s="3">
        <v>4</v>
      </c>
      <c r="E19" s="18">
        <v>8</v>
      </c>
      <c r="F19" s="18">
        <v>8</v>
      </c>
      <c r="G19" s="18">
        <v>75</v>
      </c>
      <c r="H19" s="19">
        <v>2</v>
      </c>
      <c r="I19" s="18"/>
      <c r="J19" s="18"/>
      <c r="K19" s="20">
        <v>109</v>
      </c>
      <c r="L19" s="18">
        <v>260</v>
      </c>
      <c r="M19" s="18">
        <v>246</v>
      </c>
      <c r="N19" s="18">
        <v>299</v>
      </c>
      <c r="O19" s="18">
        <v>89</v>
      </c>
      <c r="P19" s="18">
        <v>240</v>
      </c>
      <c r="Q19" s="17">
        <v>2</v>
      </c>
      <c r="R19" s="17">
        <v>2</v>
      </c>
      <c r="S19" s="17">
        <v>0</v>
      </c>
      <c r="T19" s="17">
        <v>1</v>
      </c>
      <c r="U19" s="17">
        <v>2</v>
      </c>
      <c r="V19" s="3">
        <v>8</v>
      </c>
      <c r="W19" s="20">
        <v>66</v>
      </c>
      <c r="X19" s="17">
        <v>8</v>
      </c>
      <c r="Y19" s="3"/>
      <c r="Z19" s="3"/>
      <c r="AA19" s="20"/>
      <c r="AB19" s="3"/>
      <c r="AC19" s="3"/>
      <c r="AD19" s="20"/>
      <c r="AE19" s="3"/>
      <c r="AF19" s="3"/>
      <c r="AG19" s="20"/>
      <c r="AH19" s="96" t="s">
        <v>85</v>
      </c>
      <c r="AI19" s="96"/>
      <c r="AJ19" s="96"/>
      <c r="AK19" s="96"/>
      <c r="AL19" s="97"/>
      <c r="AN19" s="67">
        <f t="shared" si="2"/>
        <v>-0.58106753620972995</v>
      </c>
      <c r="AO19" s="67">
        <f t="shared" si="2"/>
        <v>-0.13752659787266452</v>
      </c>
      <c r="AP19" s="67">
        <f t="shared" si="2"/>
        <v>-0.69869391694771821</v>
      </c>
      <c r="AY19" s="67">
        <f t="shared" si="0"/>
        <v>299.58106753620973</v>
      </c>
      <c r="AZ19" s="67">
        <f t="shared" si="1"/>
        <v>89.137526597872665</v>
      </c>
      <c r="BA19" s="67">
        <f t="shared" si="3"/>
        <v>240.69869391694772</v>
      </c>
      <c r="BC19">
        <f t="shared" si="4"/>
        <v>33.608860260136439</v>
      </c>
      <c r="BD19">
        <v>1013.2</v>
      </c>
      <c r="BE19">
        <f t="shared" si="5"/>
        <v>30.920788561092973</v>
      </c>
    </row>
    <row r="20" spans="1:57" x14ac:dyDescent="0.2">
      <c r="A20" s="13">
        <v>11</v>
      </c>
      <c r="B20" s="3">
        <v>5</v>
      </c>
      <c r="C20" s="17">
        <v>2</v>
      </c>
      <c r="D20" s="3">
        <v>4</v>
      </c>
      <c r="E20" s="18">
        <v>0</v>
      </c>
      <c r="F20" s="18">
        <v>0</v>
      </c>
      <c r="G20" s="18">
        <v>78</v>
      </c>
      <c r="H20" s="19">
        <v>2</v>
      </c>
      <c r="I20" s="18"/>
      <c r="J20" s="18"/>
      <c r="K20" s="20">
        <v>944</v>
      </c>
      <c r="L20" s="18">
        <v>251</v>
      </c>
      <c r="M20" s="18">
        <v>243</v>
      </c>
      <c r="N20" s="18">
        <v>296</v>
      </c>
      <c r="O20" s="18">
        <v>93</v>
      </c>
      <c r="P20" s="18">
        <v>239</v>
      </c>
      <c r="Q20" s="17">
        <v>2</v>
      </c>
      <c r="R20" s="17">
        <v>2</v>
      </c>
      <c r="S20" s="17">
        <v>0</v>
      </c>
      <c r="T20" s="17">
        <v>1</v>
      </c>
      <c r="U20" s="17">
        <v>2</v>
      </c>
      <c r="V20" s="3">
        <v>8</v>
      </c>
      <c r="W20" s="20">
        <v>60</v>
      </c>
      <c r="X20" s="3">
        <v>8</v>
      </c>
      <c r="Y20" s="3"/>
      <c r="Z20" s="3"/>
      <c r="AA20" s="20"/>
      <c r="AB20" s="3"/>
      <c r="AC20" s="3"/>
      <c r="AD20" s="20"/>
      <c r="AE20" s="3"/>
      <c r="AF20" s="3"/>
      <c r="AG20" s="20"/>
      <c r="AH20" s="96"/>
      <c r="AI20" s="96"/>
      <c r="AJ20" s="96"/>
      <c r="AK20" s="96"/>
      <c r="AL20" s="97"/>
      <c r="AN20" s="67">
        <f t="shared" si="2"/>
        <v>-2.1998896379981261</v>
      </c>
      <c r="AO20" s="67">
        <f t="shared" si="2"/>
        <v>-0.60172894645207009</v>
      </c>
      <c r="AP20" s="67">
        <f t="shared" si="2"/>
        <v>-0.93000180260941079</v>
      </c>
      <c r="AY20" s="67">
        <f t="shared" si="0"/>
        <v>298.19988963799813</v>
      </c>
      <c r="AZ20" s="67">
        <f t="shared" si="1"/>
        <v>93.60172894645207</v>
      </c>
      <c r="BA20" s="67">
        <f t="shared" si="3"/>
        <v>239.93000180260941</v>
      </c>
      <c r="BC20">
        <f t="shared" si="4"/>
        <v>31.858374091422295</v>
      </c>
      <c r="BD20">
        <v>1013.2</v>
      </c>
      <c r="BE20">
        <f t="shared" si="5"/>
        <v>30.369908289271816</v>
      </c>
    </row>
    <row r="21" spans="1:57" x14ac:dyDescent="0.2">
      <c r="A21" s="13">
        <v>12</v>
      </c>
      <c r="B21" s="3">
        <v>5</v>
      </c>
      <c r="C21" s="17">
        <v>7</v>
      </c>
      <c r="D21" s="3">
        <v>4</v>
      </c>
      <c r="E21" s="18">
        <v>8</v>
      </c>
      <c r="F21" s="18">
        <v>7</v>
      </c>
      <c r="G21" s="18">
        <v>59</v>
      </c>
      <c r="H21" s="19">
        <v>1</v>
      </c>
      <c r="I21" s="18">
        <v>15</v>
      </c>
      <c r="J21" s="18">
        <v>11</v>
      </c>
      <c r="K21" s="20">
        <v>103</v>
      </c>
      <c r="L21" s="18">
        <v>243</v>
      </c>
      <c r="M21" s="18">
        <v>235</v>
      </c>
      <c r="N21" s="18">
        <v>283</v>
      </c>
      <c r="O21" s="18">
        <v>93</v>
      </c>
      <c r="P21" s="18">
        <v>231</v>
      </c>
      <c r="Q21" s="17">
        <v>7</v>
      </c>
      <c r="R21" s="17">
        <v>4</v>
      </c>
      <c r="S21" s="17" t="s">
        <v>89</v>
      </c>
      <c r="T21" s="17" t="s">
        <v>89</v>
      </c>
      <c r="U21" s="17">
        <v>4</v>
      </c>
      <c r="V21" s="3">
        <v>8</v>
      </c>
      <c r="W21" s="20">
        <v>54</v>
      </c>
      <c r="X21" s="3">
        <v>8</v>
      </c>
      <c r="Y21" s="3">
        <v>6</v>
      </c>
      <c r="Z21" s="3">
        <v>6</v>
      </c>
      <c r="AA21" s="20">
        <v>114</v>
      </c>
      <c r="AB21" s="3"/>
      <c r="AC21" s="3"/>
      <c r="AD21" s="20"/>
      <c r="AE21" s="3"/>
      <c r="AF21" s="3"/>
      <c r="AG21" s="20"/>
      <c r="AH21" s="96" t="s">
        <v>90</v>
      </c>
      <c r="AI21" s="96"/>
      <c r="AJ21" s="96"/>
      <c r="AK21" s="96"/>
      <c r="AL21" s="97"/>
      <c r="AN21" s="67">
        <f t="shared" si="2"/>
        <v>-0.93258528525007023</v>
      </c>
      <c r="AO21" s="67">
        <f t="shared" si="2"/>
        <v>-0.49142005329973415</v>
      </c>
      <c r="AP21" s="67">
        <f t="shared" si="2"/>
        <v>-0.80160889077907882</v>
      </c>
      <c r="AY21" s="67">
        <f t="shared" si="0"/>
        <v>283.93258528525007</v>
      </c>
      <c r="AZ21" s="67">
        <f t="shared" si="1"/>
        <v>93.491420053299734</v>
      </c>
      <c r="BA21" s="67">
        <f t="shared" si="3"/>
        <v>231.80160889077908</v>
      </c>
      <c r="BC21">
        <f t="shared" si="4"/>
        <v>30.369908289271816</v>
      </c>
      <c r="BD21">
        <v>1013.2</v>
      </c>
      <c r="BE21">
        <f t="shared" si="5"/>
        <v>28.94268568196501</v>
      </c>
    </row>
    <row r="22" spans="1:57" x14ac:dyDescent="0.2">
      <c r="A22" s="13">
        <v>13</v>
      </c>
      <c r="B22" s="3">
        <v>5</v>
      </c>
      <c r="C22" s="17">
        <v>6</v>
      </c>
      <c r="D22" s="3">
        <v>4</v>
      </c>
      <c r="E22" s="18">
        <v>7</v>
      </c>
      <c r="F22" s="18">
        <v>3</v>
      </c>
      <c r="G22" s="18">
        <v>75</v>
      </c>
      <c r="H22" s="19">
        <v>2</v>
      </c>
      <c r="I22" s="18"/>
      <c r="J22" s="18"/>
      <c r="K22" s="20">
        <v>117</v>
      </c>
      <c r="L22" s="18">
        <v>260</v>
      </c>
      <c r="M22" s="18">
        <v>230</v>
      </c>
      <c r="N22" s="18">
        <v>256</v>
      </c>
      <c r="O22" s="18">
        <v>76</v>
      </c>
      <c r="P22" s="18">
        <v>215</v>
      </c>
      <c r="Q22" s="17">
        <v>3</v>
      </c>
      <c r="R22" s="17">
        <v>8</v>
      </c>
      <c r="S22" s="17">
        <v>0</v>
      </c>
      <c r="T22" s="17">
        <v>2</v>
      </c>
      <c r="U22" s="17">
        <v>1</v>
      </c>
      <c r="V22" s="3">
        <v>8</v>
      </c>
      <c r="W22" s="20">
        <v>60</v>
      </c>
      <c r="X22" s="3">
        <v>8</v>
      </c>
      <c r="Y22" s="3">
        <v>3</v>
      </c>
      <c r="Z22" s="3">
        <v>6</v>
      </c>
      <c r="AA22" s="20">
        <v>120</v>
      </c>
      <c r="AB22" s="3">
        <v>6</v>
      </c>
      <c r="AC22" s="3">
        <v>0</v>
      </c>
      <c r="AD22" s="20">
        <v>840</v>
      </c>
      <c r="AE22" s="3"/>
      <c r="AF22" s="3"/>
      <c r="AG22" s="20"/>
      <c r="AH22" s="96"/>
      <c r="AI22" s="96"/>
      <c r="AJ22" s="96"/>
      <c r="AK22" s="96"/>
      <c r="AL22" s="97"/>
      <c r="AN22" s="67">
        <f t="shared" si="2"/>
        <v>-4.2161531301141508</v>
      </c>
      <c r="AO22" s="67">
        <f t="shared" si="2"/>
        <v>-1.4248668702274472</v>
      </c>
      <c r="AP22" s="67">
        <f t="shared" si="2"/>
        <v>-2.4618684698768902</v>
      </c>
      <c r="AY22" s="67">
        <f t="shared" si="0"/>
        <v>260.21615313011415</v>
      </c>
      <c r="AZ22" s="67">
        <f t="shared" si="1"/>
        <v>77.424866870227447</v>
      </c>
      <c r="BA22" s="67">
        <f t="shared" si="3"/>
        <v>217.46186846987689</v>
      </c>
      <c r="BC22">
        <f t="shared" si="4"/>
        <v>33.608860260136439</v>
      </c>
      <c r="BD22">
        <v>1013.2</v>
      </c>
      <c r="BE22">
        <f t="shared" si="5"/>
        <v>28.080813610211415</v>
      </c>
    </row>
    <row r="23" spans="1:57" x14ac:dyDescent="0.2">
      <c r="A23" s="13">
        <v>14</v>
      </c>
      <c r="B23" s="3">
        <v>5</v>
      </c>
      <c r="C23" s="17">
        <v>3</v>
      </c>
      <c r="D23" s="3">
        <v>4</v>
      </c>
      <c r="E23" s="18">
        <v>0</v>
      </c>
      <c r="F23" s="18">
        <v>0</v>
      </c>
      <c r="G23" s="18">
        <v>75</v>
      </c>
      <c r="H23" s="19">
        <v>1</v>
      </c>
      <c r="I23" s="18">
        <v>1</v>
      </c>
      <c r="J23" s="18">
        <v>80</v>
      </c>
      <c r="K23" s="20">
        <v>126</v>
      </c>
      <c r="L23" s="18">
        <v>252</v>
      </c>
      <c r="M23" s="18">
        <v>237</v>
      </c>
      <c r="N23" s="18">
        <v>281</v>
      </c>
      <c r="O23" s="18">
        <v>87</v>
      </c>
      <c r="P23" s="18">
        <v>230</v>
      </c>
      <c r="Q23" s="17">
        <v>2</v>
      </c>
      <c r="R23" s="17">
        <v>2</v>
      </c>
      <c r="S23" s="17">
        <v>0</v>
      </c>
      <c r="T23" s="17">
        <v>1</v>
      </c>
      <c r="U23" s="17">
        <v>2</v>
      </c>
      <c r="V23" s="3">
        <v>8</v>
      </c>
      <c r="W23" s="20">
        <v>63</v>
      </c>
      <c r="X23" s="3">
        <v>8</v>
      </c>
      <c r="Y23" s="3"/>
      <c r="Z23" s="3"/>
      <c r="AA23" s="20"/>
      <c r="AB23" s="3"/>
      <c r="AC23" s="3"/>
      <c r="AD23" s="20"/>
      <c r="AE23" s="3"/>
      <c r="AF23" s="3"/>
      <c r="AG23" s="20"/>
      <c r="AH23" s="96" t="s">
        <v>85</v>
      </c>
      <c r="AI23" s="96"/>
      <c r="AJ23" s="96"/>
      <c r="AK23" s="96"/>
      <c r="AL23" s="97"/>
      <c r="AN23" s="67">
        <f t="shared" si="2"/>
        <v>-1.6346181200345882</v>
      </c>
      <c r="AO23" s="67">
        <f t="shared" si="2"/>
        <v>-1.1886981472903955</v>
      </c>
      <c r="AP23" s="67">
        <f t="shared" si="2"/>
        <v>-1.0444873263244574</v>
      </c>
      <c r="AY23" s="67">
        <f t="shared" si="0"/>
        <v>282.63461812003459</v>
      </c>
      <c r="AZ23" s="67">
        <f t="shared" si="1"/>
        <v>88.188698147290395</v>
      </c>
      <c r="BA23" s="67">
        <f t="shared" si="3"/>
        <v>231.04448732632446</v>
      </c>
      <c r="BC23">
        <f t="shared" si="4"/>
        <v>32.048847988206589</v>
      </c>
      <c r="BD23">
        <v>1013.2</v>
      </c>
      <c r="BE23">
        <f t="shared" si="5"/>
        <v>29.293868430343458</v>
      </c>
    </row>
    <row r="24" spans="1:57" x14ac:dyDescent="0.2">
      <c r="A24" s="13">
        <v>15</v>
      </c>
      <c r="B24" s="3">
        <v>5</v>
      </c>
      <c r="C24" s="17">
        <v>5</v>
      </c>
      <c r="D24" s="3">
        <v>4</v>
      </c>
      <c r="E24" s="18">
        <v>6</v>
      </c>
      <c r="F24" s="18">
        <v>6</v>
      </c>
      <c r="G24" s="18">
        <v>78</v>
      </c>
      <c r="H24" s="19">
        <v>2</v>
      </c>
      <c r="I24" s="18"/>
      <c r="J24" s="18"/>
      <c r="K24" s="20">
        <v>116</v>
      </c>
      <c r="L24" s="18">
        <v>255</v>
      </c>
      <c r="M24" s="18">
        <v>235</v>
      </c>
      <c r="N24" s="18">
        <v>275</v>
      </c>
      <c r="O24" s="18">
        <v>84</v>
      </c>
      <c r="P24" s="18">
        <v>226</v>
      </c>
      <c r="Q24" s="17">
        <v>1</v>
      </c>
      <c r="R24" s="17">
        <v>2</v>
      </c>
      <c r="S24" s="17">
        <v>0</v>
      </c>
      <c r="T24" s="17">
        <v>1</v>
      </c>
      <c r="U24" s="17">
        <v>1</v>
      </c>
      <c r="V24" s="3">
        <v>8</v>
      </c>
      <c r="W24" s="20">
        <v>60</v>
      </c>
      <c r="X24" s="3">
        <v>8</v>
      </c>
      <c r="Y24" s="3">
        <v>4</v>
      </c>
      <c r="Z24" s="3">
        <v>0</v>
      </c>
      <c r="AA24" s="20">
        <v>840</v>
      </c>
      <c r="AB24" s="3"/>
      <c r="AC24" s="3"/>
      <c r="AD24" s="20"/>
      <c r="AE24" s="3"/>
      <c r="AF24" s="3"/>
      <c r="AG24" s="20"/>
      <c r="AH24" s="96"/>
      <c r="AI24" s="96"/>
      <c r="AJ24" s="96"/>
      <c r="AK24" s="96"/>
      <c r="AL24" s="97"/>
      <c r="AN24" s="67">
        <f t="shared" si="2"/>
        <v>-0.69117798365010685</v>
      </c>
      <c r="AO24" s="67">
        <f t="shared" si="2"/>
        <v>-0.4997740441993983</v>
      </c>
      <c r="AP24" s="67">
        <f t="shared" si="2"/>
        <v>-0.94178678443279296</v>
      </c>
      <c r="AY24" s="67">
        <f t="shared" si="0"/>
        <v>275.69117798365011</v>
      </c>
      <c r="AZ24" s="67">
        <f t="shared" si="1"/>
        <v>84.499774044199398</v>
      </c>
      <c r="BA24" s="67">
        <f t="shared" si="3"/>
        <v>226.94178678443279</v>
      </c>
      <c r="BC24">
        <f t="shared" si="4"/>
        <v>32.626262153014039</v>
      </c>
      <c r="BD24">
        <v>1013.2</v>
      </c>
      <c r="BE24">
        <f t="shared" si="5"/>
        <v>28.94268568196501</v>
      </c>
    </row>
    <row r="25" spans="1:57" x14ac:dyDescent="0.2">
      <c r="A25" s="13">
        <v>16</v>
      </c>
      <c r="B25" s="3">
        <v>5</v>
      </c>
      <c r="C25" s="17">
        <v>6</v>
      </c>
      <c r="D25" s="3">
        <v>4</v>
      </c>
      <c r="E25" s="18">
        <v>7</v>
      </c>
      <c r="F25" s="18">
        <v>8</v>
      </c>
      <c r="G25" s="18">
        <v>72</v>
      </c>
      <c r="H25" s="19">
        <v>1</v>
      </c>
      <c r="I25" s="18">
        <v>6</v>
      </c>
      <c r="J25" s="18">
        <v>11</v>
      </c>
      <c r="K25" s="20">
        <v>121</v>
      </c>
      <c r="L25" s="18">
        <v>255</v>
      </c>
      <c r="M25" s="18">
        <v>238</v>
      </c>
      <c r="N25" s="18">
        <v>281</v>
      </c>
      <c r="O25" s="18">
        <v>86</v>
      </c>
      <c r="P25" s="18">
        <v>230</v>
      </c>
      <c r="Q25" s="17">
        <v>4</v>
      </c>
      <c r="R25" s="17">
        <v>8</v>
      </c>
      <c r="S25" s="17">
        <v>0</v>
      </c>
      <c r="T25" s="17">
        <v>1</v>
      </c>
      <c r="U25" s="17">
        <v>4</v>
      </c>
      <c r="V25" s="3">
        <v>8</v>
      </c>
      <c r="W25" s="20">
        <v>54</v>
      </c>
      <c r="X25" s="3">
        <v>8</v>
      </c>
      <c r="Y25" s="3">
        <v>4</v>
      </c>
      <c r="Z25" s="3">
        <v>0</v>
      </c>
      <c r="AA25" s="20">
        <v>840</v>
      </c>
      <c r="AB25" s="3"/>
      <c r="AC25" s="3"/>
      <c r="AD25" s="20"/>
      <c r="AE25" s="3"/>
      <c r="AF25" s="3"/>
      <c r="AG25" s="20"/>
      <c r="AH25" s="96" t="s">
        <v>85</v>
      </c>
      <c r="AI25" s="96"/>
      <c r="AJ25" s="96"/>
      <c r="AK25" s="96"/>
      <c r="AL25" s="97"/>
      <c r="AN25" s="67">
        <f t="shared" si="2"/>
        <v>-2.0293015924083306</v>
      </c>
      <c r="AO25" s="67">
        <f t="shared" si="2"/>
        <v>-0.74892032223245053</v>
      </c>
      <c r="AP25" s="67">
        <f t="shared" si="2"/>
        <v>-1.275033198592439</v>
      </c>
      <c r="AY25" s="67">
        <f t="shared" si="0"/>
        <v>283.02930159240833</v>
      </c>
      <c r="AZ25" s="67">
        <f t="shared" si="1"/>
        <v>86.748920322232451</v>
      </c>
      <c r="BA25" s="67">
        <f t="shared" si="3"/>
        <v>231.27503319859244</v>
      </c>
      <c r="BC25">
        <f t="shared" si="4"/>
        <v>32.626262153014039</v>
      </c>
      <c r="BD25">
        <v>1013.2</v>
      </c>
      <c r="BE25">
        <f t="shared" si="5"/>
        <v>29.470855059888834</v>
      </c>
    </row>
    <row r="26" spans="1:57" x14ac:dyDescent="0.2">
      <c r="A26" s="13">
        <v>17</v>
      </c>
      <c r="B26" s="3">
        <v>5</v>
      </c>
      <c r="C26" s="17">
        <v>7</v>
      </c>
      <c r="D26" s="3">
        <v>4</v>
      </c>
      <c r="E26" s="18">
        <v>9</v>
      </c>
      <c r="F26" s="18">
        <v>5</v>
      </c>
      <c r="G26" s="18">
        <v>70</v>
      </c>
      <c r="H26" s="19">
        <v>1</v>
      </c>
      <c r="I26" s="18">
        <v>25</v>
      </c>
      <c r="J26" s="18">
        <v>22</v>
      </c>
      <c r="K26" s="20">
        <v>132</v>
      </c>
      <c r="L26" s="18">
        <v>250</v>
      </c>
      <c r="M26" s="18">
        <v>237</v>
      </c>
      <c r="N26" s="18">
        <v>283</v>
      </c>
      <c r="O26" s="18">
        <v>89</v>
      </c>
      <c r="P26" s="18">
        <v>231</v>
      </c>
      <c r="Q26" s="17">
        <v>6</v>
      </c>
      <c r="R26" s="17">
        <v>8</v>
      </c>
      <c r="S26" s="17">
        <v>0</v>
      </c>
      <c r="T26" s="17">
        <v>2</v>
      </c>
      <c r="U26" s="17">
        <v>2</v>
      </c>
      <c r="V26" s="3">
        <v>8</v>
      </c>
      <c r="W26" s="20">
        <v>54</v>
      </c>
      <c r="X26" s="3">
        <v>8</v>
      </c>
      <c r="Y26" s="3">
        <v>6</v>
      </c>
      <c r="Z26" s="3">
        <v>6</v>
      </c>
      <c r="AA26" s="20">
        <v>114</v>
      </c>
      <c r="AB26" s="3">
        <v>5</v>
      </c>
      <c r="AC26" s="3">
        <v>0</v>
      </c>
      <c r="AD26" s="20">
        <v>840</v>
      </c>
      <c r="AE26" s="3"/>
      <c r="AF26" s="3"/>
      <c r="AG26" s="20"/>
      <c r="AH26" s="96" t="s">
        <v>102</v>
      </c>
      <c r="AI26" s="96"/>
      <c r="AJ26" s="96"/>
      <c r="AK26" s="96"/>
      <c r="AL26" s="97"/>
      <c r="AN26" s="67">
        <f t="shared" si="2"/>
        <v>-1.008493611154563</v>
      </c>
      <c r="AO26" s="67">
        <f t="shared" si="2"/>
        <v>-0.68059163931008015</v>
      </c>
      <c r="AP26" s="67">
        <f t="shared" si="2"/>
        <v>-0.84579331775057653</v>
      </c>
      <c r="AY26" s="67">
        <f t="shared" si="0"/>
        <v>284.00849361115456</v>
      </c>
      <c r="AZ26" s="67">
        <f t="shared" si="1"/>
        <v>89.68059163931008</v>
      </c>
      <c r="BA26" s="67">
        <f t="shared" si="3"/>
        <v>231.84579331775058</v>
      </c>
      <c r="BC26">
        <f t="shared" si="4"/>
        <v>31.668891609615997</v>
      </c>
      <c r="BD26">
        <v>1013.2</v>
      </c>
      <c r="BE26">
        <f t="shared" si="5"/>
        <v>29.293868430343458</v>
      </c>
    </row>
    <row r="27" spans="1:57" x14ac:dyDescent="0.2">
      <c r="A27" s="13">
        <v>18</v>
      </c>
      <c r="B27" s="3">
        <v>5</v>
      </c>
      <c r="C27" s="17">
        <v>5</v>
      </c>
      <c r="D27" s="3">
        <v>4</v>
      </c>
      <c r="E27" s="18">
        <v>8</v>
      </c>
      <c r="F27" s="18">
        <v>7</v>
      </c>
      <c r="G27" s="18">
        <v>70</v>
      </c>
      <c r="H27" s="19">
        <v>1</v>
      </c>
      <c r="I27" s="18">
        <v>5</v>
      </c>
      <c r="J27" s="18">
        <v>82</v>
      </c>
      <c r="K27" s="20">
        <v>137</v>
      </c>
      <c r="L27" s="18">
        <v>262</v>
      </c>
      <c r="M27" s="18">
        <v>248</v>
      </c>
      <c r="N27" s="18">
        <v>302</v>
      </c>
      <c r="O27" s="18">
        <v>88</v>
      </c>
      <c r="P27" s="18">
        <v>242</v>
      </c>
      <c r="Q27" s="17">
        <v>5</v>
      </c>
      <c r="R27" s="17">
        <v>8</v>
      </c>
      <c r="S27" s="17">
        <v>0</v>
      </c>
      <c r="T27" s="17">
        <v>2</v>
      </c>
      <c r="U27" s="17">
        <v>3</v>
      </c>
      <c r="V27" s="3">
        <v>8</v>
      </c>
      <c r="W27" s="20">
        <v>54</v>
      </c>
      <c r="X27" s="3">
        <v>8</v>
      </c>
      <c r="Y27" s="3">
        <v>5</v>
      </c>
      <c r="Z27" s="3">
        <v>6</v>
      </c>
      <c r="AA27" s="20">
        <v>120</v>
      </c>
      <c r="AB27" s="3"/>
      <c r="AC27" s="3"/>
      <c r="AD27" s="20"/>
      <c r="AE27" s="3"/>
      <c r="AF27" s="3"/>
      <c r="AG27" s="20"/>
      <c r="AH27" s="96" t="s">
        <v>85</v>
      </c>
      <c r="AI27" s="96"/>
      <c r="AJ27" s="96"/>
      <c r="AK27" s="96"/>
      <c r="AL27" s="97"/>
      <c r="AN27" s="67">
        <f t="shared" si="2"/>
        <v>-1.2998627306851063</v>
      </c>
      <c r="AO27" s="67">
        <f t="shared" si="2"/>
        <v>-1.1820029442301632</v>
      </c>
      <c r="AP27" s="67">
        <f t="shared" si="2"/>
        <v>-0.75306282878349862</v>
      </c>
      <c r="AY27" s="67">
        <f t="shared" si="0"/>
        <v>303.29986273068511</v>
      </c>
      <c r="AZ27" s="67">
        <f t="shared" si="1"/>
        <v>89.182002944230163</v>
      </c>
      <c r="BA27" s="67">
        <f t="shared" si="3"/>
        <v>242.7530628287835</v>
      </c>
      <c r="BC27">
        <f t="shared" si="4"/>
        <v>34.009088461531107</v>
      </c>
      <c r="BD27">
        <v>1013.2</v>
      </c>
      <c r="BE27">
        <f t="shared" si="5"/>
        <v>31.29288340580451</v>
      </c>
    </row>
    <row r="28" spans="1:57" x14ac:dyDescent="0.2">
      <c r="A28" s="13">
        <v>19</v>
      </c>
      <c r="B28" s="3">
        <v>5</v>
      </c>
      <c r="C28" s="17">
        <v>7</v>
      </c>
      <c r="D28" s="3">
        <v>4</v>
      </c>
      <c r="E28" s="18">
        <v>0</v>
      </c>
      <c r="F28" s="18">
        <v>0</v>
      </c>
      <c r="G28" s="18">
        <v>70</v>
      </c>
      <c r="H28" s="19">
        <v>1</v>
      </c>
      <c r="I28" s="18">
        <v>5</v>
      </c>
      <c r="J28" s="18">
        <v>11</v>
      </c>
      <c r="K28" s="20">
        <v>126</v>
      </c>
      <c r="L28" s="18">
        <v>256</v>
      </c>
      <c r="M28" s="18">
        <v>240</v>
      </c>
      <c r="N28" s="18">
        <v>286</v>
      </c>
      <c r="O28" s="18">
        <v>87</v>
      </c>
      <c r="P28" s="18">
        <v>233</v>
      </c>
      <c r="Q28" s="17">
        <v>3</v>
      </c>
      <c r="R28" s="17">
        <v>8</v>
      </c>
      <c r="S28" s="17">
        <v>0</v>
      </c>
      <c r="T28" s="17">
        <v>2</v>
      </c>
      <c r="U28" s="17">
        <v>2</v>
      </c>
      <c r="V28" s="3">
        <v>8</v>
      </c>
      <c r="W28" s="20">
        <v>54</v>
      </c>
      <c r="X28" s="3">
        <v>8</v>
      </c>
      <c r="Y28" s="3">
        <v>6</v>
      </c>
      <c r="Z28" s="3">
        <v>0</v>
      </c>
      <c r="AA28" s="20">
        <v>840</v>
      </c>
      <c r="AB28" s="3"/>
      <c r="AC28" s="3"/>
      <c r="AD28" s="20"/>
      <c r="AE28" s="3"/>
      <c r="AF28" s="3"/>
      <c r="AG28" s="20"/>
      <c r="AH28" s="96" t="s">
        <v>85</v>
      </c>
      <c r="AI28" s="96"/>
      <c r="AJ28" s="96"/>
      <c r="AK28" s="96"/>
      <c r="AL28" s="97"/>
      <c r="AN28" s="67">
        <f t="shared" si="2"/>
        <v>-1.2817019238206626</v>
      </c>
      <c r="AO28" s="67">
        <f t="shared" si="2"/>
        <v>-0.53052228529304557</v>
      </c>
      <c r="AP28" s="67">
        <f t="shared" si="2"/>
        <v>-0.74127889685672699</v>
      </c>
      <c r="AY28" s="67">
        <f t="shared" si="0"/>
        <v>287.28170192382066</v>
      </c>
      <c r="AZ28" s="67">
        <f t="shared" si="1"/>
        <v>87.530522285293046</v>
      </c>
      <c r="BA28" s="67">
        <f t="shared" si="3"/>
        <v>233.74127889685673</v>
      </c>
      <c r="BC28">
        <f t="shared" si="4"/>
        <v>32.820745772253893</v>
      </c>
      <c r="BD28">
        <v>1013.2</v>
      </c>
      <c r="BE28">
        <f t="shared" si="5"/>
        <v>29.827639714302066</v>
      </c>
    </row>
    <row r="29" spans="1:57" x14ac:dyDescent="0.2">
      <c r="A29" s="13">
        <v>20</v>
      </c>
      <c r="B29" s="3">
        <v>5</v>
      </c>
      <c r="C29" s="17">
        <v>8</v>
      </c>
      <c r="D29" s="3">
        <v>4</v>
      </c>
      <c r="E29" s="18">
        <v>9</v>
      </c>
      <c r="F29" s="18">
        <v>10</v>
      </c>
      <c r="G29" s="18">
        <v>68</v>
      </c>
      <c r="H29" s="19">
        <v>1</v>
      </c>
      <c r="I29" s="18">
        <v>25</v>
      </c>
      <c r="J29" s="18">
        <v>82</v>
      </c>
      <c r="K29" s="20">
        <v>115</v>
      </c>
      <c r="L29" s="18">
        <v>260</v>
      </c>
      <c r="M29" s="18">
        <v>235</v>
      </c>
      <c r="N29" s="69">
        <v>270</v>
      </c>
      <c r="O29" s="69">
        <v>80</v>
      </c>
      <c r="P29" s="69">
        <v>223</v>
      </c>
      <c r="Q29" s="17">
        <v>8</v>
      </c>
      <c r="R29" s="17">
        <v>8</v>
      </c>
      <c r="S29" s="17" t="s">
        <v>89</v>
      </c>
      <c r="T29" s="17" t="s">
        <v>89</v>
      </c>
      <c r="U29" s="17">
        <v>5</v>
      </c>
      <c r="V29" s="3">
        <v>8</v>
      </c>
      <c r="W29" s="20">
        <v>54</v>
      </c>
      <c r="X29" s="3">
        <v>8</v>
      </c>
      <c r="Y29" s="3">
        <v>5</v>
      </c>
      <c r="Z29" s="3">
        <v>6</v>
      </c>
      <c r="AA29" s="20">
        <v>105</v>
      </c>
      <c r="AB29" s="3"/>
      <c r="AC29" s="3"/>
      <c r="AD29" s="20"/>
      <c r="AE29" s="3"/>
      <c r="AF29" s="3"/>
      <c r="AG29" s="20"/>
      <c r="AH29" s="96" t="s">
        <v>127</v>
      </c>
      <c r="AI29" s="96"/>
      <c r="AJ29" s="96"/>
      <c r="AK29" s="96"/>
      <c r="AL29" s="97"/>
      <c r="AN29" s="67">
        <f t="shared" si="2"/>
        <v>-2.2572582746500984</v>
      </c>
      <c r="AO29" s="67">
        <f t="shared" si="2"/>
        <v>-1.0075843594063087</v>
      </c>
      <c r="AP29" s="67">
        <f t="shared" si="2"/>
        <v>-1.8792054716885502</v>
      </c>
      <c r="AY29" s="67">
        <f t="shared" si="0"/>
        <v>272.2572582746501</v>
      </c>
      <c r="AZ29" s="67">
        <f t="shared" si="1"/>
        <v>81.007584359406309</v>
      </c>
      <c r="BA29" s="67">
        <f t="shared" si="3"/>
        <v>224.87920547168855</v>
      </c>
      <c r="BC29">
        <f t="shared" si="4"/>
        <v>33.608860260136439</v>
      </c>
      <c r="BD29">
        <v>1013.2</v>
      </c>
      <c r="BE29">
        <f t="shared" si="5"/>
        <v>28.94268568196501</v>
      </c>
    </row>
    <row r="30" spans="1:57" x14ac:dyDescent="0.2">
      <c r="A30" s="13">
        <v>21</v>
      </c>
      <c r="B30" s="3">
        <v>5</v>
      </c>
      <c r="C30" s="17">
        <v>3</v>
      </c>
      <c r="D30" s="3">
        <v>4</v>
      </c>
      <c r="E30" s="18">
        <v>8</v>
      </c>
      <c r="F30" s="18">
        <v>14</v>
      </c>
      <c r="G30" s="18">
        <v>68</v>
      </c>
      <c r="H30" s="19">
        <v>1</v>
      </c>
      <c r="I30" s="18">
        <v>5</v>
      </c>
      <c r="J30" s="18">
        <v>0</v>
      </c>
      <c r="K30" s="20">
        <v>110</v>
      </c>
      <c r="L30" s="18">
        <v>268</v>
      </c>
      <c r="M30" s="18">
        <v>245</v>
      </c>
      <c r="N30" s="18">
        <v>290</v>
      </c>
      <c r="O30" s="18">
        <v>82</v>
      </c>
      <c r="P30" s="18">
        <v>235</v>
      </c>
      <c r="Q30" s="17">
        <v>2</v>
      </c>
      <c r="R30" s="17">
        <v>2</v>
      </c>
      <c r="S30" s="17">
        <v>0</v>
      </c>
      <c r="T30" s="17">
        <v>1</v>
      </c>
      <c r="U30" s="17">
        <v>2</v>
      </c>
      <c r="V30" s="3">
        <v>8</v>
      </c>
      <c r="W30" s="20">
        <v>57</v>
      </c>
      <c r="X30" s="3">
        <v>8</v>
      </c>
      <c r="Y30" s="3"/>
      <c r="Z30" s="3"/>
      <c r="AA30" s="20"/>
      <c r="AB30" s="3"/>
      <c r="AC30" s="3"/>
      <c r="AD30" s="20"/>
      <c r="AE30" s="3"/>
      <c r="AF30" s="3"/>
      <c r="AG30" s="20"/>
      <c r="AH30" s="96" t="s">
        <v>85</v>
      </c>
      <c r="AI30" s="96"/>
      <c r="AJ30" s="96"/>
      <c r="AK30" s="96"/>
      <c r="AL30" s="97"/>
      <c r="AN30" s="67">
        <f t="shared" si="2"/>
        <v>-1.5482602654706739</v>
      </c>
      <c r="AO30" s="67">
        <f t="shared" si="2"/>
        <v>-0.74418656868023447</v>
      </c>
      <c r="AP30" s="67">
        <f t="shared" si="2"/>
        <v>-1.1838053580768531</v>
      </c>
      <c r="AY30" s="67">
        <f t="shared" si="0"/>
        <v>291.54826026547067</v>
      </c>
      <c r="AZ30" s="67">
        <f t="shared" si="1"/>
        <v>82.744186568680234</v>
      </c>
      <c r="BA30" s="67">
        <f t="shared" si="3"/>
        <v>236.18380535807685</v>
      </c>
      <c r="BC30">
        <f t="shared" si="4"/>
        <v>35.234893514056914</v>
      </c>
      <c r="BD30">
        <v>1013.2</v>
      </c>
      <c r="BE30">
        <f t="shared" si="5"/>
        <v>30.736197835927069</v>
      </c>
    </row>
    <row r="31" spans="1:57" x14ac:dyDescent="0.2">
      <c r="A31" s="13">
        <v>22</v>
      </c>
      <c r="B31" s="3">
        <v>5</v>
      </c>
      <c r="C31" s="17">
        <v>7</v>
      </c>
      <c r="D31" s="3">
        <v>4</v>
      </c>
      <c r="E31" s="18">
        <v>7</v>
      </c>
      <c r="F31" s="18">
        <v>6</v>
      </c>
      <c r="G31" s="18">
        <v>68</v>
      </c>
      <c r="H31" s="19">
        <v>1</v>
      </c>
      <c r="I31" s="18">
        <v>21</v>
      </c>
      <c r="J31" s="18">
        <v>86</v>
      </c>
      <c r="K31" s="20">
        <v>126</v>
      </c>
      <c r="L31" s="18">
        <v>253</v>
      </c>
      <c r="M31" s="18">
        <v>242</v>
      </c>
      <c r="N31" s="18">
        <v>294</v>
      </c>
      <c r="O31" s="18">
        <v>91</v>
      </c>
      <c r="P31" s="18">
        <v>237</v>
      </c>
      <c r="Q31" s="17">
        <v>7</v>
      </c>
      <c r="R31" s="17">
        <v>8</v>
      </c>
      <c r="S31" s="17" t="s">
        <v>89</v>
      </c>
      <c r="T31" s="17" t="s">
        <v>89</v>
      </c>
      <c r="U31" s="17">
        <v>3</v>
      </c>
      <c r="V31" s="3">
        <v>8</v>
      </c>
      <c r="W31" s="20">
        <v>48</v>
      </c>
      <c r="X31" s="3">
        <v>8</v>
      </c>
      <c r="Y31" s="3">
        <v>7</v>
      </c>
      <c r="Z31" s="3">
        <v>6</v>
      </c>
      <c r="AA31" s="20">
        <v>114</v>
      </c>
      <c r="AB31" s="3"/>
      <c r="AC31" s="3"/>
      <c r="AD31" s="20"/>
      <c r="AE31" s="3"/>
      <c r="AF31" s="3"/>
      <c r="AG31" s="20"/>
      <c r="AH31" s="96" t="s">
        <v>136</v>
      </c>
      <c r="AI31" s="96"/>
      <c r="AJ31" s="96"/>
      <c r="AK31" s="96"/>
      <c r="AL31" s="97"/>
      <c r="AN31" s="67">
        <f t="shared" si="2"/>
        <v>-0.3214643688478418</v>
      </c>
      <c r="AO31" s="67">
        <f t="shared" si="2"/>
        <v>-0.2898772254538784</v>
      </c>
      <c r="AP31" s="67">
        <f t="shared" si="2"/>
        <v>-0.75467943888389755</v>
      </c>
      <c r="AY31" s="67">
        <f t="shared" si="0"/>
        <v>294.32146436884784</v>
      </c>
      <c r="AZ31" s="67">
        <f t="shared" si="1"/>
        <v>91.289877225453878</v>
      </c>
      <c r="BA31" s="67">
        <f t="shared" si="3"/>
        <v>237.7546794388839</v>
      </c>
      <c r="BC31">
        <f t="shared" si="4"/>
        <v>32.24031769064355</v>
      </c>
      <c r="BD31">
        <v>1013.2</v>
      </c>
      <c r="BE31">
        <f t="shared" si="5"/>
        <v>30.188200917340787</v>
      </c>
    </row>
    <row r="32" spans="1:57" x14ac:dyDescent="0.2">
      <c r="A32" s="13">
        <v>23</v>
      </c>
      <c r="B32" s="3">
        <v>5</v>
      </c>
      <c r="C32" s="17">
        <v>7</v>
      </c>
      <c r="D32" s="3">
        <v>4</v>
      </c>
      <c r="E32" s="18">
        <v>7</v>
      </c>
      <c r="F32" s="18">
        <v>7</v>
      </c>
      <c r="G32" s="18">
        <v>65</v>
      </c>
      <c r="H32" s="19">
        <v>1</v>
      </c>
      <c r="I32" s="18">
        <v>15</v>
      </c>
      <c r="J32" s="18">
        <v>11</v>
      </c>
      <c r="K32" s="20">
        <v>119</v>
      </c>
      <c r="L32" s="18">
        <v>262</v>
      </c>
      <c r="M32" s="18">
        <v>237</v>
      </c>
      <c r="N32" s="18">
        <v>273</v>
      </c>
      <c r="O32" s="18">
        <v>80</v>
      </c>
      <c r="P32" s="18">
        <v>225</v>
      </c>
      <c r="Q32" s="17">
        <v>6</v>
      </c>
      <c r="R32" s="17">
        <v>4</v>
      </c>
      <c r="S32" s="17">
        <v>0</v>
      </c>
      <c r="T32" s="17">
        <v>1</v>
      </c>
      <c r="U32" s="17">
        <v>4</v>
      </c>
      <c r="V32" s="3">
        <v>8</v>
      </c>
      <c r="W32" s="20">
        <v>54</v>
      </c>
      <c r="X32" s="3">
        <v>8</v>
      </c>
      <c r="Y32" s="3">
        <v>6</v>
      </c>
      <c r="Z32" s="3">
        <v>6</v>
      </c>
      <c r="AA32" s="20">
        <v>114</v>
      </c>
      <c r="AB32" s="3"/>
      <c r="AC32" s="3"/>
      <c r="AD32" s="20"/>
      <c r="AE32" s="3"/>
      <c r="AF32" s="3"/>
      <c r="AG32" s="20"/>
      <c r="AH32" s="96" t="s">
        <v>90</v>
      </c>
      <c r="AI32" s="96"/>
      <c r="AJ32" s="96"/>
      <c r="AK32" s="96"/>
      <c r="AL32" s="97"/>
      <c r="AN32" s="67">
        <f t="shared" si="2"/>
        <v>-2.7652406644346001</v>
      </c>
      <c r="AO32" s="67">
        <f t="shared" si="2"/>
        <v>-1.0857488804389845</v>
      </c>
      <c r="AP32" s="67">
        <f t="shared" si="2"/>
        <v>-1.9860239242657656</v>
      </c>
      <c r="AY32" s="67">
        <f t="shared" si="0"/>
        <v>275.7652406644346</v>
      </c>
      <c r="AZ32" s="67">
        <f t="shared" si="1"/>
        <v>81.085748880438985</v>
      </c>
      <c r="BA32" s="67">
        <f t="shared" si="3"/>
        <v>226.98602392426577</v>
      </c>
      <c r="BC32">
        <f t="shared" si="4"/>
        <v>34.009088461531107</v>
      </c>
      <c r="BD32">
        <v>1013.2</v>
      </c>
      <c r="BE32">
        <f t="shared" si="5"/>
        <v>29.293868430343458</v>
      </c>
    </row>
    <row r="33" spans="1:57" x14ac:dyDescent="0.2">
      <c r="A33" s="13">
        <v>24</v>
      </c>
      <c r="B33" s="3">
        <v>5</v>
      </c>
      <c r="C33" s="17">
        <v>7</v>
      </c>
      <c r="D33" s="3">
        <v>4</v>
      </c>
      <c r="E33" s="18">
        <v>2</v>
      </c>
      <c r="F33" s="18">
        <v>8</v>
      </c>
      <c r="G33" s="18">
        <v>68</v>
      </c>
      <c r="H33" s="19">
        <v>1</v>
      </c>
      <c r="I33" s="18">
        <v>25</v>
      </c>
      <c r="J33" s="18">
        <v>86</v>
      </c>
      <c r="K33" s="20">
        <v>114</v>
      </c>
      <c r="L33" s="18">
        <v>240</v>
      </c>
      <c r="M33" s="18">
        <v>230</v>
      </c>
      <c r="N33" s="18">
        <v>273</v>
      </c>
      <c r="O33" s="18">
        <v>91</v>
      </c>
      <c r="P33" s="18">
        <v>225</v>
      </c>
      <c r="Q33" s="17">
        <v>7</v>
      </c>
      <c r="R33" s="17">
        <v>8</v>
      </c>
      <c r="S33" s="17">
        <v>0</v>
      </c>
      <c r="T33" s="17">
        <v>2</v>
      </c>
      <c r="U33" s="17">
        <v>2</v>
      </c>
      <c r="V33" s="3">
        <v>8</v>
      </c>
      <c r="W33" s="20">
        <v>45</v>
      </c>
      <c r="X33" s="3">
        <v>8</v>
      </c>
      <c r="Y33" s="3">
        <v>5</v>
      </c>
      <c r="Z33" s="3">
        <v>6</v>
      </c>
      <c r="AA33" s="20">
        <v>120</v>
      </c>
      <c r="AB33" s="3"/>
      <c r="AC33" s="3"/>
      <c r="AD33" s="20"/>
      <c r="AE33" s="3"/>
      <c r="AF33" s="3"/>
      <c r="AG33" s="20"/>
      <c r="AH33" s="96" t="s">
        <v>144</v>
      </c>
      <c r="AI33" s="96"/>
      <c r="AJ33" s="96"/>
      <c r="AK33" s="96"/>
      <c r="AL33" s="97"/>
      <c r="AN33" s="67">
        <f t="shared" si="2"/>
        <v>-0.94414177811415811</v>
      </c>
      <c r="AO33" s="67">
        <f t="shared" si="2"/>
        <v>-0.84237988725624291</v>
      </c>
      <c r="AP33" s="67">
        <f t="shared" si="2"/>
        <v>-0.89526192368381885</v>
      </c>
      <c r="AY33" s="67">
        <f t="shared" si="0"/>
        <v>273.94414177811416</v>
      </c>
      <c r="AZ33" s="67">
        <f t="shared" si="1"/>
        <v>91.842379887256243</v>
      </c>
      <c r="BA33" s="67">
        <f t="shared" si="3"/>
        <v>225.89526192368382</v>
      </c>
      <c r="BC33">
        <f t="shared" si="4"/>
        <v>29.827639714302066</v>
      </c>
      <c r="BD33">
        <v>1013.2</v>
      </c>
      <c r="BE33">
        <f t="shared" si="5"/>
        <v>28.080813610211415</v>
      </c>
    </row>
    <row r="34" spans="1:57" x14ac:dyDescent="0.2">
      <c r="A34" s="13">
        <v>25</v>
      </c>
      <c r="B34" s="3">
        <v>5</v>
      </c>
      <c r="C34" s="17">
        <v>6</v>
      </c>
      <c r="D34" s="3">
        <v>4</v>
      </c>
      <c r="E34" s="18">
        <v>0</v>
      </c>
      <c r="F34" s="18">
        <v>0</v>
      </c>
      <c r="G34" s="18">
        <v>62</v>
      </c>
      <c r="H34" s="19">
        <v>1</v>
      </c>
      <c r="I34" s="18">
        <v>25</v>
      </c>
      <c r="J34" s="18">
        <v>82</v>
      </c>
      <c r="K34" s="20">
        <v>123</v>
      </c>
      <c r="L34" s="18">
        <v>244</v>
      </c>
      <c r="M34" s="18">
        <v>240</v>
      </c>
      <c r="N34" s="18">
        <v>295</v>
      </c>
      <c r="O34" s="18">
        <v>96</v>
      </c>
      <c r="P34" s="18">
        <v>238</v>
      </c>
      <c r="Q34" s="17">
        <v>6</v>
      </c>
      <c r="R34" s="17">
        <v>8</v>
      </c>
      <c r="S34" s="17">
        <v>0</v>
      </c>
      <c r="T34" s="17">
        <v>2</v>
      </c>
      <c r="U34" s="17">
        <v>6</v>
      </c>
      <c r="V34" s="3">
        <v>8</v>
      </c>
      <c r="W34" s="20">
        <v>54</v>
      </c>
      <c r="X34" s="3">
        <v>8</v>
      </c>
      <c r="Y34" s="3"/>
      <c r="Z34" s="3"/>
      <c r="AA34" s="20"/>
      <c r="AB34" s="3"/>
      <c r="AC34" s="3"/>
      <c r="AD34" s="20"/>
      <c r="AE34" s="3"/>
      <c r="AF34" s="3"/>
      <c r="AG34" s="20"/>
      <c r="AH34" s="96" t="s">
        <v>161</v>
      </c>
      <c r="AI34" s="96"/>
      <c r="AJ34" s="96"/>
      <c r="AK34" s="96"/>
      <c r="AL34" s="97"/>
      <c r="AN34" s="67">
        <f t="shared" si="2"/>
        <v>-0.5277233382206532</v>
      </c>
      <c r="AO34" s="67">
        <f t="shared" si="2"/>
        <v>-0.72760723424759988</v>
      </c>
      <c r="AP34" s="67">
        <f t="shared" si="2"/>
        <v>-0.43391936876037107</v>
      </c>
      <c r="AY34" s="67">
        <f t="shared" si="0"/>
        <v>295.52772333822065</v>
      </c>
      <c r="AZ34" s="67">
        <f t="shared" si="1"/>
        <v>96.7276072342476</v>
      </c>
      <c r="BA34" s="67">
        <f t="shared" si="3"/>
        <v>238.43391936876037</v>
      </c>
      <c r="BC34">
        <f t="shared" si="4"/>
        <v>30.552572506268454</v>
      </c>
      <c r="BD34">
        <v>1013.2</v>
      </c>
      <c r="BE34">
        <f t="shared" si="5"/>
        <v>29.827639714302066</v>
      </c>
    </row>
    <row r="35" spans="1:57" x14ac:dyDescent="0.2">
      <c r="A35" s="13">
        <v>26</v>
      </c>
      <c r="B35" s="3">
        <v>5</v>
      </c>
      <c r="C35" s="17">
        <v>5</v>
      </c>
      <c r="D35" s="3">
        <v>4</v>
      </c>
      <c r="E35" s="18">
        <v>5</v>
      </c>
      <c r="F35" s="18">
        <v>6</v>
      </c>
      <c r="G35" s="18">
        <v>75</v>
      </c>
      <c r="H35" s="19">
        <v>1</v>
      </c>
      <c r="I35" s="18">
        <v>80</v>
      </c>
      <c r="J35" s="18">
        <v>22</v>
      </c>
      <c r="K35" s="20">
        <v>127</v>
      </c>
      <c r="L35" s="18">
        <v>261</v>
      </c>
      <c r="M35" s="18">
        <v>245</v>
      </c>
      <c r="N35" s="18">
        <v>295</v>
      </c>
      <c r="O35" s="18">
        <v>87</v>
      </c>
      <c r="P35" s="18">
        <v>238</v>
      </c>
      <c r="Q35" s="17">
        <v>4</v>
      </c>
      <c r="R35" s="17">
        <v>8</v>
      </c>
      <c r="S35" s="17">
        <v>2</v>
      </c>
      <c r="T35" s="17">
        <v>1</v>
      </c>
      <c r="U35" s="17">
        <v>2</v>
      </c>
      <c r="V35" s="3">
        <v>8</v>
      </c>
      <c r="W35" s="20">
        <v>57</v>
      </c>
      <c r="X35" s="3">
        <v>8</v>
      </c>
      <c r="Y35" s="3">
        <v>4</v>
      </c>
      <c r="Z35" s="3">
        <v>6</v>
      </c>
      <c r="AA35" s="20">
        <v>120</v>
      </c>
      <c r="AB35" s="3"/>
      <c r="AC35" s="3"/>
      <c r="AD35" s="20"/>
      <c r="AE35" s="3"/>
      <c r="AF35" s="3"/>
      <c r="AG35" s="20"/>
      <c r="AH35" s="96" t="s">
        <v>170</v>
      </c>
      <c r="AI35" s="96"/>
      <c r="AJ35" s="96"/>
      <c r="AK35" s="96"/>
      <c r="AL35" s="97"/>
      <c r="AN35" s="67">
        <f t="shared" si="2"/>
        <v>-1.3611309896706985</v>
      </c>
      <c r="AO35" s="67">
        <f t="shared" si="2"/>
        <v>-0.6588768038871109</v>
      </c>
      <c r="AP35" s="67">
        <f t="shared" si="2"/>
        <v>-0.90179130373326188</v>
      </c>
      <c r="AY35" s="67">
        <f t="shared" si="0"/>
        <v>296.3611309896707</v>
      </c>
      <c r="AZ35" s="67">
        <f t="shared" si="1"/>
        <v>87.658876803887111</v>
      </c>
      <c r="BA35" s="67">
        <f t="shared" si="3"/>
        <v>238.90179130373326</v>
      </c>
      <c r="BC35">
        <f t="shared" si="4"/>
        <v>33.808456347518359</v>
      </c>
      <c r="BD35">
        <v>1013.2</v>
      </c>
      <c r="BE35">
        <f t="shared" si="5"/>
        <v>30.736197835927069</v>
      </c>
    </row>
    <row r="36" spans="1:57" x14ac:dyDescent="0.2">
      <c r="A36" s="13">
        <v>27</v>
      </c>
      <c r="B36" s="3">
        <v>5</v>
      </c>
      <c r="C36" s="17">
        <v>7</v>
      </c>
      <c r="D36" s="3">
        <v>4</v>
      </c>
      <c r="E36" s="18">
        <v>8</v>
      </c>
      <c r="F36" s="18">
        <v>6</v>
      </c>
      <c r="G36" s="18">
        <v>65</v>
      </c>
      <c r="H36" s="19">
        <v>1</v>
      </c>
      <c r="I36" s="18">
        <v>15</v>
      </c>
      <c r="J36" s="18">
        <v>82</v>
      </c>
      <c r="K36" s="20">
        <v>133</v>
      </c>
      <c r="L36" s="18">
        <v>246</v>
      </c>
      <c r="M36" s="18">
        <v>238</v>
      </c>
      <c r="N36" s="18">
        <v>290</v>
      </c>
      <c r="O36" s="18">
        <v>93</v>
      </c>
      <c r="P36" s="18">
        <v>235</v>
      </c>
      <c r="Q36" s="17">
        <v>7</v>
      </c>
      <c r="R36" s="17">
        <v>8</v>
      </c>
      <c r="S36" s="17" t="s">
        <v>89</v>
      </c>
      <c r="T36" s="17" t="s">
        <v>89</v>
      </c>
      <c r="U36" s="17">
        <v>5</v>
      </c>
      <c r="V36" s="3">
        <v>8</v>
      </c>
      <c r="W36" s="20">
        <v>45</v>
      </c>
      <c r="X36" s="3">
        <v>8</v>
      </c>
      <c r="Y36" s="3">
        <v>5</v>
      </c>
      <c r="Z36" s="3">
        <v>6</v>
      </c>
      <c r="AA36" s="20">
        <f>35*3</f>
        <v>105</v>
      </c>
      <c r="AB36" s="3"/>
      <c r="AC36" s="3"/>
      <c r="AD36" s="20"/>
      <c r="AE36" s="3"/>
      <c r="AF36" s="3"/>
      <c r="AG36" s="20"/>
      <c r="AH36" s="96" t="s">
        <v>181</v>
      </c>
      <c r="AI36" s="96"/>
      <c r="AJ36" s="96"/>
      <c r="AK36" s="96"/>
      <c r="AL36" s="97"/>
      <c r="AN36" s="67">
        <f t="shared" si="2"/>
        <v>0.78756658063167606</v>
      </c>
      <c r="AO36" s="67">
        <f t="shared" si="2"/>
        <v>-0.53333044787827077</v>
      </c>
      <c r="AP36" s="67">
        <f t="shared" si="2"/>
        <v>0.14950412647263533</v>
      </c>
      <c r="AY36" s="67">
        <f t="shared" si="0"/>
        <v>289.21243341936832</v>
      </c>
      <c r="AZ36" s="67">
        <f t="shared" si="1"/>
        <v>93.533330447878271</v>
      </c>
      <c r="BA36" s="67">
        <f t="shared" si="3"/>
        <v>234.85049587352736</v>
      </c>
      <c r="BC36">
        <f t="shared" si="4"/>
        <v>30.920788561092973</v>
      </c>
      <c r="BD36">
        <v>1013.2</v>
      </c>
      <c r="BE36">
        <f t="shared" si="5"/>
        <v>29.470855059888834</v>
      </c>
    </row>
    <row r="37" spans="1:57" x14ac:dyDescent="0.2">
      <c r="A37" s="13">
        <v>28</v>
      </c>
      <c r="B37" s="3">
        <v>5</v>
      </c>
      <c r="C37" s="17">
        <v>7</v>
      </c>
      <c r="D37" s="3">
        <v>4</v>
      </c>
      <c r="E37" s="18">
        <v>8</v>
      </c>
      <c r="F37" s="18">
        <v>12</v>
      </c>
      <c r="G37" s="18">
        <v>62</v>
      </c>
      <c r="H37" s="19">
        <v>1</v>
      </c>
      <c r="I37" s="18">
        <v>80</v>
      </c>
      <c r="J37" s="18">
        <v>22</v>
      </c>
      <c r="K37" s="20">
        <v>141</v>
      </c>
      <c r="L37" s="18">
        <v>256</v>
      </c>
      <c r="M37" s="18">
        <v>248</v>
      </c>
      <c r="N37" s="18">
        <v>306</v>
      </c>
      <c r="O37" s="18">
        <v>93</v>
      </c>
      <c r="P37" s="18">
        <v>245</v>
      </c>
      <c r="Q37" s="17">
        <v>7</v>
      </c>
      <c r="R37" s="17">
        <v>8</v>
      </c>
      <c r="S37" s="17">
        <v>0</v>
      </c>
      <c r="T37" s="17">
        <v>2</v>
      </c>
      <c r="U37" s="17">
        <v>5</v>
      </c>
      <c r="V37" s="3">
        <v>8</v>
      </c>
      <c r="W37" s="20">
        <v>54</v>
      </c>
      <c r="X37" s="3">
        <v>8</v>
      </c>
      <c r="Y37" s="3">
        <v>4</v>
      </c>
      <c r="Z37" s="3">
        <v>6</v>
      </c>
      <c r="AA37" s="20">
        <v>114</v>
      </c>
      <c r="AB37" s="3"/>
      <c r="AC37" s="3"/>
      <c r="AD37" s="20"/>
      <c r="AE37" s="3"/>
      <c r="AF37" s="3"/>
      <c r="AG37" s="20"/>
      <c r="AH37" s="96" t="s">
        <v>189</v>
      </c>
      <c r="AI37" s="96"/>
      <c r="AJ37" s="96"/>
      <c r="AK37" s="96"/>
      <c r="AL37" s="97"/>
      <c r="AN37" s="67">
        <f t="shared" si="2"/>
        <v>-1.4265647281250722</v>
      </c>
      <c r="AO37" s="67">
        <f t="shared" si="2"/>
        <v>-0.66836660610506726</v>
      </c>
      <c r="AP37" s="67">
        <f t="shared" si="2"/>
        <v>-7.1149647814081618E-3</v>
      </c>
      <c r="AY37" s="67">
        <f t="shared" si="0"/>
        <v>307.42656472812507</v>
      </c>
      <c r="AZ37" s="67">
        <f t="shared" si="1"/>
        <v>93.668366606105067</v>
      </c>
      <c r="BA37" s="67">
        <f t="shared" si="3"/>
        <v>245.00711496478141</v>
      </c>
      <c r="BC37">
        <f t="shared" si="4"/>
        <v>32.820745772253893</v>
      </c>
      <c r="BD37">
        <v>1013.2</v>
      </c>
      <c r="BE37">
        <f t="shared" si="5"/>
        <v>31.29288340580451</v>
      </c>
    </row>
    <row r="38" spans="1:57" x14ac:dyDescent="0.2">
      <c r="A38" s="13">
        <v>29</v>
      </c>
      <c r="B38" s="3">
        <v>5</v>
      </c>
      <c r="C38" s="17">
        <v>6</v>
      </c>
      <c r="D38" s="3">
        <v>4</v>
      </c>
      <c r="E38" s="18">
        <v>4</v>
      </c>
      <c r="F38" s="18">
        <v>5</v>
      </c>
      <c r="G38" s="18">
        <v>65</v>
      </c>
      <c r="H38" s="19">
        <v>1</v>
      </c>
      <c r="I38" s="18">
        <v>25</v>
      </c>
      <c r="J38" s="18">
        <v>11</v>
      </c>
      <c r="K38" s="20">
        <v>135</v>
      </c>
      <c r="L38" s="18">
        <v>251</v>
      </c>
      <c r="M38" s="18">
        <v>246</v>
      </c>
      <c r="N38" s="18">
        <v>306</v>
      </c>
      <c r="O38" s="18">
        <v>96</v>
      </c>
      <c r="P38" s="18">
        <v>244</v>
      </c>
      <c r="Q38" s="17">
        <v>6</v>
      </c>
      <c r="R38" s="17">
        <v>8</v>
      </c>
      <c r="S38" s="17">
        <v>0</v>
      </c>
      <c r="T38" s="17">
        <v>0</v>
      </c>
      <c r="U38" s="17">
        <v>6</v>
      </c>
      <c r="V38" s="3">
        <v>8</v>
      </c>
      <c r="W38" s="20">
        <v>54</v>
      </c>
      <c r="X38" s="3">
        <v>8</v>
      </c>
      <c r="Y38" s="3"/>
      <c r="Z38" s="3"/>
      <c r="AA38" s="20"/>
      <c r="AB38" s="3"/>
      <c r="AC38" s="3"/>
      <c r="AD38" s="20"/>
      <c r="AE38" s="3"/>
      <c r="AF38" s="3"/>
      <c r="AG38" s="20"/>
      <c r="AH38" s="96" t="s">
        <v>198</v>
      </c>
      <c r="AI38" s="96"/>
      <c r="AJ38" s="96"/>
      <c r="AK38" s="96"/>
      <c r="AL38" s="97"/>
      <c r="AN38" s="67">
        <f t="shared" si="2"/>
        <v>0.23026370147027819</v>
      </c>
      <c r="AO38" s="67">
        <f t="shared" si="2"/>
        <v>2.217783585614086E-2</v>
      </c>
      <c r="AP38" s="67">
        <f t="shared" si="2"/>
        <v>-0.10533769194361753</v>
      </c>
      <c r="AY38" s="67">
        <f t="shared" si="0"/>
        <v>305.76973629852972</v>
      </c>
      <c r="AZ38" s="67">
        <f t="shared" si="1"/>
        <v>95.977822164143859</v>
      </c>
      <c r="BA38" s="67">
        <f t="shared" si="3"/>
        <v>244.10533769194362</v>
      </c>
      <c r="BC38">
        <f t="shared" si="4"/>
        <v>31.858374091422295</v>
      </c>
      <c r="BD38">
        <v>1013.2</v>
      </c>
      <c r="BE38">
        <f t="shared" si="5"/>
        <v>30.920788561092973</v>
      </c>
    </row>
    <row r="39" spans="1:57" x14ac:dyDescent="0.2">
      <c r="A39" s="13">
        <v>30</v>
      </c>
      <c r="B39" s="3">
        <v>5</v>
      </c>
      <c r="C39" s="17">
        <v>7</v>
      </c>
      <c r="D39" s="3">
        <v>4</v>
      </c>
      <c r="E39" s="18">
        <v>4</v>
      </c>
      <c r="F39" s="18">
        <v>10</v>
      </c>
      <c r="G39" s="18">
        <v>65</v>
      </c>
      <c r="H39" s="19">
        <v>1</v>
      </c>
      <c r="I39" s="18">
        <v>25</v>
      </c>
      <c r="J39" s="18">
        <v>22</v>
      </c>
      <c r="K39" s="20">
        <v>128</v>
      </c>
      <c r="L39" s="18">
        <v>246</v>
      </c>
      <c r="M39" s="18">
        <v>230</v>
      </c>
      <c r="N39" s="18">
        <v>267</v>
      </c>
      <c r="O39" s="18">
        <v>87</v>
      </c>
      <c r="P39" s="18">
        <v>222</v>
      </c>
      <c r="Q39" s="17">
        <v>7</v>
      </c>
      <c r="R39" s="17">
        <v>8</v>
      </c>
      <c r="S39" s="17" t="s">
        <v>89</v>
      </c>
      <c r="T39" s="17" t="s">
        <v>89</v>
      </c>
      <c r="U39" s="17">
        <v>3</v>
      </c>
      <c r="V39" s="3">
        <v>8</v>
      </c>
      <c r="W39" s="20">
        <v>54</v>
      </c>
      <c r="X39" s="3">
        <v>8</v>
      </c>
      <c r="Y39" s="3">
        <v>6</v>
      </c>
      <c r="Z39" s="3">
        <v>6</v>
      </c>
      <c r="AA39" s="20">
        <v>105</v>
      </c>
      <c r="AB39" s="3"/>
      <c r="AC39" s="3"/>
      <c r="AD39" s="20"/>
      <c r="AE39" s="3"/>
      <c r="AF39" s="3"/>
      <c r="AG39" s="20"/>
      <c r="AH39" s="96" t="s">
        <v>214</v>
      </c>
      <c r="AI39" s="96"/>
      <c r="AJ39" s="96"/>
      <c r="AK39" s="96"/>
      <c r="AL39" s="97"/>
      <c r="AN39" s="67">
        <f t="shared" si="2"/>
        <v>-2.8257451837141616</v>
      </c>
      <c r="AO39" s="67">
        <f t="shared" si="2"/>
        <v>-0.2635394309544381</v>
      </c>
      <c r="AP39" s="67">
        <f t="shared" si="2"/>
        <v>-1.4048871736328294</v>
      </c>
      <c r="AY39" s="67">
        <f t="shared" si="0"/>
        <v>269.82574518371416</v>
      </c>
      <c r="AZ39" s="67">
        <f t="shared" si="1"/>
        <v>87.263539430954438</v>
      </c>
      <c r="BA39" s="67">
        <f t="shared" si="3"/>
        <v>223.40488717363283</v>
      </c>
      <c r="BC39">
        <f t="shared" si="4"/>
        <v>30.920788561092973</v>
      </c>
      <c r="BD39">
        <v>1013.2</v>
      </c>
      <c r="BE39">
        <f t="shared" si="5"/>
        <v>28.080813610211415</v>
      </c>
    </row>
    <row r="40" spans="1:57" x14ac:dyDescent="0.2">
      <c r="A40" s="13"/>
      <c r="B40" s="3"/>
      <c r="C40" s="17"/>
      <c r="D40" s="3"/>
      <c r="E40" s="18"/>
      <c r="F40" s="18"/>
      <c r="G40" s="18"/>
      <c r="H40" s="19"/>
      <c r="I40" s="18"/>
      <c r="J40" s="18"/>
      <c r="K40" s="20"/>
      <c r="L40" s="18"/>
      <c r="M40" s="18"/>
      <c r="N40" s="18"/>
      <c r="O40" s="18"/>
      <c r="P40" s="18"/>
      <c r="Q40" s="17"/>
      <c r="R40" s="17"/>
      <c r="S40" s="17"/>
      <c r="T40" s="17"/>
      <c r="U40" s="17"/>
      <c r="V40" s="3"/>
      <c r="W40" s="20"/>
      <c r="X40" s="3"/>
      <c r="Y40" s="3"/>
      <c r="Z40" s="3"/>
      <c r="AA40" s="20"/>
      <c r="AB40" s="3"/>
      <c r="AC40" s="3"/>
      <c r="AD40" s="20"/>
      <c r="AE40" s="3"/>
      <c r="AF40" s="3"/>
      <c r="AG40" s="20"/>
      <c r="AH40" s="96"/>
      <c r="AI40" s="96"/>
      <c r="AJ40" s="96"/>
      <c r="AK40" s="96"/>
      <c r="AL40" s="97"/>
      <c r="AN40" s="67"/>
      <c r="AO40" s="67"/>
      <c r="AP40" s="67"/>
      <c r="AY40" s="67">
        <f t="shared" si="0"/>
        <v>61.120000000000005</v>
      </c>
      <c r="AZ40" s="67">
        <f t="shared" si="1"/>
        <v>100</v>
      </c>
      <c r="BA40" s="67">
        <f t="shared" si="3"/>
        <v>0</v>
      </c>
      <c r="BC40">
        <f t="shared" si="4"/>
        <v>6.1120000000000001</v>
      </c>
      <c r="BD40">
        <v>1013.2</v>
      </c>
      <c r="BE40">
        <f t="shared" si="5"/>
        <v>6.1120000000000001</v>
      </c>
    </row>
    <row r="41" spans="1:57" x14ac:dyDescent="0.2">
      <c r="A41" s="18"/>
      <c r="B41" s="3"/>
      <c r="C41" s="17"/>
      <c r="D41" s="3"/>
      <c r="E41" s="18"/>
      <c r="F41" s="18"/>
      <c r="G41" s="18"/>
      <c r="H41" s="19"/>
      <c r="I41" s="18"/>
      <c r="J41" s="18"/>
      <c r="K41" s="20"/>
      <c r="L41" s="18"/>
      <c r="M41" s="18"/>
      <c r="N41" s="18"/>
      <c r="O41" s="18"/>
      <c r="P41" s="18"/>
      <c r="Q41" s="17"/>
      <c r="R41" s="17"/>
      <c r="S41" s="17"/>
      <c r="T41" s="17"/>
      <c r="U41" s="17"/>
      <c r="V41" s="3"/>
      <c r="W41" s="20"/>
      <c r="X41" s="3"/>
      <c r="Y41" s="3"/>
      <c r="Z41" s="3"/>
      <c r="AA41" s="20"/>
      <c r="AB41" s="3"/>
      <c r="AC41" s="3"/>
      <c r="AD41" s="20"/>
      <c r="AE41" s="3"/>
      <c r="AF41" s="3"/>
      <c r="AG41" s="20"/>
      <c r="AH41" s="109" t="s">
        <v>233</v>
      </c>
      <c r="AI41" s="107"/>
      <c r="AJ41" s="107"/>
      <c r="AK41" s="107"/>
      <c r="AL41" s="108"/>
      <c r="AN41" s="67"/>
      <c r="AO41" s="67"/>
      <c r="AP41" s="67"/>
    </row>
    <row r="42" spans="1:57" x14ac:dyDescent="0.2">
      <c r="A42" s="13" t="s">
        <v>9</v>
      </c>
      <c r="B42" s="1"/>
      <c r="C42" s="21">
        <f>SUM(C10:C40)</f>
        <v>142</v>
      </c>
      <c r="D42" s="1"/>
      <c r="E42" s="13"/>
      <c r="F42" s="13">
        <f>SUM(F10:F40)</f>
        <v>207</v>
      </c>
      <c r="G42" s="13"/>
      <c r="H42" s="2"/>
      <c r="I42" s="13"/>
      <c r="J42" s="13"/>
      <c r="K42" s="22">
        <f>SUM(K10:K40)</f>
        <v>4507</v>
      </c>
      <c r="L42" s="13">
        <f>SUM(L10:L40)</f>
        <v>7692</v>
      </c>
      <c r="M42" s="13">
        <f>SUM(M10:M40)</f>
        <v>7205</v>
      </c>
      <c r="N42" s="13">
        <f>SUM(N10:N40)</f>
        <v>8578</v>
      </c>
      <c r="O42" s="13">
        <f>SUM(O10:O40)</f>
        <v>2603</v>
      </c>
      <c r="P42" s="13">
        <f t="shared" ref="P42" si="6">SUM(P10:P40)</f>
        <v>6981</v>
      </c>
      <c r="Q42" s="21">
        <f>SUM(Q10:Q40)</f>
        <v>119</v>
      </c>
      <c r="R42" s="21"/>
      <c r="S42" s="21"/>
      <c r="T42" s="21"/>
      <c r="U42" s="21"/>
      <c r="V42" s="1"/>
      <c r="W42" s="22"/>
      <c r="X42" s="1"/>
      <c r="Y42" s="1"/>
      <c r="Z42" s="1"/>
      <c r="AA42" s="22"/>
      <c r="AB42" s="1"/>
      <c r="AC42" s="1"/>
      <c r="AD42" s="22"/>
      <c r="AE42" s="1"/>
      <c r="AF42" s="1"/>
      <c r="AG42" s="22"/>
      <c r="AH42" s="116"/>
      <c r="AI42" s="116"/>
      <c r="AJ42" s="116"/>
      <c r="AK42" s="116"/>
      <c r="AL42" s="117"/>
      <c r="AN42" s="67"/>
      <c r="AO42" s="67"/>
      <c r="AP42" s="67"/>
    </row>
    <row r="43" spans="1:57" ht="13.5" thickBot="1" x14ac:dyDescent="0.25">
      <c r="A43" s="23" t="s">
        <v>10</v>
      </c>
      <c r="B43" s="24"/>
      <c r="C43" s="25">
        <f>AVERAGE(C10:C40)</f>
        <v>4.7333333333333334</v>
      </c>
      <c r="D43" s="24"/>
      <c r="E43" s="23">
        <f>MODE(E10:E40)</f>
        <v>9</v>
      </c>
      <c r="F43" s="23">
        <f>AVERAGE(F10:F40)</f>
        <v>6.9</v>
      </c>
      <c r="G43" s="23"/>
      <c r="H43" s="26"/>
      <c r="I43" s="23"/>
      <c r="J43" s="23"/>
      <c r="K43" s="27">
        <f>AVERAGE(K10:K40)</f>
        <v>150.23333333333332</v>
      </c>
      <c r="L43" s="23">
        <f t="shared" ref="L43:Q43" si="7">AVERAGE(L10:L40)</f>
        <v>256.39999999999998</v>
      </c>
      <c r="M43" s="23">
        <f t="shared" si="7"/>
        <v>240.16666666666666</v>
      </c>
      <c r="N43" s="23">
        <f t="shared" si="7"/>
        <v>285.93333333333334</v>
      </c>
      <c r="O43" s="23">
        <f t="shared" si="7"/>
        <v>86.766666666666666</v>
      </c>
      <c r="P43" s="23">
        <f>AVERAGE(P10:P40)</f>
        <v>232.7</v>
      </c>
      <c r="Q43" s="25">
        <f t="shared" si="7"/>
        <v>3.9666666666666668</v>
      </c>
      <c r="R43" s="25"/>
      <c r="S43" s="25"/>
      <c r="T43" s="25"/>
      <c r="U43" s="25"/>
      <c r="V43" s="24"/>
      <c r="W43" s="27"/>
      <c r="X43" s="24"/>
      <c r="Y43" s="24"/>
      <c r="Z43" s="24"/>
      <c r="AA43" s="27"/>
      <c r="AB43" s="24"/>
      <c r="AC43" s="24"/>
      <c r="AD43" s="27"/>
      <c r="AE43" s="24"/>
      <c r="AF43" s="24"/>
      <c r="AG43" s="27"/>
      <c r="AH43" s="111"/>
      <c r="AI43" s="111"/>
      <c r="AJ43" s="111"/>
      <c r="AK43" s="111"/>
      <c r="AL43" s="112"/>
      <c r="AN43" s="67">
        <f>AVERAGE(AN10:AN40)</f>
        <v>-1.6229638115007181</v>
      </c>
      <c r="AO43" s="67">
        <f t="shared" ref="AO43:AP43" si="8">AVERAGE(AO10:AO40)</f>
        <v>-0.71889339555467013</v>
      </c>
      <c r="AP43" s="67">
        <f t="shared" si="8"/>
        <v>-1.0791942093732758</v>
      </c>
    </row>
    <row r="44" spans="1:57" x14ac:dyDescent="0.2">
      <c r="E44" s="11"/>
      <c r="G44" s="11"/>
      <c r="K44" s="4"/>
      <c r="M44" s="11"/>
      <c r="P44" s="11"/>
      <c r="Q44" s="11"/>
      <c r="W44" s="4"/>
      <c r="AA44" s="4"/>
      <c r="AD44" s="4"/>
    </row>
    <row r="45" spans="1:57" x14ac:dyDescent="0.2">
      <c r="E45" s="11"/>
      <c r="G45" s="11"/>
      <c r="K45" s="4"/>
      <c r="M45" s="11"/>
      <c r="P45" s="11"/>
      <c r="Q45" s="11"/>
      <c r="W45" s="4"/>
      <c r="AA45" s="4"/>
    </row>
    <row r="46" spans="1:57" x14ac:dyDescent="0.2">
      <c r="E46" s="11"/>
      <c r="G46" s="11"/>
      <c r="M46" s="11"/>
      <c r="P46" s="11"/>
      <c r="Q46" s="11"/>
      <c r="W46" s="4"/>
      <c r="AA46" s="4"/>
    </row>
    <row r="47" spans="1:57" x14ac:dyDescent="0.2">
      <c r="E47" s="11"/>
      <c r="G47" s="11"/>
      <c r="M47" s="11"/>
      <c r="P47" s="11"/>
      <c r="Q47" s="11"/>
    </row>
    <row r="48" spans="1:57" x14ac:dyDescent="0.2">
      <c r="E48" s="11"/>
      <c r="G48" s="11"/>
      <c r="M48" s="11"/>
      <c r="P48" s="11"/>
      <c r="Q48" s="11"/>
    </row>
    <row r="49" spans="5:17" x14ac:dyDescent="0.2">
      <c r="E49" s="11"/>
      <c r="G49" s="11"/>
      <c r="M49" s="11"/>
      <c r="P49" s="11"/>
      <c r="Q49" s="11"/>
    </row>
  </sheetData>
  <mergeCells count="72">
    <mergeCell ref="AH43:AL43"/>
    <mergeCell ref="AH38:AL38"/>
    <mergeCell ref="AH39:AL39"/>
    <mergeCell ref="AH40:AL40"/>
    <mergeCell ref="AH41:AL41"/>
    <mergeCell ref="AH42:AL42"/>
    <mergeCell ref="AH37:AL37"/>
    <mergeCell ref="AH26:AL26"/>
    <mergeCell ref="AH27:AL27"/>
    <mergeCell ref="AH28:AL28"/>
    <mergeCell ref="AH29:AL29"/>
    <mergeCell ref="AH30:AL30"/>
    <mergeCell ref="AH31:AL31"/>
    <mergeCell ref="AH32:AL32"/>
    <mergeCell ref="AH33:AL33"/>
    <mergeCell ref="AH34:AL34"/>
    <mergeCell ref="AH35:AL35"/>
    <mergeCell ref="AH36:AL36"/>
    <mergeCell ref="AH25:AL25"/>
    <mergeCell ref="AH14:AL14"/>
    <mergeCell ref="AH15:AL15"/>
    <mergeCell ref="AH16:AL16"/>
    <mergeCell ref="AH17:AL17"/>
    <mergeCell ref="AH18:AL18"/>
    <mergeCell ref="AH19:AL19"/>
    <mergeCell ref="AH20:AL20"/>
    <mergeCell ref="AH21:AL21"/>
    <mergeCell ref="AH22:AL22"/>
    <mergeCell ref="AH23:AL23"/>
    <mergeCell ref="AH24:AL24"/>
    <mergeCell ref="AH13:AL13"/>
    <mergeCell ref="Q8:Q9"/>
    <mergeCell ref="R8:R9"/>
    <mergeCell ref="S8:S9"/>
    <mergeCell ref="T8:T9"/>
    <mergeCell ref="U8:W8"/>
    <mergeCell ref="X8:AA8"/>
    <mergeCell ref="AH7:AL9"/>
    <mergeCell ref="AB8:AD8"/>
    <mergeCell ref="AE8:AG8"/>
    <mergeCell ref="AH10:AL10"/>
    <mergeCell ref="AH11:AL11"/>
    <mergeCell ref="AH12:AL12"/>
    <mergeCell ref="P8:P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3:T3"/>
    <mergeCell ref="E7:F7"/>
    <mergeCell ref="L7:P7"/>
    <mergeCell ref="Q7:T7"/>
    <mergeCell ref="U7:AG7"/>
    <mergeCell ref="AN7:AP7"/>
    <mergeCell ref="AY7:BA7"/>
    <mergeCell ref="AN8:AN9"/>
    <mergeCell ref="AO8:AO9"/>
    <mergeCell ref="AP8:AP9"/>
    <mergeCell ref="AY8:AY9"/>
    <mergeCell ref="AZ8:AZ9"/>
    <mergeCell ref="BA8:BA9"/>
  </mergeCells>
  <dataValidations count="5">
    <dataValidation type="whole" allowBlank="1" showInputMessage="1" showErrorMessage="1" sqref="AE10:AE40" xr:uid="{00000000-0002-0000-0F00-000000000000}">
      <formula1>1</formula1>
      <formula2>9</formula2>
    </dataValidation>
    <dataValidation type="whole" allowBlank="1" showInputMessage="1" showErrorMessage="1" sqref="D10:D40" xr:uid="{00000000-0002-0000-0F00-000001000000}">
      <formula1>0</formula1>
      <formula2>4</formula2>
    </dataValidation>
    <dataValidation type="whole" allowBlank="1" showInputMessage="1" showErrorMessage="1" sqref="AB10:AB40" xr:uid="{00000000-0002-0000-0F00-000002000000}">
      <formula1>5</formula1>
      <formula2>9</formula2>
    </dataValidation>
    <dataValidation type="whole" allowBlank="1" showInputMessage="1" showErrorMessage="1" sqref="Y10:Y40" xr:uid="{00000000-0002-0000-0F00-000003000000}">
      <formula1>3</formula1>
      <formula2>9</formula2>
    </dataValidation>
    <dataValidation type="whole" allowBlank="1" showInputMessage="1" showErrorMessage="1" sqref="C10:C40" xr:uid="{00000000-0002-0000-0F00-000004000000}">
      <formula1>0</formula1>
      <formula2>9</formula2>
    </dataValidation>
  </dataValidations>
  <pageMargins left="0.75" right="0.75" top="1" bottom="1" header="0.5" footer="0.5"/>
  <pageSetup orientation="portrait" horizontalDpi="30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49"/>
  <sheetViews>
    <sheetView zoomScaleNormal="100" workbookViewId="0">
      <pane xSplit="2" ySplit="9" topLeftCell="C10" activePane="bottomRight" state="frozen"/>
      <selection activeCell="AM2" sqref="AM2"/>
      <selection pane="topRight" activeCell="AM2" sqref="AM2"/>
      <selection pane="bottomLeft" activeCell="AM2" sqref="AM2"/>
      <selection pane="bottomRight" activeCell="O35" sqref="O35"/>
    </sheetView>
  </sheetViews>
  <sheetFormatPr defaultRowHeight="12.75" x14ac:dyDescent="0.2"/>
  <cols>
    <col min="1" max="1" width="4.28515625" bestFit="1" customWidth="1"/>
    <col min="2" max="2" width="5.140625" bestFit="1" customWidth="1"/>
    <col min="3" max="3" width="4" bestFit="1" customWidth="1"/>
    <col min="4" max="5" width="3" bestFit="1" customWidth="1"/>
    <col min="6" max="6" width="4" bestFit="1" customWidth="1"/>
    <col min="7" max="10" width="3" bestFit="1" customWidth="1"/>
    <col min="11" max="11" width="8.5703125" bestFit="1" customWidth="1"/>
    <col min="12" max="16" width="5" bestFit="1" customWidth="1"/>
    <col min="17" max="22" width="3" bestFit="1" customWidth="1"/>
    <col min="23" max="23" width="5.28515625" bestFit="1" customWidth="1"/>
    <col min="24" max="26" width="3" bestFit="1" customWidth="1"/>
    <col min="27" max="27" width="5.28515625" bestFit="1" customWidth="1"/>
    <col min="28" max="29" width="3" bestFit="1" customWidth="1"/>
    <col min="30" max="30" width="5.28515625" bestFit="1" customWidth="1"/>
    <col min="31" max="32" width="3" bestFit="1" customWidth="1"/>
    <col min="33" max="33" width="5.28515625" bestFit="1" customWidth="1"/>
    <col min="34" max="34" width="5.42578125" customWidth="1"/>
    <col min="40" max="42" width="4.7109375" customWidth="1"/>
    <col min="50" max="58" width="0" hidden="1" customWidth="1"/>
  </cols>
  <sheetData>
    <row r="1" spans="1:5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  <c r="P1" s="1"/>
      <c r="Q1" s="1"/>
      <c r="R1" s="1"/>
    </row>
    <row r="2" spans="1:57" ht="36.75" customHeight="1" x14ac:dyDescent="0.2">
      <c r="A2" s="1"/>
      <c r="B2" s="1"/>
      <c r="C2" s="1"/>
      <c r="D2" s="1"/>
      <c r="E2" s="1"/>
      <c r="F2" s="1"/>
      <c r="G2" s="1"/>
      <c r="H2" s="1"/>
      <c r="I2" s="2"/>
      <c r="J2" s="2"/>
      <c r="K2" s="1"/>
      <c r="L2" s="1"/>
      <c r="M2" s="1"/>
      <c r="O2" s="2"/>
      <c r="P2" s="1"/>
      <c r="Q2" s="1"/>
      <c r="R2" s="1"/>
    </row>
    <row r="3" spans="1:5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80"/>
      <c r="Q3" s="80"/>
      <c r="R3" s="80"/>
      <c r="S3" s="80"/>
      <c r="T3" s="80"/>
    </row>
    <row r="4" spans="1:5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7" spans="1:57" ht="14.25" x14ac:dyDescent="0.25">
      <c r="A7" s="7"/>
      <c r="B7" s="7"/>
      <c r="C7" s="7"/>
      <c r="D7" s="7"/>
      <c r="E7" s="81" t="s">
        <v>20</v>
      </c>
      <c r="F7" s="81"/>
      <c r="G7" s="7"/>
      <c r="H7" s="7"/>
      <c r="I7" s="7"/>
      <c r="J7" s="7"/>
      <c r="K7" s="7"/>
      <c r="L7" s="82" t="s">
        <v>11</v>
      </c>
      <c r="M7" s="82"/>
      <c r="N7" s="82"/>
      <c r="O7" s="82"/>
      <c r="P7" s="82"/>
      <c r="Q7" s="83" t="s">
        <v>29</v>
      </c>
      <c r="R7" s="83"/>
      <c r="S7" s="83"/>
      <c r="T7" s="83"/>
      <c r="U7" s="84" t="s">
        <v>33</v>
      </c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98" t="s">
        <v>8</v>
      </c>
      <c r="AI7" s="99"/>
      <c r="AJ7" s="99"/>
      <c r="AK7" s="99"/>
      <c r="AL7" s="100"/>
      <c r="AN7" s="73" t="s">
        <v>80</v>
      </c>
      <c r="AO7" s="74"/>
      <c r="AP7" s="75"/>
      <c r="AY7" s="76" t="s">
        <v>81</v>
      </c>
      <c r="AZ7" s="77"/>
      <c r="BA7" s="78"/>
    </row>
    <row r="8" spans="1:57" ht="16.5" customHeight="1" x14ac:dyDescent="0.2">
      <c r="A8" s="85" t="s">
        <v>18</v>
      </c>
      <c r="B8" s="89" t="s">
        <v>19</v>
      </c>
      <c r="C8" s="90" t="s">
        <v>23</v>
      </c>
      <c r="D8" s="88" t="s">
        <v>24</v>
      </c>
      <c r="E8" s="91" t="s">
        <v>25</v>
      </c>
      <c r="F8" s="86" t="s">
        <v>26</v>
      </c>
      <c r="G8" s="88" t="s">
        <v>27</v>
      </c>
      <c r="H8" s="88" t="s">
        <v>0</v>
      </c>
      <c r="I8" s="88" t="s">
        <v>21</v>
      </c>
      <c r="J8" s="88" t="s">
        <v>22</v>
      </c>
      <c r="K8" s="85" t="s">
        <v>28</v>
      </c>
      <c r="L8" s="79" t="s">
        <v>1</v>
      </c>
      <c r="M8" s="79" t="s">
        <v>2</v>
      </c>
      <c r="N8" s="79" t="s">
        <v>3</v>
      </c>
      <c r="O8" s="79" t="s">
        <v>4</v>
      </c>
      <c r="P8" s="79" t="s">
        <v>5</v>
      </c>
      <c r="Q8" s="92" t="s">
        <v>34</v>
      </c>
      <c r="R8" s="92" t="s">
        <v>30</v>
      </c>
      <c r="S8" s="92" t="s">
        <v>31</v>
      </c>
      <c r="T8" s="92" t="s">
        <v>32</v>
      </c>
      <c r="U8" s="93" t="s">
        <v>38</v>
      </c>
      <c r="V8" s="93"/>
      <c r="W8" s="93"/>
      <c r="X8" s="93" t="s">
        <v>39</v>
      </c>
      <c r="Y8" s="93"/>
      <c r="Z8" s="93"/>
      <c r="AA8" s="93"/>
      <c r="AB8" s="93" t="s">
        <v>40</v>
      </c>
      <c r="AC8" s="93"/>
      <c r="AD8" s="93"/>
      <c r="AE8" s="93" t="s">
        <v>41</v>
      </c>
      <c r="AF8" s="94"/>
      <c r="AG8" s="95"/>
      <c r="AH8" s="101"/>
      <c r="AI8" s="102"/>
      <c r="AJ8" s="102"/>
      <c r="AK8" s="102"/>
      <c r="AL8" s="103"/>
      <c r="AN8" s="79" t="s">
        <v>3</v>
      </c>
      <c r="AO8" s="79" t="s">
        <v>4</v>
      </c>
      <c r="AP8" s="79" t="s">
        <v>5</v>
      </c>
      <c r="AY8" s="79" t="s">
        <v>3</v>
      </c>
      <c r="AZ8" s="79" t="s">
        <v>4</v>
      </c>
      <c r="BA8" s="79" t="s">
        <v>5</v>
      </c>
    </row>
    <row r="9" spans="1:57" s="3" customFormat="1" ht="72" customHeight="1" x14ac:dyDescent="0.2">
      <c r="A9" s="85"/>
      <c r="B9" s="89"/>
      <c r="C9" s="90"/>
      <c r="D9" s="88"/>
      <c r="E9" s="91"/>
      <c r="F9" s="87"/>
      <c r="G9" s="88"/>
      <c r="H9" s="88"/>
      <c r="I9" s="88"/>
      <c r="J9" s="88"/>
      <c r="K9" s="85"/>
      <c r="L9" s="79"/>
      <c r="M9" s="79"/>
      <c r="N9" s="79"/>
      <c r="O9" s="79"/>
      <c r="P9" s="79"/>
      <c r="Q9" s="92"/>
      <c r="R9" s="92"/>
      <c r="S9" s="92"/>
      <c r="T9" s="92"/>
      <c r="U9" s="8" t="s">
        <v>16</v>
      </c>
      <c r="V9" s="8" t="s">
        <v>6</v>
      </c>
      <c r="W9" s="9" t="s">
        <v>7</v>
      </c>
      <c r="X9" s="8" t="s">
        <v>17</v>
      </c>
      <c r="Y9" s="8" t="s">
        <v>16</v>
      </c>
      <c r="Z9" s="8" t="s">
        <v>6</v>
      </c>
      <c r="AA9" s="9" t="s">
        <v>7</v>
      </c>
      <c r="AB9" s="8" t="s">
        <v>16</v>
      </c>
      <c r="AC9" s="8" t="s">
        <v>6</v>
      </c>
      <c r="AD9" s="9" t="s">
        <v>7</v>
      </c>
      <c r="AE9" s="8" t="s">
        <v>16</v>
      </c>
      <c r="AF9" s="8" t="s">
        <v>6</v>
      </c>
      <c r="AG9" s="9" t="s">
        <v>7</v>
      </c>
      <c r="AH9" s="104"/>
      <c r="AI9" s="105"/>
      <c r="AJ9" s="105"/>
      <c r="AK9" s="105"/>
      <c r="AL9" s="106"/>
      <c r="AN9" s="79"/>
      <c r="AO9" s="79"/>
      <c r="AP9" s="79"/>
      <c r="AY9" s="79"/>
      <c r="AZ9" s="79"/>
      <c r="BA9" s="79"/>
      <c r="BC9" s="3" t="s">
        <v>82</v>
      </c>
      <c r="BD9" s="3" t="s">
        <v>83</v>
      </c>
      <c r="BE9" s="3" t="s">
        <v>84</v>
      </c>
    </row>
    <row r="10" spans="1:57" x14ac:dyDescent="0.2">
      <c r="A10" s="13">
        <v>1</v>
      </c>
      <c r="B10" s="3">
        <v>4</v>
      </c>
      <c r="C10" s="17">
        <v>5</v>
      </c>
      <c r="D10" s="3">
        <v>4</v>
      </c>
      <c r="E10" s="18">
        <v>7</v>
      </c>
      <c r="F10" s="18">
        <v>8</v>
      </c>
      <c r="G10" s="18">
        <v>75</v>
      </c>
      <c r="H10" s="19">
        <v>2</v>
      </c>
      <c r="I10" s="18"/>
      <c r="J10" s="18"/>
      <c r="K10" s="20">
        <v>124</v>
      </c>
      <c r="L10" s="18">
        <v>259</v>
      </c>
      <c r="M10" s="18">
        <v>240</v>
      </c>
      <c r="N10" s="18">
        <v>285</v>
      </c>
      <c r="O10" s="18">
        <v>85</v>
      </c>
      <c r="P10" s="18">
        <v>232</v>
      </c>
      <c r="Q10" s="17">
        <v>1</v>
      </c>
      <c r="R10" s="17">
        <v>1</v>
      </c>
      <c r="S10" s="17">
        <v>0</v>
      </c>
      <c r="T10" s="17">
        <v>1</v>
      </c>
      <c r="U10" s="17">
        <v>1</v>
      </c>
      <c r="V10" s="3">
        <v>8</v>
      </c>
      <c r="W10" s="20">
        <v>63</v>
      </c>
      <c r="X10" s="17">
        <v>8</v>
      </c>
      <c r="Y10" s="17">
        <v>5</v>
      </c>
      <c r="Z10" s="17">
        <v>0</v>
      </c>
      <c r="AA10" s="20">
        <v>840</v>
      </c>
      <c r="AB10" s="3"/>
      <c r="AC10" s="3"/>
      <c r="AD10" s="20"/>
      <c r="AE10" s="3"/>
      <c r="AF10" s="3"/>
      <c r="AG10" s="20"/>
      <c r="AH10" s="96"/>
      <c r="AI10" s="96"/>
      <c r="AJ10" s="96"/>
      <c r="AK10" s="96"/>
      <c r="AL10" s="97"/>
      <c r="AN10" s="67">
        <f>N10-AY10</f>
        <v>-0.22019657022065076</v>
      </c>
      <c r="AO10" s="67">
        <f>O10-AZ10</f>
        <v>-0.36895315468056822</v>
      </c>
      <c r="AP10" s="67">
        <f>P10-BA10</f>
        <v>-0.54969977206377507</v>
      </c>
      <c r="AY10" s="67">
        <f t="shared" ref="AY10:AY40" si="0">10*(BE10-BD10*((L10/10)-(M10/10))*0.00066*(1+(0.00115*(M10/10))))</f>
        <v>285.22019657022065</v>
      </c>
      <c r="AZ10" s="67">
        <f t="shared" ref="AZ10:AZ40" si="1">((AY10/10)*100)/BC10</f>
        <v>85.368953154680568</v>
      </c>
      <c r="BA10" s="67">
        <f>(243.5*LN((AY10/10)/6.112))/(17.67-LN((AY10/10)/6.112))*10</f>
        <v>232.54969977206378</v>
      </c>
      <c r="BC10">
        <f>6.112*2.718^((17.67*(L10/10))/((L10/10)+243.5))</f>
        <v>33.410295667258367</v>
      </c>
      <c r="BD10">
        <v>1013.2</v>
      </c>
      <c r="BE10">
        <f>6.112*2.718^((17.67*(M10/10))/((M10/10)+243.5))</f>
        <v>29.827639714302066</v>
      </c>
    </row>
    <row r="11" spans="1:57" x14ac:dyDescent="0.2">
      <c r="A11" s="13">
        <v>2</v>
      </c>
      <c r="B11" s="3">
        <v>4</v>
      </c>
      <c r="C11" s="17">
        <v>4</v>
      </c>
      <c r="D11" s="3">
        <v>4</v>
      </c>
      <c r="E11" s="18">
        <v>11</v>
      </c>
      <c r="F11" s="18">
        <v>11</v>
      </c>
      <c r="G11" s="18">
        <v>78</v>
      </c>
      <c r="H11" s="19">
        <v>2</v>
      </c>
      <c r="I11" s="18"/>
      <c r="J11" s="18"/>
      <c r="K11" s="20">
        <v>120</v>
      </c>
      <c r="L11" s="18">
        <v>262</v>
      </c>
      <c r="M11" s="18">
        <v>244</v>
      </c>
      <c r="N11" s="18">
        <v>292</v>
      </c>
      <c r="O11" s="18">
        <v>86</v>
      </c>
      <c r="P11" s="18">
        <v>236</v>
      </c>
      <c r="Q11" s="17">
        <v>4</v>
      </c>
      <c r="R11" s="17">
        <v>2</v>
      </c>
      <c r="S11" s="17">
        <v>0</v>
      </c>
      <c r="T11" s="17">
        <v>0</v>
      </c>
      <c r="U11" s="17">
        <v>4</v>
      </c>
      <c r="V11" s="3">
        <v>8</v>
      </c>
      <c r="W11" s="20">
        <v>60</v>
      </c>
      <c r="X11" s="17">
        <v>8</v>
      </c>
      <c r="Y11" s="3"/>
      <c r="Z11" s="3"/>
      <c r="AA11" s="20"/>
      <c r="AB11" s="3"/>
      <c r="AC11" s="3"/>
      <c r="AD11" s="20"/>
      <c r="AE11" s="3"/>
      <c r="AF11" s="3"/>
      <c r="AG11" s="20"/>
      <c r="AH11" s="107"/>
      <c r="AI11" s="107"/>
      <c r="AJ11" s="107"/>
      <c r="AK11" s="107"/>
      <c r="AL11" s="108"/>
      <c r="AN11" s="67">
        <f t="shared" ref="AN11:AP39" si="2">N11-AY11</f>
        <v>-1.1511560057245447</v>
      </c>
      <c r="AO11" s="67">
        <f t="shared" si="2"/>
        <v>-0.1978868787730903</v>
      </c>
      <c r="AP11" s="67">
        <f t="shared" si="2"/>
        <v>-1.0933490834534325</v>
      </c>
      <c r="AY11" s="67">
        <f t="shared" si="0"/>
        <v>293.15115600572454</v>
      </c>
      <c r="AZ11" s="67">
        <f t="shared" si="1"/>
        <v>86.19788687877309</v>
      </c>
      <c r="BA11" s="67">
        <f t="shared" ref="BA11:BA40" si="3">(243.5*LN((AY11/10)/6.112))/(17.67-LN((AY11/10)/6.112))*10</f>
        <v>237.09334908345343</v>
      </c>
      <c r="BC11">
        <f t="shared" ref="BC11:BC40" si="4">6.112*2.718^((17.67*(L11/10))/((L11/10)+243.5))</f>
        <v>34.009088461531107</v>
      </c>
      <c r="BD11">
        <v>1013.2</v>
      </c>
      <c r="BE11">
        <f t="shared" ref="BE11:BE40" si="5">6.112*2.718^((17.67*(M11/10))/((M11/10)+243.5))</f>
        <v>30.552572506268454</v>
      </c>
    </row>
    <row r="12" spans="1:57" x14ac:dyDescent="0.2">
      <c r="A12" s="13">
        <v>3</v>
      </c>
      <c r="B12" s="3">
        <v>4</v>
      </c>
      <c r="C12" s="17">
        <v>1</v>
      </c>
      <c r="D12" s="3">
        <v>4</v>
      </c>
      <c r="E12" s="18">
        <v>0</v>
      </c>
      <c r="F12" s="18">
        <v>0</v>
      </c>
      <c r="G12" s="18">
        <v>70</v>
      </c>
      <c r="H12" s="19">
        <v>1</v>
      </c>
      <c r="I12" s="18">
        <v>6</v>
      </c>
      <c r="J12" s="18">
        <v>0</v>
      </c>
      <c r="K12" s="20">
        <v>117</v>
      </c>
      <c r="L12" s="18">
        <v>256</v>
      </c>
      <c r="M12" s="18">
        <v>238</v>
      </c>
      <c r="N12" s="18">
        <v>281</v>
      </c>
      <c r="O12" s="18">
        <v>86</v>
      </c>
      <c r="P12" s="18">
        <v>235</v>
      </c>
      <c r="Q12" s="17">
        <v>1</v>
      </c>
      <c r="R12" s="17">
        <v>8</v>
      </c>
      <c r="S12" s="17">
        <v>0</v>
      </c>
      <c r="T12" s="17">
        <v>1</v>
      </c>
      <c r="U12" s="17">
        <v>1</v>
      </c>
      <c r="V12" s="3">
        <v>8</v>
      </c>
      <c r="W12" s="20">
        <v>54</v>
      </c>
      <c r="X12" s="17">
        <v>8</v>
      </c>
      <c r="Y12" s="3"/>
      <c r="Z12" s="3"/>
      <c r="AA12" s="20"/>
      <c r="AB12" s="3"/>
      <c r="AC12" s="3"/>
      <c r="AD12" s="20"/>
      <c r="AE12" s="3"/>
      <c r="AF12" s="3"/>
      <c r="AG12" s="20"/>
      <c r="AH12" s="107" t="s">
        <v>85</v>
      </c>
      <c r="AI12" s="107"/>
      <c r="AJ12" s="107"/>
      <c r="AK12" s="107"/>
      <c r="AL12" s="108"/>
      <c r="AN12" s="67">
        <f t="shared" si="2"/>
        <v>-1.3422869449683503</v>
      </c>
      <c r="AO12" s="67">
        <f t="shared" si="2"/>
        <v>-2.5554965803294749E-2</v>
      </c>
      <c r="AP12" s="67">
        <f t="shared" si="2"/>
        <v>4.1264535372448279</v>
      </c>
      <c r="AY12" s="67">
        <f t="shared" si="0"/>
        <v>282.34228694496835</v>
      </c>
      <c r="AZ12" s="67">
        <f t="shared" si="1"/>
        <v>86.025554965803295</v>
      </c>
      <c r="BA12" s="67">
        <f t="shared" si="3"/>
        <v>230.87354646275517</v>
      </c>
      <c r="BC12">
        <f t="shared" si="4"/>
        <v>32.820745772253893</v>
      </c>
      <c r="BD12">
        <v>1013.2</v>
      </c>
      <c r="BE12">
        <f t="shared" si="5"/>
        <v>29.470855059888834</v>
      </c>
    </row>
    <row r="13" spans="1:57" x14ac:dyDescent="0.2">
      <c r="A13" s="13">
        <v>4</v>
      </c>
      <c r="B13" s="3">
        <v>4</v>
      </c>
      <c r="C13" s="17">
        <v>3</v>
      </c>
      <c r="D13" s="3">
        <v>4</v>
      </c>
      <c r="E13" s="18">
        <v>0</v>
      </c>
      <c r="F13" s="18">
        <v>0</v>
      </c>
      <c r="G13" s="18">
        <v>75</v>
      </c>
      <c r="H13" s="19">
        <v>2</v>
      </c>
      <c r="I13" s="18"/>
      <c r="J13" s="18"/>
      <c r="K13" s="20">
        <v>125</v>
      </c>
      <c r="L13" s="18">
        <v>255</v>
      </c>
      <c r="M13" s="18">
        <v>239</v>
      </c>
      <c r="N13" s="18">
        <v>285</v>
      </c>
      <c r="O13" s="18">
        <v>87</v>
      </c>
      <c r="P13" s="18">
        <v>232</v>
      </c>
      <c r="Q13" s="17">
        <v>3</v>
      </c>
      <c r="R13" s="17">
        <v>2</v>
      </c>
      <c r="S13" s="17">
        <v>0</v>
      </c>
      <c r="T13" s="17">
        <v>0</v>
      </c>
      <c r="U13" s="17">
        <v>3</v>
      </c>
      <c r="V13" s="3">
        <v>8</v>
      </c>
      <c r="W13" s="20">
        <v>60</v>
      </c>
      <c r="X13" s="17">
        <v>8</v>
      </c>
      <c r="Y13" s="3"/>
      <c r="Z13" s="3"/>
      <c r="AA13" s="20"/>
      <c r="AB13" s="3"/>
      <c r="AC13" s="3"/>
      <c r="AD13" s="20"/>
      <c r="AE13" s="3"/>
      <c r="AF13" s="3"/>
      <c r="AG13" s="20"/>
      <c r="AH13" s="107"/>
      <c r="AI13" s="107"/>
      <c r="AJ13" s="107"/>
      <c r="AK13" s="107"/>
      <c r="AL13" s="108"/>
      <c r="AN13" s="67">
        <f t="shared" si="2"/>
        <v>-0.4943094498581786</v>
      </c>
      <c r="AO13" s="67">
        <f t="shared" si="2"/>
        <v>-0.50444905730152811</v>
      </c>
      <c r="AP13" s="67">
        <f t="shared" si="2"/>
        <v>-0.70857491311917897</v>
      </c>
      <c r="AY13" s="67">
        <f t="shared" si="0"/>
        <v>285.49430944985818</v>
      </c>
      <c r="AZ13" s="67">
        <f t="shared" si="1"/>
        <v>87.504449057301528</v>
      </c>
      <c r="BA13" s="67">
        <f t="shared" si="3"/>
        <v>232.70857491311918</v>
      </c>
      <c r="BC13">
        <f t="shared" si="4"/>
        <v>32.626262153014039</v>
      </c>
      <c r="BD13">
        <v>1013.2</v>
      </c>
      <c r="BE13">
        <f t="shared" si="5"/>
        <v>29.648777423897815</v>
      </c>
    </row>
    <row r="14" spans="1:57" x14ac:dyDescent="0.2">
      <c r="A14" s="13">
        <v>5</v>
      </c>
      <c r="B14" s="3">
        <v>4</v>
      </c>
      <c r="C14" s="17">
        <v>2</v>
      </c>
      <c r="D14" s="3">
        <v>4</v>
      </c>
      <c r="E14" s="18">
        <v>9</v>
      </c>
      <c r="F14" s="18">
        <v>12</v>
      </c>
      <c r="G14" s="18">
        <v>80</v>
      </c>
      <c r="H14" s="19">
        <v>2</v>
      </c>
      <c r="I14" s="18"/>
      <c r="J14" s="18"/>
      <c r="K14" s="20">
        <v>127</v>
      </c>
      <c r="L14" s="18">
        <v>265</v>
      </c>
      <c r="M14" s="18">
        <v>245</v>
      </c>
      <c r="N14" s="18">
        <v>291</v>
      </c>
      <c r="O14" s="18">
        <v>84</v>
      </c>
      <c r="P14" s="18">
        <v>236</v>
      </c>
      <c r="Q14" s="17">
        <v>1</v>
      </c>
      <c r="R14" s="17">
        <v>2</v>
      </c>
      <c r="S14" s="17">
        <v>0</v>
      </c>
      <c r="T14" s="17">
        <v>1</v>
      </c>
      <c r="U14" s="17">
        <v>1</v>
      </c>
      <c r="V14" s="3">
        <v>8</v>
      </c>
      <c r="W14" s="20">
        <v>63</v>
      </c>
      <c r="X14" s="17">
        <v>8</v>
      </c>
      <c r="Y14" s="3"/>
      <c r="Z14" s="3"/>
      <c r="AA14" s="20"/>
      <c r="AB14" s="3"/>
      <c r="AC14" s="3"/>
      <c r="AD14" s="20"/>
      <c r="AE14" s="3"/>
      <c r="AF14" s="3"/>
      <c r="AG14" s="20"/>
      <c r="AH14" s="107"/>
      <c r="AI14" s="107"/>
      <c r="AJ14" s="107"/>
      <c r="AK14" s="107"/>
      <c r="AL14" s="108"/>
      <c r="AN14" s="67">
        <f t="shared" si="2"/>
        <v>-2.6109191472706925</v>
      </c>
      <c r="AO14" s="67">
        <f t="shared" si="2"/>
        <v>-0.81637005629677617</v>
      </c>
      <c r="AP14" s="67">
        <f t="shared" si="2"/>
        <v>-1.3534322275399404</v>
      </c>
      <c r="AY14" s="67">
        <f t="shared" si="0"/>
        <v>293.61091914727069</v>
      </c>
      <c r="AZ14" s="67">
        <f t="shared" si="1"/>
        <v>84.816370056296776</v>
      </c>
      <c r="BA14" s="67">
        <f t="shared" si="3"/>
        <v>237.35343222753994</v>
      </c>
      <c r="BC14">
        <f t="shared" si="4"/>
        <v>34.617246523564582</v>
      </c>
      <c r="BD14">
        <v>1013.2</v>
      </c>
      <c r="BE14">
        <f t="shared" si="5"/>
        <v>30.736197835927069</v>
      </c>
    </row>
    <row r="15" spans="1:57" x14ac:dyDescent="0.2">
      <c r="A15" s="13">
        <v>6</v>
      </c>
      <c r="B15" s="3">
        <v>4</v>
      </c>
      <c r="C15" s="17">
        <v>3</v>
      </c>
      <c r="D15" s="3">
        <v>4</v>
      </c>
      <c r="E15" s="18">
        <v>10</v>
      </c>
      <c r="F15" s="18">
        <v>14</v>
      </c>
      <c r="G15" s="18">
        <v>78</v>
      </c>
      <c r="H15" s="19">
        <v>2</v>
      </c>
      <c r="I15" s="18"/>
      <c r="J15" s="18"/>
      <c r="K15" s="20">
        <v>124</v>
      </c>
      <c r="L15" s="18">
        <v>267</v>
      </c>
      <c r="M15" s="18">
        <v>246</v>
      </c>
      <c r="N15" s="18">
        <v>294</v>
      </c>
      <c r="O15" s="18">
        <v>84</v>
      </c>
      <c r="P15" s="18">
        <v>237</v>
      </c>
      <c r="Q15" s="17">
        <v>3</v>
      </c>
      <c r="R15" s="17">
        <v>2</v>
      </c>
      <c r="S15" s="17">
        <v>0</v>
      </c>
      <c r="T15" s="17">
        <v>0</v>
      </c>
      <c r="U15" s="17">
        <v>3</v>
      </c>
      <c r="V15" s="3">
        <v>8</v>
      </c>
      <c r="W15" s="20">
        <v>60</v>
      </c>
      <c r="X15" s="17">
        <v>8</v>
      </c>
      <c r="Y15" s="3"/>
      <c r="Z15" s="3"/>
      <c r="AA15" s="20"/>
      <c r="AB15" s="3"/>
      <c r="AC15" s="3"/>
      <c r="AD15" s="20"/>
      <c r="AE15" s="3"/>
      <c r="AF15" s="3"/>
      <c r="AG15" s="20"/>
      <c r="AH15" s="107"/>
      <c r="AI15" s="107"/>
      <c r="AJ15" s="107"/>
      <c r="AK15" s="107"/>
      <c r="AL15" s="108"/>
      <c r="AN15" s="67">
        <f t="shared" si="2"/>
        <v>-0.76765849884975523</v>
      </c>
      <c r="AO15" s="67">
        <f t="shared" si="2"/>
        <v>-0.15213150340430559</v>
      </c>
      <c r="AP15" s="67">
        <f t="shared" si="2"/>
        <v>-1.0062133126082813</v>
      </c>
      <c r="AY15" s="67">
        <f t="shared" si="0"/>
        <v>294.76765849884976</v>
      </c>
      <c r="AZ15" s="67">
        <f t="shared" si="1"/>
        <v>84.152131503404306</v>
      </c>
      <c r="BA15" s="67">
        <f t="shared" si="3"/>
        <v>238.00621331260828</v>
      </c>
      <c r="BC15">
        <f t="shared" si="4"/>
        <v>35.027949171664794</v>
      </c>
      <c r="BD15">
        <v>1013.2</v>
      </c>
      <c r="BE15">
        <f t="shared" si="5"/>
        <v>30.920788561092973</v>
      </c>
    </row>
    <row r="16" spans="1:57" x14ac:dyDescent="0.2">
      <c r="A16" s="13">
        <v>7</v>
      </c>
      <c r="B16" s="3">
        <v>4</v>
      </c>
      <c r="C16" s="17">
        <v>1</v>
      </c>
      <c r="D16" s="3">
        <v>4</v>
      </c>
      <c r="E16" s="18">
        <v>8</v>
      </c>
      <c r="F16" s="18">
        <v>5</v>
      </c>
      <c r="G16" s="18">
        <v>80</v>
      </c>
      <c r="H16" s="19">
        <v>2</v>
      </c>
      <c r="I16" s="18"/>
      <c r="J16" s="18"/>
      <c r="K16" s="20">
        <v>113</v>
      </c>
      <c r="L16" s="18">
        <v>261</v>
      </c>
      <c r="M16" s="18">
        <v>239</v>
      </c>
      <c r="N16" s="18">
        <v>280</v>
      </c>
      <c r="O16" s="18">
        <v>82</v>
      </c>
      <c r="P16" s="18">
        <v>229</v>
      </c>
      <c r="Q16" s="17">
        <v>1</v>
      </c>
      <c r="R16" s="17">
        <v>2</v>
      </c>
      <c r="S16" s="17">
        <v>0</v>
      </c>
      <c r="T16" s="17">
        <v>0</v>
      </c>
      <c r="U16" s="17">
        <v>1</v>
      </c>
      <c r="V16" s="3">
        <v>8</v>
      </c>
      <c r="W16" s="20">
        <v>60</v>
      </c>
      <c r="X16" s="17">
        <v>8</v>
      </c>
      <c r="Y16" s="3"/>
      <c r="Z16" s="3"/>
      <c r="AA16" s="20"/>
      <c r="AB16" s="3"/>
      <c r="AC16" s="3"/>
      <c r="AD16" s="20"/>
      <c r="AE16" s="3"/>
      <c r="AF16" s="3"/>
      <c r="AG16" s="20"/>
      <c r="AH16" s="107"/>
      <c r="AI16" s="107"/>
      <c r="AJ16" s="107"/>
      <c r="AK16" s="107"/>
      <c r="AL16" s="108"/>
      <c r="AN16" s="67">
        <f t="shared" si="2"/>
        <v>-1.3717601539381121</v>
      </c>
      <c r="AO16" s="67">
        <f t="shared" si="2"/>
        <v>-1.225260941140732</v>
      </c>
      <c r="AP16" s="67">
        <f t="shared" si="2"/>
        <v>-1.3049161250254429</v>
      </c>
      <c r="AY16" s="67">
        <f t="shared" si="0"/>
        <v>281.37176015393811</v>
      </c>
      <c r="AZ16" s="67">
        <f t="shared" si="1"/>
        <v>83.225260941140732</v>
      </c>
      <c r="BA16" s="67">
        <f t="shared" si="3"/>
        <v>230.30491612502544</v>
      </c>
      <c r="BC16">
        <f t="shared" si="4"/>
        <v>33.808456347518359</v>
      </c>
      <c r="BD16">
        <v>1013.2</v>
      </c>
      <c r="BE16">
        <f t="shared" si="5"/>
        <v>29.648777423897815</v>
      </c>
    </row>
    <row r="17" spans="1:57" x14ac:dyDescent="0.2">
      <c r="A17" s="13">
        <v>8</v>
      </c>
      <c r="B17" s="3">
        <v>4</v>
      </c>
      <c r="C17" s="17">
        <v>1</v>
      </c>
      <c r="D17" s="3">
        <v>4</v>
      </c>
      <c r="E17" s="18">
        <v>9</v>
      </c>
      <c r="F17" s="18">
        <v>15</v>
      </c>
      <c r="G17" s="18">
        <v>78</v>
      </c>
      <c r="H17" s="19">
        <v>2</v>
      </c>
      <c r="I17" s="18"/>
      <c r="J17" s="18"/>
      <c r="K17" s="20">
        <v>112</v>
      </c>
      <c r="L17" s="18">
        <v>262</v>
      </c>
      <c r="M17" s="18">
        <v>240</v>
      </c>
      <c r="N17" s="18">
        <v>281</v>
      </c>
      <c r="O17" s="18">
        <v>83</v>
      </c>
      <c r="P17" s="18">
        <v>230</v>
      </c>
      <c r="Q17" s="17">
        <v>1</v>
      </c>
      <c r="R17" s="17">
        <v>1</v>
      </c>
      <c r="S17" s="17">
        <v>0</v>
      </c>
      <c r="T17" s="17">
        <v>1</v>
      </c>
      <c r="U17" s="17">
        <v>1</v>
      </c>
      <c r="V17" s="3">
        <v>8</v>
      </c>
      <c r="W17" s="20">
        <v>69</v>
      </c>
      <c r="X17" s="17">
        <v>8</v>
      </c>
      <c r="Y17" s="3"/>
      <c r="Z17" s="3"/>
      <c r="AA17" s="20"/>
      <c r="AB17" s="3"/>
      <c r="AC17" s="3"/>
      <c r="AD17" s="20"/>
      <c r="AE17" s="3"/>
      <c r="AF17" s="3"/>
      <c r="AG17" s="20"/>
      <c r="AH17" s="107"/>
      <c r="AI17" s="107"/>
      <c r="AJ17" s="107"/>
      <c r="AK17" s="107"/>
      <c r="AL17" s="108"/>
      <c r="AN17" s="67">
        <f t="shared" si="2"/>
        <v>-2.1586912166206389</v>
      </c>
      <c r="AO17" s="67">
        <f t="shared" si="2"/>
        <v>-0.2597120434179061</v>
      </c>
      <c r="AP17" s="67">
        <f t="shared" si="2"/>
        <v>-1.3505520676229139</v>
      </c>
      <c r="AY17" s="67">
        <f t="shared" si="0"/>
        <v>283.15869121662064</v>
      </c>
      <c r="AZ17" s="67">
        <f t="shared" si="1"/>
        <v>83.259712043417906</v>
      </c>
      <c r="BA17" s="67">
        <f t="shared" si="3"/>
        <v>231.35055206762291</v>
      </c>
      <c r="BC17">
        <f t="shared" si="4"/>
        <v>34.009088461531107</v>
      </c>
      <c r="BD17">
        <v>1013.2</v>
      </c>
      <c r="BE17">
        <f t="shared" si="5"/>
        <v>29.827639714302066</v>
      </c>
    </row>
    <row r="18" spans="1:57" x14ac:dyDescent="0.2">
      <c r="A18" s="13">
        <v>9</v>
      </c>
      <c r="B18" s="3">
        <v>4</v>
      </c>
      <c r="C18" s="17">
        <v>2</v>
      </c>
      <c r="D18" s="3">
        <v>4</v>
      </c>
      <c r="E18" s="18">
        <v>11</v>
      </c>
      <c r="F18" s="18">
        <v>14</v>
      </c>
      <c r="G18" s="18">
        <v>72</v>
      </c>
      <c r="H18" s="19">
        <v>1</v>
      </c>
      <c r="I18" s="18">
        <v>5</v>
      </c>
      <c r="J18" s="18">
        <v>0</v>
      </c>
      <c r="K18" s="20">
        <v>111</v>
      </c>
      <c r="L18" s="18">
        <v>269</v>
      </c>
      <c r="M18" s="18">
        <v>245</v>
      </c>
      <c r="N18" s="18">
        <v>288</v>
      </c>
      <c r="O18" s="18">
        <v>81</v>
      </c>
      <c r="P18" s="18">
        <v>234</v>
      </c>
      <c r="Q18" s="17">
        <v>2</v>
      </c>
      <c r="R18" s="17">
        <v>1</v>
      </c>
      <c r="S18" s="17">
        <v>0</v>
      </c>
      <c r="T18" s="17">
        <v>0</v>
      </c>
      <c r="U18" s="17">
        <v>2</v>
      </c>
      <c r="V18" s="3">
        <v>8</v>
      </c>
      <c r="W18" s="20">
        <v>60</v>
      </c>
      <c r="X18" s="17">
        <v>8</v>
      </c>
      <c r="Y18" s="3"/>
      <c r="Z18" s="3"/>
      <c r="AA18" s="20"/>
      <c r="AB18" s="3"/>
      <c r="AC18" s="3"/>
      <c r="AD18" s="20"/>
      <c r="AE18" s="3"/>
      <c r="AF18" s="3"/>
      <c r="AG18" s="20"/>
      <c r="AH18" s="96"/>
      <c r="AI18" s="96"/>
      <c r="AJ18" s="96"/>
      <c r="AK18" s="96"/>
      <c r="AL18" s="97"/>
      <c r="AN18" s="67">
        <f t="shared" si="2"/>
        <v>-2.8607073048706866</v>
      </c>
      <c r="AO18" s="67">
        <f t="shared" si="2"/>
        <v>-1.0645764337847226</v>
      </c>
      <c r="AP18" s="67">
        <f t="shared" si="2"/>
        <v>-1.7923189602715581</v>
      </c>
      <c r="AY18" s="67">
        <f t="shared" si="0"/>
        <v>290.86070730487069</v>
      </c>
      <c r="AZ18" s="67">
        <f t="shared" si="1"/>
        <v>82.064576433784723</v>
      </c>
      <c r="BA18" s="67">
        <f t="shared" si="3"/>
        <v>235.79231896027156</v>
      </c>
      <c r="BC18">
        <f t="shared" si="4"/>
        <v>35.442906055764126</v>
      </c>
      <c r="BD18">
        <v>1013.2</v>
      </c>
      <c r="BE18">
        <f t="shared" si="5"/>
        <v>30.736197835927069</v>
      </c>
    </row>
    <row r="19" spans="1:57" x14ac:dyDescent="0.2">
      <c r="A19" s="13">
        <v>10</v>
      </c>
      <c r="B19" s="3">
        <v>4</v>
      </c>
      <c r="C19" s="17">
        <v>3</v>
      </c>
      <c r="D19" s="3">
        <v>4</v>
      </c>
      <c r="E19" s="18">
        <v>7</v>
      </c>
      <c r="F19" s="18">
        <v>10</v>
      </c>
      <c r="G19" s="18">
        <v>75</v>
      </c>
      <c r="H19" s="19">
        <v>2</v>
      </c>
      <c r="I19" s="18"/>
      <c r="J19" s="18"/>
      <c r="K19" s="20">
        <v>106</v>
      </c>
      <c r="L19" s="18">
        <v>257</v>
      </c>
      <c r="M19" s="18">
        <v>243</v>
      </c>
      <c r="N19" s="18">
        <v>294</v>
      </c>
      <c r="O19" s="18">
        <v>88</v>
      </c>
      <c r="P19" s="18">
        <v>237</v>
      </c>
      <c r="Q19" s="17">
        <v>2</v>
      </c>
      <c r="R19" s="17">
        <v>2</v>
      </c>
      <c r="S19" s="17">
        <v>0</v>
      </c>
      <c r="T19" s="17">
        <v>1</v>
      </c>
      <c r="U19" s="17">
        <v>2</v>
      </c>
      <c r="V19" s="3">
        <v>8</v>
      </c>
      <c r="W19" s="20">
        <v>63</v>
      </c>
      <c r="X19" s="17">
        <v>8</v>
      </c>
      <c r="Y19" s="3"/>
      <c r="Z19" s="3"/>
      <c r="AA19" s="20"/>
      <c r="AB19" s="3"/>
      <c r="AC19" s="3"/>
      <c r="AD19" s="20"/>
      <c r="AE19" s="3"/>
      <c r="AF19" s="3"/>
      <c r="AG19" s="20"/>
      <c r="AH19" s="107"/>
      <c r="AI19" s="107"/>
      <c r="AJ19" s="107"/>
      <c r="AK19" s="107"/>
      <c r="AL19" s="108"/>
      <c r="AN19" s="67">
        <f t="shared" si="2"/>
        <v>-7.549469695817379E-2</v>
      </c>
      <c r="AO19" s="67">
        <f t="shared" si="2"/>
        <v>-1.0699451923083387</v>
      </c>
      <c r="AP19" s="67">
        <f t="shared" si="2"/>
        <v>-0.61587565974977565</v>
      </c>
      <c r="AY19" s="67">
        <f t="shared" si="0"/>
        <v>294.07549469695817</v>
      </c>
      <c r="AZ19" s="67">
        <f t="shared" si="1"/>
        <v>89.069945192308339</v>
      </c>
      <c r="BA19" s="67">
        <f t="shared" si="3"/>
        <v>237.61587565974978</v>
      </c>
      <c r="BC19">
        <f t="shared" si="4"/>
        <v>33.016242915837466</v>
      </c>
      <c r="BD19">
        <v>1013.2</v>
      </c>
      <c r="BE19">
        <f t="shared" si="5"/>
        <v>30.369908289271816</v>
      </c>
    </row>
    <row r="20" spans="1:57" x14ac:dyDescent="0.2">
      <c r="A20" s="13">
        <v>11</v>
      </c>
      <c r="B20" s="3">
        <v>4</v>
      </c>
      <c r="C20" s="17">
        <v>2</v>
      </c>
      <c r="D20" s="3">
        <v>4</v>
      </c>
      <c r="E20" s="18">
        <v>0</v>
      </c>
      <c r="F20" s="18">
        <v>0</v>
      </c>
      <c r="G20" s="18">
        <v>78</v>
      </c>
      <c r="H20" s="19">
        <v>2</v>
      </c>
      <c r="I20" s="18"/>
      <c r="J20" s="18"/>
      <c r="K20" s="20">
        <v>90</v>
      </c>
      <c r="L20" s="18">
        <v>251</v>
      </c>
      <c r="M20" s="18">
        <v>243</v>
      </c>
      <c r="N20" s="18">
        <v>296</v>
      </c>
      <c r="O20" s="18">
        <v>93</v>
      </c>
      <c r="P20" s="18">
        <v>239</v>
      </c>
      <c r="Q20" s="17">
        <v>1</v>
      </c>
      <c r="R20" s="17">
        <v>2</v>
      </c>
      <c r="S20" s="17">
        <v>0</v>
      </c>
      <c r="T20" s="17">
        <v>1</v>
      </c>
      <c r="U20" s="17">
        <v>1</v>
      </c>
      <c r="V20" s="3">
        <v>8</v>
      </c>
      <c r="W20" s="20">
        <v>63</v>
      </c>
      <c r="X20" s="17">
        <v>8</v>
      </c>
      <c r="Y20" s="3"/>
      <c r="Z20" s="3"/>
      <c r="AA20" s="20"/>
      <c r="AB20" s="3"/>
      <c r="AC20" s="3"/>
      <c r="AD20" s="20"/>
      <c r="AE20" s="3"/>
      <c r="AF20" s="3"/>
      <c r="AG20" s="20"/>
      <c r="AH20" s="96"/>
      <c r="AI20" s="96"/>
      <c r="AJ20" s="96"/>
      <c r="AK20" s="96"/>
      <c r="AL20" s="97"/>
      <c r="AN20" s="67">
        <f t="shared" si="2"/>
        <v>-2.1998896379981261</v>
      </c>
      <c r="AO20" s="67">
        <f t="shared" si="2"/>
        <v>-0.60172894645207009</v>
      </c>
      <c r="AP20" s="67">
        <f t="shared" si="2"/>
        <v>-0.93000180260941079</v>
      </c>
      <c r="AY20" s="67">
        <f t="shared" si="0"/>
        <v>298.19988963799813</v>
      </c>
      <c r="AZ20" s="67">
        <f t="shared" si="1"/>
        <v>93.60172894645207</v>
      </c>
      <c r="BA20" s="67">
        <f t="shared" si="3"/>
        <v>239.93000180260941</v>
      </c>
      <c r="BC20">
        <f t="shared" si="4"/>
        <v>31.858374091422295</v>
      </c>
      <c r="BD20">
        <v>1013.2</v>
      </c>
      <c r="BE20">
        <f t="shared" si="5"/>
        <v>30.369908289271816</v>
      </c>
    </row>
    <row r="21" spans="1:57" x14ac:dyDescent="0.2">
      <c r="A21" s="13">
        <v>12</v>
      </c>
      <c r="B21" s="3">
        <v>4</v>
      </c>
      <c r="C21" s="17">
        <v>6</v>
      </c>
      <c r="D21" s="3">
        <v>4</v>
      </c>
      <c r="E21" s="18">
        <v>0</v>
      </c>
      <c r="F21" s="18">
        <v>0</v>
      </c>
      <c r="G21" s="18">
        <v>72</v>
      </c>
      <c r="H21" s="19">
        <v>1</v>
      </c>
      <c r="I21" s="18">
        <v>6</v>
      </c>
      <c r="J21" s="18">
        <v>11</v>
      </c>
      <c r="K21" s="20">
        <v>98</v>
      </c>
      <c r="L21" s="18">
        <v>245</v>
      </c>
      <c r="M21" s="18">
        <v>235</v>
      </c>
      <c r="N21" s="18">
        <v>281</v>
      </c>
      <c r="O21" s="18">
        <v>92</v>
      </c>
      <c r="P21" s="18">
        <v>230</v>
      </c>
      <c r="Q21" s="17">
        <v>4</v>
      </c>
      <c r="R21" s="17">
        <v>8</v>
      </c>
      <c r="S21" s="17">
        <v>0</v>
      </c>
      <c r="T21" s="17">
        <v>1</v>
      </c>
      <c r="U21" s="17">
        <v>1</v>
      </c>
      <c r="V21" s="3">
        <v>8</v>
      </c>
      <c r="W21" s="20">
        <v>54</v>
      </c>
      <c r="X21" s="17">
        <v>8</v>
      </c>
      <c r="Y21" s="17">
        <v>4</v>
      </c>
      <c r="Z21" s="17">
        <v>6</v>
      </c>
      <c r="AA21" s="20">
        <v>120</v>
      </c>
      <c r="AB21" s="3"/>
      <c r="AC21" s="3"/>
      <c r="AD21" s="20"/>
      <c r="AE21" s="3"/>
      <c r="AF21" s="3"/>
      <c r="AG21" s="20"/>
      <c r="AH21" s="107" t="s">
        <v>85</v>
      </c>
      <c r="AI21" s="107"/>
      <c r="AJ21" s="107"/>
      <c r="AK21" s="107"/>
      <c r="AL21" s="108"/>
      <c r="AN21" s="67">
        <f t="shared" si="2"/>
        <v>-1.5590174016500669</v>
      </c>
      <c r="AO21" s="67">
        <f t="shared" si="2"/>
        <v>6.9625621887681177E-2</v>
      </c>
      <c r="AP21" s="67">
        <f t="shared" si="2"/>
        <v>-1.0002946068011056</v>
      </c>
      <c r="AY21" s="67">
        <f t="shared" si="0"/>
        <v>282.55901740165007</v>
      </c>
      <c r="AZ21" s="67">
        <f t="shared" si="1"/>
        <v>91.930374378112319</v>
      </c>
      <c r="BA21" s="67">
        <f t="shared" si="3"/>
        <v>231.00029460680111</v>
      </c>
      <c r="BC21">
        <f t="shared" si="4"/>
        <v>30.736197835927069</v>
      </c>
      <c r="BD21">
        <v>1013.2</v>
      </c>
      <c r="BE21">
        <f t="shared" si="5"/>
        <v>28.94268568196501</v>
      </c>
    </row>
    <row r="22" spans="1:57" x14ac:dyDescent="0.2">
      <c r="A22" s="13">
        <v>13</v>
      </c>
      <c r="B22" s="3">
        <v>4</v>
      </c>
      <c r="C22" s="17">
        <v>6</v>
      </c>
      <c r="D22" s="3">
        <v>4</v>
      </c>
      <c r="E22" s="18">
        <v>6</v>
      </c>
      <c r="F22" s="18">
        <v>5</v>
      </c>
      <c r="G22" s="18">
        <v>75</v>
      </c>
      <c r="H22" s="19">
        <v>2</v>
      </c>
      <c r="I22" s="18"/>
      <c r="J22" s="18"/>
      <c r="K22" s="20">
        <v>114</v>
      </c>
      <c r="L22" s="18">
        <v>262</v>
      </c>
      <c r="M22" s="18">
        <v>230</v>
      </c>
      <c r="N22" s="69">
        <v>257</v>
      </c>
      <c r="O22" s="69">
        <v>76</v>
      </c>
      <c r="P22" s="69">
        <v>215</v>
      </c>
      <c r="Q22" s="17">
        <v>4</v>
      </c>
      <c r="R22" s="17">
        <v>8</v>
      </c>
      <c r="S22" s="17">
        <v>0</v>
      </c>
      <c r="T22" s="17">
        <v>2</v>
      </c>
      <c r="U22" s="17">
        <v>1</v>
      </c>
      <c r="V22" s="3">
        <v>8</v>
      </c>
      <c r="W22" s="20">
        <v>63</v>
      </c>
      <c r="X22" s="17">
        <v>8</v>
      </c>
      <c r="Y22" s="17">
        <v>4</v>
      </c>
      <c r="Z22" s="17">
        <v>6</v>
      </c>
      <c r="AA22" s="20">
        <v>120</v>
      </c>
      <c r="AB22" s="17">
        <v>6</v>
      </c>
      <c r="AC22" s="17">
        <v>0</v>
      </c>
      <c r="AD22" s="20">
        <v>840</v>
      </c>
      <c r="AE22" s="3"/>
      <c r="AF22" s="3"/>
      <c r="AG22" s="20"/>
      <c r="AH22" s="107"/>
      <c r="AI22" s="107"/>
      <c r="AJ22" s="107"/>
      <c r="AK22" s="107"/>
      <c r="AL22" s="108"/>
      <c r="AN22" s="67">
        <f t="shared" si="2"/>
        <v>-1.843354265314133</v>
      </c>
      <c r="AO22" s="67">
        <f t="shared" si="2"/>
        <v>-0.11005351057882251</v>
      </c>
      <c r="AP22" s="67">
        <f t="shared" si="2"/>
        <v>-1.5972152604305165</v>
      </c>
      <c r="AY22" s="67">
        <f t="shared" si="0"/>
        <v>258.84335426531413</v>
      </c>
      <c r="AZ22" s="67">
        <f t="shared" si="1"/>
        <v>76.110053510578823</v>
      </c>
      <c r="BA22" s="67">
        <f t="shared" si="3"/>
        <v>216.59721526043052</v>
      </c>
      <c r="BC22">
        <f t="shared" si="4"/>
        <v>34.009088461531107</v>
      </c>
      <c r="BD22">
        <v>1013.2</v>
      </c>
      <c r="BE22">
        <f t="shared" si="5"/>
        <v>28.080813610211415</v>
      </c>
    </row>
    <row r="23" spans="1:57" x14ac:dyDescent="0.2">
      <c r="A23" s="13">
        <v>14</v>
      </c>
      <c r="B23" s="3">
        <v>4</v>
      </c>
      <c r="C23" s="17">
        <v>4</v>
      </c>
      <c r="D23" s="3">
        <v>4</v>
      </c>
      <c r="E23" s="18">
        <v>0</v>
      </c>
      <c r="F23" s="18">
        <v>0</v>
      </c>
      <c r="G23" s="18">
        <v>75</v>
      </c>
      <c r="H23" s="19">
        <v>1</v>
      </c>
      <c r="I23" s="18">
        <v>3</v>
      </c>
      <c r="J23" s="18">
        <v>80</v>
      </c>
      <c r="K23" s="20">
        <v>122</v>
      </c>
      <c r="L23" s="18">
        <v>256</v>
      </c>
      <c r="M23" s="18">
        <v>235</v>
      </c>
      <c r="N23" s="18">
        <v>276</v>
      </c>
      <c r="O23" s="18">
        <v>83</v>
      </c>
      <c r="P23" s="18">
        <v>225</v>
      </c>
      <c r="Q23" s="17">
        <v>3</v>
      </c>
      <c r="R23" s="17">
        <v>2</v>
      </c>
      <c r="S23" s="17">
        <v>0</v>
      </c>
      <c r="T23" s="17">
        <v>1</v>
      </c>
      <c r="U23" s="17">
        <v>3</v>
      </c>
      <c r="V23" s="3">
        <v>8</v>
      </c>
      <c r="W23" s="20">
        <v>60</v>
      </c>
      <c r="X23" s="17">
        <v>8</v>
      </c>
      <c r="Y23" s="3"/>
      <c r="Z23" s="3"/>
      <c r="AA23" s="20"/>
      <c r="AB23" s="3"/>
      <c r="AC23" s="3"/>
      <c r="AD23" s="20"/>
      <c r="AE23" s="3"/>
      <c r="AF23" s="3"/>
      <c r="AG23" s="20"/>
      <c r="AH23" s="107" t="s">
        <v>94</v>
      </c>
      <c r="AI23" s="107"/>
      <c r="AJ23" s="107"/>
      <c r="AK23" s="107"/>
      <c r="AL23" s="108"/>
      <c r="AN23" s="67">
        <f t="shared" si="2"/>
        <v>0.99560595814989483</v>
      </c>
      <c r="AO23" s="67">
        <f t="shared" si="2"/>
        <v>-0.7898065906638152</v>
      </c>
      <c r="AP23" s="67">
        <f t="shared" si="2"/>
        <v>-1.5310786080211756</v>
      </c>
      <c r="AY23" s="67">
        <f t="shared" si="0"/>
        <v>275.00439404185011</v>
      </c>
      <c r="AZ23" s="67">
        <f t="shared" si="1"/>
        <v>83.789806590663815</v>
      </c>
      <c r="BA23" s="67">
        <f t="shared" si="3"/>
        <v>226.53107860802118</v>
      </c>
      <c r="BC23">
        <f t="shared" si="4"/>
        <v>32.820745772253893</v>
      </c>
      <c r="BD23">
        <v>1013.2</v>
      </c>
      <c r="BE23">
        <f t="shared" si="5"/>
        <v>28.94268568196501</v>
      </c>
    </row>
    <row r="24" spans="1:57" x14ac:dyDescent="0.2">
      <c r="A24" s="13">
        <v>15</v>
      </c>
      <c r="B24" s="3">
        <v>4</v>
      </c>
      <c r="C24" s="17">
        <v>3</v>
      </c>
      <c r="D24" s="3">
        <v>4</v>
      </c>
      <c r="E24" s="18">
        <v>5</v>
      </c>
      <c r="F24" s="18">
        <v>3</v>
      </c>
      <c r="G24" s="18">
        <v>78</v>
      </c>
      <c r="H24" s="19">
        <v>2</v>
      </c>
      <c r="I24" s="18"/>
      <c r="J24" s="18"/>
      <c r="K24" s="20">
        <v>112</v>
      </c>
      <c r="L24" s="18">
        <v>256</v>
      </c>
      <c r="M24" s="18">
        <v>235</v>
      </c>
      <c r="N24" s="18">
        <v>273</v>
      </c>
      <c r="O24" s="18">
        <v>83</v>
      </c>
      <c r="P24" s="18">
        <v>225</v>
      </c>
      <c r="Q24" s="17">
        <v>1</v>
      </c>
      <c r="R24" s="17">
        <v>2</v>
      </c>
      <c r="S24" s="17">
        <v>0</v>
      </c>
      <c r="T24" s="17">
        <v>1</v>
      </c>
      <c r="U24" s="17">
        <v>1</v>
      </c>
      <c r="V24" s="3">
        <v>8</v>
      </c>
      <c r="W24" s="20">
        <v>60</v>
      </c>
      <c r="X24" s="17">
        <v>8</v>
      </c>
      <c r="Y24" s="3"/>
      <c r="Z24" s="3"/>
      <c r="AA24" s="20"/>
      <c r="AB24" s="3"/>
      <c r="AC24" s="3"/>
      <c r="AD24" s="20"/>
      <c r="AE24" s="3"/>
      <c r="AF24" s="3"/>
      <c r="AG24" s="20"/>
      <c r="AH24" s="107"/>
      <c r="AI24" s="107"/>
      <c r="AJ24" s="107"/>
      <c r="AK24" s="107"/>
      <c r="AL24" s="108"/>
      <c r="AN24" s="67">
        <f t="shared" si="2"/>
        <v>-2.0043940418501052</v>
      </c>
      <c r="AO24" s="67">
        <f t="shared" si="2"/>
        <v>-0.7898065906638152</v>
      </c>
      <c r="AP24" s="67">
        <f t="shared" si="2"/>
        <v>-1.5310786080211756</v>
      </c>
      <c r="AY24" s="67">
        <f t="shared" si="0"/>
        <v>275.00439404185011</v>
      </c>
      <c r="AZ24" s="67">
        <f t="shared" si="1"/>
        <v>83.789806590663815</v>
      </c>
      <c r="BA24" s="67">
        <f t="shared" si="3"/>
        <v>226.53107860802118</v>
      </c>
      <c r="BC24">
        <f t="shared" si="4"/>
        <v>32.820745772253893</v>
      </c>
      <c r="BD24">
        <v>1013.2</v>
      </c>
      <c r="BE24">
        <f t="shared" si="5"/>
        <v>28.94268568196501</v>
      </c>
    </row>
    <row r="25" spans="1:57" x14ac:dyDescent="0.2">
      <c r="A25" s="13">
        <v>16</v>
      </c>
      <c r="B25" s="3">
        <v>4</v>
      </c>
      <c r="C25" s="17">
        <v>3</v>
      </c>
      <c r="D25" s="3">
        <v>4</v>
      </c>
      <c r="E25" s="18">
        <v>0</v>
      </c>
      <c r="F25" s="18">
        <v>0</v>
      </c>
      <c r="G25" s="18">
        <v>72</v>
      </c>
      <c r="H25" s="19">
        <v>1</v>
      </c>
      <c r="I25" s="18">
        <v>6</v>
      </c>
      <c r="J25" s="18">
        <v>0</v>
      </c>
      <c r="K25" s="20">
        <v>114</v>
      </c>
      <c r="L25" s="18">
        <v>250</v>
      </c>
      <c r="M25" s="18">
        <v>235</v>
      </c>
      <c r="N25" s="18">
        <v>278</v>
      </c>
      <c r="O25" s="18">
        <v>88</v>
      </c>
      <c r="P25" s="18">
        <v>228</v>
      </c>
      <c r="Q25" s="17">
        <v>1</v>
      </c>
      <c r="R25" s="17">
        <v>2</v>
      </c>
      <c r="S25" s="17">
        <v>0</v>
      </c>
      <c r="T25" s="17">
        <v>1</v>
      </c>
      <c r="U25" s="17">
        <v>1</v>
      </c>
      <c r="V25" s="3">
        <v>8</v>
      </c>
      <c r="W25" s="20">
        <v>60</v>
      </c>
      <c r="X25" s="17">
        <v>8</v>
      </c>
      <c r="Y25" s="17">
        <v>3</v>
      </c>
      <c r="Z25" s="17">
        <v>0</v>
      </c>
      <c r="AA25" s="20">
        <v>840</v>
      </c>
      <c r="AB25" s="3"/>
      <c r="AC25" s="3"/>
      <c r="AD25" s="20"/>
      <c r="AE25" s="3"/>
      <c r="AF25" s="3"/>
      <c r="AG25" s="20"/>
      <c r="AH25" s="107" t="s">
        <v>85</v>
      </c>
      <c r="AI25" s="107"/>
      <c r="AJ25" s="107"/>
      <c r="AK25" s="107"/>
      <c r="AL25" s="108"/>
      <c r="AN25" s="67">
        <f t="shared" si="2"/>
        <v>-1.1250976926501153</v>
      </c>
      <c r="AO25" s="67">
        <f t="shared" si="2"/>
        <v>-0.13857495659749475</v>
      </c>
      <c r="AP25" s="67">
        <f t="shared" si="2"/>
        <v>-0.9819776844491912</v>
      </c>
      <c r="AY25" s="67">
        <f t="shared" si="0"/>
        <v>279.12509769265012</v>
      </c>
      <c r="AZ25" s="67">
        <f t="shared" si="1"/>
        <v>88.138574956597495</v>
      </c>
      <c r="BA25" s="67">
        <f t="shared" si="3"/>
        <v>228.98197768444919</v>
      </c>
      <c r="BC25">
        <f t="shared" si="4"/>
        <v>31.668891609615997</v>
      </c>
      <c r="BD25">
        <v>1013.2</v>
      </c>
      <c r="BE25">
        <f t="shared" si="5"/>
        <v>28.94268568196501</v>
      </c>
    </row>
    <row r="26" spans="1:57" x14ac:dyDescent="0.2">
      <c r="A26" s="13">
        <v>17</v>
      </c>
      <c r="B26" s="3">
        <v>4</v>
      </c>
      <c r="C26" s="17">
        <v>7</v>
      </c>
      <c r="D26" s="3">
        <v>4</v>
      </c>
      <c r="E26" s="18">
        <v>8</v>
      </c>
      <c r="F26" s="18">
        <v>11</v>
      </c>
      <c r="G26" s="18">
        <v>75</v>
      </c>
      <c r="H26" s="19">
        <v>2</v>
      </c>
      <c r="I26" s="18"/>
      <c r="J26" s="18"/>
      <c r="K26" s="20">
        <v>131</v>
      </c>
      <c r="L26" s="18">
        <v>253</v>
      </c>
      <c r="M26" s="18">
        <v>232</v>
      </c>
      <c r="N26" s="18">
        <v>268</v>
      </c>
      <c r="O26" s="18">
        <v>83</v>
      </c>
      <c r="P26" s="18">
        <v>222</v>
      </c>
      <c r="Q26" s="17">
        <v>5</v>
      </c>
      <c r="R26" s="17">
        <v>8</v>
      </c>
      <c r="S26" s="17">
        <v>0</v>
      </c>
      <c r="T26" s="17">
        <v>2</v>
      </c>
      <c r="U26" s="17">
        <v>2</v>
      </c>
      <c r="V26" s="3">
        <v>8</v>
      </c>
      <c r="W26" s="20">
        <v>54</v>
      </c>
      <c r="X26" s="17">
        <v>8</v>
      </c>
      <c r="Y26" s="17">
        <v>5</v>
      </c>
      <c r="Z26" s="17">
        <v>6</v>
      </c>
      <c r="AA26" s="20">
        <v>120</v>
      </c>
      <c r="AB26" s="17">
        <v>6</v>
      </c>
      <c r="AC26" s="17">
        <v>0</v>
      </c>
      <c r="AD26" s="20">
        <v>840</v>
      </c>
      <c r="AE26" s="3"/>
      <c r="AF26" s="3"/>
      <c r="AG26" s="20"/>
      <c r="AH26" s="107"/>
      <c r="AI26" s="107"/>
      <c r="AJ26" s="107"/>
      <c r="AK26" s="107"/>
      <c r="AL26" s="108"/>
      <c r="AN26" s="67">
        <f t="shared" si="2"/>
        <v>-1.8106383508840622</v>
      </c>
      <c r="AO26" s="67">
        <f t="shared" si="2"/>
        <v>-0.68733861117804906</v>
      </c>
      <c r="AP26" s="67">
        <f t="shared" si="2"/>
        <v>-1.3956909942953644</v>
      </c>
      <c r="AY26" s="67">
        <f t="shared" si="0"/>
        <v>269.81063835088406</v>
      </c>
      <c r="AZ26" s="67">
        <f t="shared" si="1"/>
        <v>83.687338611178049</v>
      </c>
      <c r="BA26" s="67">
        <f t="shared" si="3"/>
        <v>223.39569099429536</v>
      </c>
      <c r="BC26">
        <f t="shared" si="4"/>
        <v>32.24031769064355</v>
      </c>
      <c r="BD26">
        <v>1013.2</v>
      </c>
      <c r="BE26">
        <f t="shared" si="5"/>
        <v>28.422825631024409</v>
      </c>
    </row>
    <row r="27" spans="1:57" x14ac:dyDescent="0.2">
      <c r="A27" s="13">
        <v>18</v>
      </c>
      <c r="B27" s="3">
        <v>4</v>
      </c>
      <c r="C27" s="17">
        <v>5</v>
      </c>
      <c r="D27" s="3">
        <v>4</v>
      </c>
      <c r="E27" s="18">
        <v>6</v>
      </c>
      <c r="F27" s="18">
        <v>7</v>
      </c>
      <c r="G27" s="18">
        <v>70</v>
      </c>
      <c r="H27" s="19">
        <v>1</v>
      </c>
      <c r="I27" s="18">
        <v>5</v>
      </c>
      <c r="J27" s="18">
        <v>22</v>
      </c>
      <c r="K27" s="20">
        <v>135</v>
      </c>
      <c r="L27" s="18">
        <v>262</v>
      </c>
      <c r="M27" s="18">
        <v>248</v>
      </c>
      <c r="N27" s="18">
        <v>302</v>
      </c>
      <c r="O27" s="18">
        <v>88</v>
      </c>
      <c r="P27" s="18">
        <v>242</v>
      </c>
      <c r="Q27" s="17">
        <v>5</v>
      </c>
      <c r="R27" s="17">
        <v>8</v>
      </c>
      <c r="S27" s="17">
        <v>0</v>
      </c>
      <c r="T27" s="17">
        <v>2</v>
      </c>
      <c r="U27" s="17">
        <v>3</v>
      </c>
      <c r="V27" s="3">
        <v>8</v>
      </c>
      <c r="W27" s="20">
        <v>54</v>
      </c>
      <c r="X27" s="17">
        <v>8</v>
      </c>
      <c r="Y27" s="17">
        <v>5</v>
      </c>
      <c r="Z27" s="17">
        <v>6</v>
      </c>
      <c r="AA27" s="20">
        <v>120</v>
      </c>
      <c r="AB27" s="3"/>
      <c r="AC27" s="3"/>
      <c r="AD27" s="20"/>
      <c r="AE27" s="3"/>
      <c r="AF27" s="3"/>
      <c r="AG27" s="20"/>
      <c r="AH27" s="107" t="s">
        <v>85</v>
      </c>
      <c r="AI27" s="107"/>
      <c r="AJ27" s="107"/>
      <c r="AK27" s="107"/>
      <c r="AL27" s="108"/>
      <c r="AN27" s="67">
        <f t="shared" si="2"/>
        <v>-1.2998627306851063</v>
      </c>
      <c r="AO27" s="67">
        <f t="shared" si="2"/>
        <v>-1.1820029442301632</v>
      </c>
      <c r="AP27" s="67">
        <f t="shared" si="2"/>
        <v>-0.75306282878349862</v>
      </c>
      <c r="AY27" s="67">
        <f t="shared" si="0"/>
        <v>303.29986273068511</v>
      </c>
      <c r="AZ27" s="67">
        <f t="shared" si="1"/>
        <v>89.182002944230163</v>
      </c>
      <c r="BA27" s="67">
        <f t="shared" si="3"/>
        <v>242.7530628287835</v>
      </c>
      <c r="BC27">
        <f t="shared" si="4"/>
        <v>34.009088461531107</v>
      </c>
      <c r="BD27">
        <v>1013.2</v>
      </c>
      <c r="BE27">
        <f t="shared" si="5"/>
        <v>31.29288340580451</v>
      </c>
    </row>
    <row r="28" spans="1:57" x14ac:dyDescent="0.2">
      <c r="A28" s="13">
        <v>19</v>
      </c>
      <c r="B28" s="3">
        <v>4</v>
      </c>
      <c r="C28" s="17">
        <v>5</v>
      </c>
      <c r="D28" s="3">
        <v>4</v>
      </c>
      <c r="E28" s="18">
        <v>0</v>
      </c>
      <c r="F28" s="18">
        <v>0</v>
      </c>
      <c r="G28" s="18">
        <v>70</v>
      </c>
      <c r="H28" s="19">
        <v>1</v>
      </c>
      <c r="I28" s="18">
        <v>5</v>
      </c>
      <c r="J28" s="18">
        <v>11</v>
      </c>
      <c r="K28" s="20">
        <v>124</v>
      </c>
      <c r="L28" s="18">
        <v>259</v>
      </c>
      <c r="M28" s="18">
        <v>247</v>
      </c>
      <c r="N28" s="18">
        <v>301</v>
      </c>
      <c r="O28" s="18">
        <v>90</v>
      </c>
      <c r="P28" s="18">
        <v>242</v>
      </c>
      <c r="Q28" s="17">
        <v>3</v>
      </c>
      <c r="R28" s="17">
        <v>8</v>
      </c>
      <c r="S28" s="17">
        <v>0</v>
      </c>
      <c r="T28" s="17">
        <v>2</v>
      </c>
      <c r="U28" s="17">
        <v>2</v>
      </c>
      <c r="V28" s="3">
        <v>8</v>
      </c>
      <c r="W28" s="20">
        <v>54</v>
      </c>
      <c r="X28" s="17">
        <v>8</v>
      </c>
      <c r="Y28" s="3"/>
      <c r="Z28" s="3"/>
      <c r="AA28" s="20"/>
      <c r="AB28" s="3"/>
      <c r="AC28" s="3"/>
      <c r="AD28" s="20"/>
      <c r="AE28" s="3"/>
      <c r="AF28" s="3"/>
      <c r="AG28" s="20"/>
      <c r="AH28" s="107" t="s">
        <v>85</v>
      </c>
      <c r="AI28" s="107"/>
      <c r="AJ28" s="107"/>
      <c r="AK28" s="107"/>
      <c r="AL28" s="108"/>
      <c r="AN28" s="67">
        <f t="shared" si="2"/>
        <v>-1.8110086266702297</v>
      </c>
      <c r="AO28" s="67">
        <f t="shared" si="2"/>
        <v>-0.63404036960406529</v>
      </c>
      <c r="AP28" s="67">
        <f t="shared" si="2"/>
        <v>-0.48426904600034959</v>
      </c>
      <c r="AY28" s="67">
        <f t="shared" si="0"/>
        <v>302.81100862667023</v>
      </c>
      <c r="AZ28" s="67">
        <f t="shared" si="1"/>
        <v>90.634040369604065</v>
      </c>
      <c r="BA28" s="67">
        <f t="shared" si="3"/>
        <v>242.48426904600035</v>
      </c>
      <c r="BC28">
        <f t="shared" si="4"/>
        <v>33.410295667258367</v>
      </c>
      <c r="BD28">
        <v>1013.2</v>
      </c>
      <c r="BE28">
        <f t="shared" si="5"/>
        <v>31.106348979899021</v>
      </c>
    </row>
    <row r="29" spans="1:57" x14ac:dyDescent="0.2">
      <c r="A29" s="13">
        <v>20</v>
      </c>
      <c r="B29" s="3">
        <v>4</v>
      </c>
      <c r="C29" s="17">
        <v>7</v>
      </c>
      <c r="D29" s="3">
        <v>4</v>
      </c>
      <c r="E29" s="18">
        <v>14</v>
      </c>
      <c r="F29" s="18">
        <v>12</v>
      </c>
      <c r="G29" s="18">
        <v>65</v>
      </c>
      <c r="H29" s="19">
        <v>1</v>
      </c>
      <c r="I29" s="18">
        <v>80</v>
      </c>
      <c r="J29" s="18">
        <v>82</v>
      </c>
      <c r="K29" s="20">
        <v>112</v>
      </c>
      <c r="L29" s="18">
        <v>250</v>
      </c>
      <c r="M29" s="18">
        <v>245</v>
      </c>
      <c r="N29" s="18">
        <v>304</v>
      </c>
      <c r="O29" s="18">
        <v>95</v>
      </c>
      <c r="P29" s="18">
        <v>243</v>
      </c>
      <c r="Q29" s="17">
        <v>7</v>
      </c>
      <c r="R29" s="17">
        <v>8</v>
      </c>
      <c r="S29" s="17" t="s">
        <v>89</v>
      </c>
      <c r="T29" s="17" t="s">
        <v>89</v>
      </c>
      <c r="U29" s="17">
        <v>5</v>
      </c>
      <c r="V29" s="3">
        <v>8</v>
      </c>
      <c r="W29" s="20">
        <v>54</v>
      </c>
      <c r="X29" s="17">
        <v>8</v>
      </c>
      <c r="Y29" s="17">
        <v>4</v>
      </c>
      <c r="Z29" s="17">
        <v>6</v>
      </c>
      <c r="AA29" s="20">
        <f>35*3</f>
        <v>105</v>
      </c>
      <c r="AB29" s="3"/>
      <c r="AC29" s="3"/>
      <c r="AD29" s="20"/>
      <c r="AE29" s="3"/>
      <c r="AF29" s="3"/>
      <c r="AG29" s="20"/>
      <c r="AH29" s="107" t="s">
        <v>126</v>
      </c>
      <c r="AI29" s="107"/>
      <c r="AJ29" s="107"/>
      <c r="AK29" s="107"/>
      <c r="AL29" s="108"/>
      <c r="AN29" s="67">
        <f t="shared" si="2"/>
        <v>7.5786443729327857E-2</v>
      </c>
      <c r="AO29" s="67">
        <f t="shared" si="2"/>
        <v>-0.96932450391999225</v>
      </c>
      <c r="AP29" s="67">
        <f t="shared" si="2"/>
        <v>-9.5807708419386017E-2</v>
      </c>
      <c r="AY29" s="67">
        <f t="shared" si="0"/>
        <v>303.92421355627067</v>
      </c>
      <c r="AZ29" s="67">
        <f t="shared" si="1"/>
        <v>95.969324503919992</v>
      </c>
      <c r="BA29" s="67">
        <f t="shared" si="3"/>
        <v>243.09580770841939</v>
      </c>
      <c r="BC29">
        <f t="shared" si="4"/>
        <v>31.668891609615997</v>
      </c>
      <c r="BD29">
        <v>1013.2</v>
      </c>
      <c r="BE29">
        <f t="shared" si="5"/>
        <v>30.736197835927069</v>
      </c>
    </row>
    <row r="30" spans="1:57" x14ac:dyDescent="0.2">
      <c r="A30" s="13">
        <v>21</v>
      </c>
      <c r="B30" s="3">
        <v>4</v>
      </c>
      <c r="C30" s="17">
        <v>3</v>
      </c>
      <c r="D30" s="3">
        <v>4</v>
      </c>
      <c r="E30" s="18">
        <v>9</v>
      </c>
      <c r="F30" s="18">
        <v>10</v>
      </c>
      <c r="G30" s="18">
        <v>68</v>
      </c>
      <c r="H30" s="19">
        <v>1</v>
      </c>
      <c r="I30" s="18">
        <v>5</v>
      </c>
      <c r="J30" s="18">
        <v>0</v>
      </c>
      <c r="K30" s="20">
        <v>109</v>
      </c>
      <c r="L30" s="18">
        <v>271</v>
      </c>
      <c r="M30" s="18">
        <v>249</v>
      </c>
      <c r="N30" s="18">
        <v>299</v>
      </c>
      <c r="O30" s="18">
        <v>83</v>
      </c>
      <c r="P30" s="18">
        <v>240</v>
      </c>
      <c r="Q30" s="17">
        <v>1</v>
      </c>
      <c r="R30" s="17">
        <v>1</v>
      </c>
      <c r="S30" s="17">
        <v>0</v>
      </c>
      <c r="T30" s="17">
        <v>1</v>
      </c>
      <c r="U30" s="17">
        <v>1</v>
      </c>
      <c r="V30" s="3">
        <v>8</v>
      </c>
      <c r="W30" s="20">
        <v>5</v>
      </c>
      <c r="X30" s="17">
        <v>8</v>
      </c>
      <c r="Y30" s="17">
        <v>3</v>
      </c>
      <c r="Z30" s="17">
        <v>0</v>
      </c>
      <c r="AA30" s="20">
        <v>900</v>
      </c>
      <c r="AB30" s="3"/>
      <c r="AC30" s="3"/>
      <c r="AD30" s="20"/>
      <c r="AE30" s="3"/>
      <c r="AF30" s="3"/>
      <c r="AG30" s="20"/>
      <c r="AH30" s="107" t="s">
        <v>85</v>
      </c>
      <c r="AI30" s="107"/>
      <c r="AJ30" s="107"/>
      <c r="AK30" s="107"/>
      <c r="AL30" s="108"/>
      <c r="AN30" s="67">
        <f t="shared" si="2"/>
        <v>-0.67102917769955184</v>
      </c>
      <c r="AO30" s="67">
        <f t="shared" si="2"/>
        <v>-0.56191484554082649</v>
      </c>
      <c r="AP30" s="67">
        <f t="shared" si="2"/>
        <v>-0.74865419136290257</v>
      </c>
      <c r="AY30" s="67">
        <f t="shared" si="0"/>
        <v>299.67102917769955</v>
      </c>
      <c r="AZ30" s="67">
        <f t="shared" si="1"/>
        <v>83.561914845540826</v>
      </c>
      <c r="BA30" s="67">
        <f t="shared" si="3"/>
        <v>240.7486541913629</v>
      </c>
      <c r="BC30">
        <f t="shared" si="4"/>
        <v>35.862154395530958</v>
      </c>
      <c r="BD30">
        <v>1013.2</v>
      </c>
      <c r="BE30">
        <f t="shared" si="5"/>
        <v>31.480396167633955</v>
      </c>
    </row>
    <row r="31" spans="1:57" x14ac:dyDescent="0.2">
      <c r="A31" s="13">
        <v>22</v>
      </c>
      <c r="B31" s="3">
        <v>4</v>
      </c>
      <c r="C31" s="17">
        <v>7</v>
      </c>
      <c r="D31" s="3">
        <v>4</v>
      </c>
      <c r="E31" s="18">
        <v>6</v>
      </c>
      <c r="F31" s="18">
        <v>7</v>
      </c>
      <c r="G31" s="18">
        <v>60</v>
      </c>
      <c r="H31" s="19">
        <v>1</v>
      </c>
      <c r="I31" s="18">
        <v>60</v>
      </c>
      <c r="J31" s="18">
        <v>82</v>
      </c>
      <c r="K31" s="20">
        <v>125</v>
      </c>
      <c r="L31" s="18">
        <v>243</v>
      </c>
      <c r="M31" s="18">
        <v>234</v>
      </c>
      <c r="N31" s="18">
        <v>281</v>
      </c>
      <c r="O31" s="18">
        <v>93</v>
      </c>
      <c r="P31" s="18">
        <v>230</v>
      </c>
      <c r="Q31" s="17">
        <v>7</v>
      </c>
      <c r="R31" s="17">
        <v>8</v>
      </c>
      <c r="S31" s="17" t="s">
        <v>89</v>
      </c>
      <c r="T31" s="17" t="s">
        <v>89</v>
      </c>
      <c r="U31" s="17">
        <v>5</v>
      </c>
      <c r="V31" s="3">
        <v>8</v>
      </c>
      <c r="W31" s="20">
        <v>42</v>
      </c>
      <c r="X31" s="17">
        <v>8</v>
      </c>
      <c r="Y31" s="17">
        <v>6</v>
      </c>
      <c r="Z31" s="17">
        <v>6</v>
      </c>
      <c r="AA31" s="20">
        <v>90</v>
      </c>
      <c r="AB31" s="3"/>
      <c r="AC31" s="3"/>
      <c r="AD31" s="20"/>
      <c r="AE31" s="3"/>
      <c r="AF31" s="3"/>
      <c r="AG31" s="20"/>
      <c r="AH31" s="107" t="s">
        <v>135</v>
      </c>
      <c r="AI31" s="107"/>
      <c r="AJ31" s="107"/>
      <c r="AK31" s="107"/>
      <c r="AL31" s="108"/>
      <c r="AN31" s="67">
        <f t="shared" si="2"/>
        <v>-0.50444918273569783</v>
      </c>
      <c r="AO31" s="67">
        <f t="shared" si="2"/>
        <v>0.30810034017216026</v>
      </c>
      <c r="AP31" s="67">
        <f t="shared" si="2"/>
        <v>-0.38275975786402228</v>
      </c>
      <c r="AY31" s="67">
        <f t="shared" si="0"/>
        <v>281.5044491827357</v>
      </c>
      <c r="AZ31" s="67">
        <f t="shared" si="1"/>
        <v>92.69189965982784</v>
      </c>
      <c r="BA31" s="67">
        <f t="shared" si="3"/>
        <v>230.38275975786402</v>
      </c>
      <c r="BC31">
        <f t="shared" si="4"/>
        <v>30.369908289271816</v>
      </c>
      <c r="BD31">
        <v>1013.2</v>
      </c>
      <c r="BE31">
        <f t="shared" si="5"/>
        <v>28.768481254201571</v>
      </c>
    </row>
    <row r="32" spans="1:57" x14ac:dyDescent="0.2">
      <c r="A32" s="13">
        <v>23</v>
      </c>
      <c r="B32" s="3">
        <v>4</v>
      </c>
      <c r="C32" s="17">
        <v>4</v>
      </c>
      <c r="D32" s="3">
        <v>4</v>
      </c>
      <c r="E32" s="18">
        <v>6</v>
      </c>
      <c r="F32" s="18">
        <v>6</v>
      </c>
      <c r="G32" s="18">
        <v>65</v>
      </c>
      <c r="H32" s="19">
        <v>1</v>
      </c>
      <c r="I32" s="18">
        <v>15</v>
      </c>
      <c r="J32" s="18">
        <v>0</v>
      </c>
      <c r="K32" s="20">
        <v>117</v>
      </c>
      <c r="L32" s="18">
        <v>262</v>
      </c>
      <c r="M32" s="18">
        <v>237</v>
      </c>
      <c r="N32" s="18">
        <v>273</v>
      </c>
      <c r="O32" s="18">
        <v>80</v>
      </c>
      <c r="P32" s="18">
        <v>225</v>
      </c>
      <c r="Q32" s="17">
        <v>4</v>
      </c>
      <c r="R32" s="17">
        <v>8</v>
      </c>
      <c r="S32" s="17">
        <v>6</v>
      </c>
      <c r="T32" s="17">
        <v>1</v>
      </c>
      <c r="U32" s="17">
        <v>3</v>
      </c>
      <c r="V32" s="3">
        <v>8</v>
      </c>
      <c r="W32" s="20">
        <v>54</v>
      </c>
      <c r="X32" s="17">
        <v>8</v>
      </c>
      <c r="Y32" s="3"/>
      <c r="Z32" s="3"/>
      <c r="AA32" s="20"/>
      <c r="AB32" s="3"/>
      <c r="AC32" s="3"/>
      <c r="AD32" s="20"/>
      <c r="AE32" s="3"/>
      <c r="AF32" s="3"/>
      <c r="AG32" s="20"/>
      <c r="AH32" s="107" t="s">
        <v>90</v>
      </c>
      <c r="AI32" s="107"/>
      <c r="AJ32" s="107"/>
      <c r="AK32" s="107"/>
      <c r="AL32" s="108"/>
      <c r="AN32" s="67">
        <f t="shared" si="2"/>
        <v>-2.7652406644346001</v>
      </c>
      <c r="AO32" s="67">
        <f t="shared" si="2"/>
        <v>-1.0857488804389845</v>
      </c>
      <c r="AP32" s="67">
        <f t="shared" si="2"/>
        <v>-1.9860239242657656</v>
      </c>
      <c r="AY32" s="67">
        <f t="shared" si="0"/>
        <v>275.7652406644346</v>
      </c>
      <c r="AZ32" s="67">
        <f t="shared" si="1"/>
        <v>81.085748880438985</v>
      </c>
      <c r="BA32" s="67">
        <f t="shared" si="3"/>
        <v>226.98602392426577</v>
      </c>
      <c r="BC32">
        <f t="shared" si="4"/>
        <v>34.009088461531107</v>
      </c>
      <c r="BD32">
        <v>1013.2</v>
      </c>
      <c r="BE32">
        <f t="shared" si="5"/>
        <v>29.293868430343458</v>
      </c>
    </row>
    <row r="33" spans="1:57" x14ac:dyDescent="0.2">
      <c r="A33" s="13">
        <v>24</v>
      </c>
      <c r="B33" s="3">
        <v>4</v>
      </c>
      <c r="C33" s="17">
        <v>7</v>
      </c>
      <c r="D33" s="3">
        <v>4</v>
      </c>
      <c r="E33" s="18">
        <v>1</v>
      </c>
      <c r="F33" s="18">
        <v>5</v>
      </c>
      <c r="G33" s="18">
        <v>68</v>
      </c>
      <c r="H33" s="19">
        <v>1</v>
      </c>
      <c r="I33" s="18">
        <v>80</v>
      </c>
      <c r="J33" s="18">
        <v>22</v>
      </c>
      <c r="K33" s="20">
        <v>108</v>
      </c>
      <c r="L33" s="18">
        <v>240</v>
      </c>
      <c r="M33" s="18">
        <v>235</v>
      </c>
      <c r="N33" s="18">
        <v>286</v>
      </c>
      <c r="O33" s="18">
        <v>96</v>
      </c>
      <c r="P33" s="18">
        <v>233</v>
      </c>
      <c r="Q33" s="17">
        <v>7</v>
      </c>
      <c r="R33" s="17">
        <v>8</v>
      </c>
      <c r="S33" s="17">
        <v>0</v>
      </c>
      <c r="T33" s="17">
        <v>2</v>
      </c>
      <c r="U33" s="17">
        <v>6</v>
      </c>
      <c r="V33" s="3">
        <v>8</v>
      </c>
      <c r="W33" s="20">
        <v>54</v>
      </c>
      <c r="X33" s="17">
        <v>8</v>
      </c>
      <c r="Y33" s="17">
        <v>4</v>
      </c>
      <c r="Z33" s="17">
        <v>0</v>
      </c>
      <c r="AA33" s="20">
        <v>840</v>
      </c>
      <c r="AB33" s="3"/>
      <c r="AC33" s="3"/>
      <c r="AD33" s="20"/>
      <c r="AE33" s="3"/>
      <c r="AF33" s="3"/>
      <c r="AG33" s="20"/>
      <c r="AH33" s="107" t="s">
        <v>143</v>
      </c>
      <c r="AI33" s="107"/>
      <c r="AJ33" s="107"/>
      <c r="AK33" s="107"/>
      <c r="AL33" s="108"/>
      <c r="AN33" s="67">
        <f t="shared" si="2"/>
        <v>7.062889349924717E-3</v>
      </c>
      <c r="AO33" s="67">
        <f t="shared" si="2"/>
        <v>0.11814684300372846</v>
      </c>
      <c r="AP33" s="67">
        <f t="shared" si="2"/>
        <v>2.7640450888384294E-3</v>
      </c>
      <c r="AY33" s="67">
        <f t="shared" si="0"/>
        <v>285.99293711065008</v>
      </c>
      <c r="AZ33" s="67">
        <f t="shared" si="1"/>
        <v>95.881853156996272</v>
      </c>
      <c r="BA33" s="67">
        <f t="shared" si="3"/>
        <v>232.99723595491116</v>
      </c>
      <c r="BC33">
        <f t="shared" si="4"/>
        <v>29.827639714302066</v>
      </c>
      <c r="BD33">
        <v>1013.2</v>
      </c>
      <c r="BE33">
        <f t="shared" si="5"/>
        <v>28.94268568196501</v>
      </c>
    </row>
    <row r="34" spans="1:57" x14ac:dyDescent="0.2">
      <c r="A34" s="13">
        <v>25</v>
      </c>
      <c r="B34" s="3">
        <v>4</v>
      </c>
      <c r="C34" s="17">
        <v>7</v>
      </c>
      <c r="D34" s="3">
        <v>4</v>
      </c>
      <c r="E34" s="18">
        <v>0</v>
      </c>
      <c r="F34" s="18">
        <v>0</v>
      </c>
      <c r="G34" s="18">
        <v>58</v>
      </c>
      <c r="H34" s="19">
        <v>1</v>
      </c>
      <c r="I34" s="18">
        <v>81</v>
      </c>
      <c r="J34" s="18">
        <v>22</v>
      </c>
      <c r="K34" s="20">
        <v>118</v>
      </c>
      <c r="L34" s="18">
        <v>240</v>
      </c>
      <c r="M34" s="18">
        <v>238</v>
      </c>
      <c r="N34" s="69">
        <v>293</v>
      </c>
      <c r="O34" s="69">
        <v>98</v>
      </c>
      <c r="P34" s="69">
        <v>237</v>
      </c>
      <c r="Q34" s="17">
        <v>6</v>
      </c>
      <c r="R34" s="17">
        <v>8</v>
      </c>
      <c r="S34" s="17">
        <v>0</v>
      </c>
      <c r="T34" s="17">
        <v>2</v>
      </c>
      <c r="U34" s="17">
        <v>3</v>
      </c>
      <c r="V34" s="3">
        <v>8</v>
      </c>
      <c r="W34" s="20">
        <v>54</v>
      </c>
      <c r="X34" s="17">
        <v>8</v>
      </c>
      <c r="Y34" s="17">
        <v>5</v>
      </c>
      <c r="Z34" s="17">
        <v>6</v>
      </c>
      <c r="AA34" s="20">
        <v>114</v>
      </c>
      <c r="AB34" s="3"/>
      <c r="AC34" s="3"/>
      <c r="AD34" s="20"/>
      <c r="AE34" s="3"/>
      <c r="AF34" s="3"/>
      <c r="AG34" s="20"/>
      <c r="AH34" s="107" t="s">
        <v>160</v>
      </c>
      <c r="AI34" s="107"/>
      <c r="AJ34" s="107"/>
      <c r="AK34" s="107"/>
      <c r="AL34" s="108"/>
      <c r="AN34" s="67">
        <f t="shared" si="2"/>
        <v>-0.33452130400831948</v>
      </c>
      <c r="AO34" s="67">
        <f t="shared" si="2"/>
        <v>-0.34318910703392191</v>
      </c>
      <c r="AP34" s="67">
        <f t="shared" si="2"/>
        <v>-0.19711968900378452</v>
      </c>
      <c r="AY34" s="67">
        <f t="shared" si="0"/>
        <v>293.33452130400832</v>
      </c>
      <c r="AZ34" s="67">
        <f t="shared" si="1"/>
        <v>98.343189107033922</v>
      </c>
      <c r="BA34" s="67">
        <f t="shared" si="3"/>
        <v>237.19711968900378</v>
      </c>
      <c r="BC34">
        <f t="shared" si="4"/>
        <v>29.827639714302066</v>
      </c>
      <c r="BD34">
        <v>1013.2</v>
      </c>
      <c r="BE34">
        <f t="shared" si="5"/>
        <v>29.470855059888834</v>
      </c>
    </row>
    <row r="35" spans="1:57" x14ac:dyDescent="0.2">
      <c r="A35" s="13">
        <v>26</v>
      </c>
      <c r="B35" s="3">
        <v>4</v>
      </c>
      <c r="C35" s="17">
        <v>4</v>
      </c>
      <c r="D35" s="3">
        <v>4</v>
      </c>
      <c r="E35" s="18">
        <v>6</v>
      </c>
      <c r="F35" s="18">
        <v>10</v>
      </c>
      <c r="G35" s="18">
        <v>75</v>
      </c>
      <c r="H35" s="19">
        <v>2</v>
      </c>
      <c r="I35" s="18"/>
      <c r="J35" s="18"/>
      <c r="K35" s="20">
        <v>122</v>
      </c>
      <c r="L35" s="18">
        <v>261</v>
      </c>
      <c r="M35" s="18">
        <v>245</v>
      </c>
      <c r="N35" s="18">
        <v>295</v>
      </c>
      <c r="O35" s="18">
        <v>87</v>
      </c>
      <c r="P35" s="18">
        <v>238</v>
      </c>
      <c r="Q35" s="17">
        <v>4</v>
      </c>
      <c r="R35" s="17">
        <v>8</v>
      </c>
      <c r="S35" s="17">
        <v>0</v>
      </c>
      <c r="T35" s="17">
        <v>1</v>
      </c>
      <c r="U35" s="17">
        <v>3</v>
      </c>
      <c r="V35" s="3">
        <v>8</v>
      </c>
      <c r="W35" s="20">
        <v>57</v>
      </c>
      <c r="X35" s="17">
        <v>8</v>
      </c>
      <c r="Y35" s="3"/>
      <c r="Z35" s="3"/>
      <c r="AA35" s="20"/>
      <c r="AB35" s="3"/>
      <c r="AC35" s="3"/>
      <c r="AD35" s="20"/>
      <c r="AE35" s="3"/>
      <c r="AF35" s="3"/>
      <c r="AG35" s="20"/>
      <c r="AH35" s="107"/>
      <c r="AI35" s="107"/>
      <c r="AJ35" s="107"/>
      <c r="AK35" s="107"/>
      <c r="AL35" s="108"/>
      <c r="AN35" s="67">
        <f t="shared" si="2"/>
        <v>-1.3611309896706985</v>
      </c>
      <c r="AO35" s="67">
        <f t="shared" si="2"/>
        <v>-0.6588768038871109</v>
      </c>
      <c r="AP35" s="67">
        <f t="shared" si="2"/>
        <v>-0.90179130373326188</v>
      </c>
      <c r="AY35" s="67">
        <f t="shared" si="0"/>
        <v>296.3611309896707</v>
      </c>
      <c r="AZ35" s="67">
        <f t="shared" si="1"/>
        <v>87.658876803887111</v>
      </c>
      <c r="BA35" s="67">
        <f t="shared" si="3"/>
        <v>238.90179130373326</v>
      </c>
      <c r="BC35">
        <f t="shared" si="4"/>
        <v>33.808456347518359</v>
      </c>
      <c r="BD35">
        <v>1013.2</v>
      </c>
      <c r="BE35">
        <f t="shared" si="5"/>
        <v>30.736197835927069</v>
      </c>
    </row>
    <row r="36" spans="1:57" x14ac:dyDescent="0.2">
      <c r="A36" s="13">
        <v>27</v>
      </c>
      <c r="B36" s="3">
        <v>4</v>
      </c>
      <c r="C36" s="17">
        <v>7</v>
      </c>
      <c r="D36" s="3">
        <v>4</v>
      </c>
      <c r="E36" s="18">
        <v>7</v>
      </c>
      <c r="F36" s="18">
        <v>12</v>
      </c>
      <c r="G36" s="18">
        <v>70</v>
      </c>
      <c r="H36" s="19">
        <v>1</v>
      </c>
      <c r="I36" s="18">
        <v>15</v>
      </c>
      <c r="J36" s="18">
        <v>82</v>
      </c>
      <c r="K36" s="20">
        <v>127</v>
      </c>
      <c r="L36" s="18">
        <v>246</v>
      </c>
      <c r="M36" s="18">
        <v>238</v>
      </c>
      <c r="N36" s="18">
        <v>290</v>
      </c>
      <c r="O36" s="18">
        <v>93</v>
      </c>
      <c r="P36" s="18">
        <v>235</v>
      </c>
      <c r="Q36" s="17">
        <v>7</v>
      </c>
      <c r="R36" s="17">
        <v>8</v>
      </c>
      <c r="S36" s="17" t="s">
        <v>89</v>
      </c>
      <c r="T36" s="17" t="s">
        <v>89</v>
      </c>
      <c r="U36" s="17">
        <v>5</v>
      </c>
      <c r="V36" s="3">
        <v>8</v>
      </c>
      <c r="W36" s="20">
        <v>42</v>
      </c>
      <c r="X36" s="17">
        <v>8</v>
      </c>
      <c r="Y36" s="17">
        <v>5</v>
      </c>
      <c r="Z36" s="17">
        <v>6</v>
      </c>
      <c r="AA36" s="20">
        <v>105</v>
      </c>
      <c r="AB36" s="3"/>
      <c r="AC36" s="3"/>
      <c r="AD36" s="20"/>
      <c r="AE36" s="3"/>
      <c r="AF36" s="3"/>
      <c r="AG36" s="20"/>
      <c r="AH36" s="107" t="s">
        <v>180</v>
      </c>
      <c r="AI36" s="107"/>
      <c r="AJ36" s="107"/>
      <c r="AK36" s="107"/>
      <c r="AL36" s="108"/>
      <c r="AN36" s="67">
        <f t="shared" si="2"/>
        <v>0.78756658063167606</v>
      </c>
      <c r="AO36" s="67">
        <f t="shared" si="2"/>
        <v>-0.53333044787827077</v>
      </c>
      <c r="AP36" s="67">
        <f t="shared" si="2"/>
        <v>0.14950412647263533</v>
      </c>
      <c r="AY36" s="67">
        <f t="shared" si="0"/>
        <v>289.21243341936832</v>
      </c>
      <c r="AZ36" s="67">
        <f t="shared" si="1"/>
        <v>93.533330447878271</v>
      </c>
      <c r="BA36" s="67">
        <f t="shared" si="3"/>
        <v>234.85049587352736</v>
      </c>
      <c r="BC36">
        <f t="shared" si="4"/>
        <v>30.920788561092973</v>
      </c>
      <c r="BD36">
        <v>1013.2</v>
      </c>
      <c r="BE36">
        <f t="shared" si="5"/>
        <v>29.470855059888834</v>
      </c>
    </row>
    <row r="37" spans="1:57" x14ac:dyDescent="0.2">
      <c r="A37" s="13">
        <v>28</v>
      </c>
      <c r="B37" s="3">
        <v>4</v>
      </c>
      <c r="C37" s="17">
        <v>7</v>
      </c>
      <c r="D37" s="3">
        <v>4</v>
      </c>
      <c r="E37" s="18">
        <v>9</v>
      </c>
      <c r="F37" s="18">
        <v>12</v>
      </c>
      <c r="G37" s="18">
        <v>64</v>
      </c>
      <c r="H37" s="19">
        <v>1</v>
      </c>
      <c r="I37" s="18">
        <v>6</v>
      </c>
      <c r="J37" s="18">
        <v>22</v>
      </c>
      <c r="K37" s="20">
        <v>137</v>
      </c>
      <c r="L37" s="18">
        <v>260</v>
      </c>
      <c r="M37" s="18">
        <v>244</v>
      </c>
      <c r="N37" s="18">
        <v>294</v>
      </c>
      <c r="O37" s="18">
        <v>87</v>
      </c>
      <c r="P37" s="18">
        <v>237</v>
      </c>
      <c r="Q37" s="17">
        <v>6</v>
      </c>
      <c r="R37" s="17">
        <v>8</v>
      </c>
      <c r="S37" s="17">
        <v>0</v>
      </c>
      <c r="T37" s="17">
        <v>2</v>
      </c>
      <c r="U37" s="17">
        <v>4</v>
      </c>
      <c r="V37" s="3">
        <v>8</v>
      </c>
      <c r="W37" s="20">
        <v>54</v>
      </c>
      <c r="X37" s="17">
        <v>8</v>
      </c>
      <c r="Y37" s="17">
        <v>5</v>
      </c>
      <c r="Z37" s="17">
        <v>6</v>
      </c>
      <c r="AA37" s="20">
        <v>114</v>
      </c>
      <c r="AB37" s="3"/>
      <c r="AC37" s="3"/>
      <c r="AD37" s="20"/>
      <c r="AE37" s="3"/>
      <c r="AF37" s="3"/>
      <c r="AG37" s="20"/>
      <c r="AH37" s="107" t="s">
        <v>85</v>
      </c>
      <c r="AI37" s="107"/>
      <c r="AJ37" s="107"/>
      <c r="AK37" s="107"/>
      <c r="AL37" s="108"/>
      <c r="AN37" s="67">
        <f t="shared" si="2"/>
        <v>-0.52610812316453348</v>
      </c>
      <c r="AO37" s="67">
        <f t="shared" si="2"/>
        <v>-0.63347100838845449</v>
      </c>
      <c r="AP37" s="67">
        <f t="shared" si="2"/>
        <v>-0.87008508389104122</v>
      </c>
      <c r="AY37" s="67">
        <f t="shared" si="0"/>
        <v>294.52610812316453</v>
      </c>
      <c r="AZ37" s="67">
        <f t="shared" si="1"/>
        <v>87.633471008388454</v>
      </c>
      <c r="BA37" s="67">
        <f t="shared" si="3"/>
        <v>237.87008508389104</v>
      </c>
      <c r="BC37">
        <f t="shared" si="4"/>
        <v>33.608860260136439</v>
      </c>
      <c r="BD37">
        <v>1013.2</v>
      </c>
      <c r="BE37">
        <f t="shared" si="5"/>
        <v>30.552572506268454</v>
      </c>
    </row>
    <row r="38" spans="1:57" x14ac:dyDescent="0.2">
      <c r="A38" s="13">
        <v>29</v>
      </c>
      <c r="B38" s="3">
        <v>4</v>
      </c>
      <c r="C38" s="17">
        <v>4</v>
      </c>
      <c r="D38" s="3">
        <v>4</v>
      </c>
      <c r="E38" s="18">
        <v>10</v>
      </c>
      <c r="F38" s="18">
        <v>6</v>
      </c>
      <c r="G38" s="18">
        <v>65</v>
      </c>
      <c r="H38" s="19">
        <v>1</v>
      </c>
      <c r="I38" s="18">
        <v>5</v>
      </c>
      <c r="J38" s="18">
        <v>0</v>
      </c>
      <c r="K38" s="20">
        <v>134</v>
      </c>
      <c r="L38" s="18">
        <v>268</v>
      </c>
      <c r="M38" s="18">
        <v>245</v>
      </c>
      <c r="N38" s="18">
        <v>290</v>
      </c>
      <c r="O38" s="18">
        <v>82</v>
      </c>
      <c r="P38" s="18">
        <v>235</v>
      </c>
      <c r="Q38" s="17">
        <v>4</v>
      </c>
      <c r="R38" s="17">
        <v>2</v>
      </c>
      <c r="S38" s="17">
        <v>0</v>
      </c>
      <c r="T38" s="17">
        <v>0</v>
      </c>
      <c r="U38" s="17">
        <v>4</v>
      </c>
      <c r="V38" s="3">
        <v>8</v>
      </c>
      <c r="W38" s="20">
        <v>54</v>
      </c>
      <c r="X38" s="17">
        <v>8</v>
      </c>
      <c r="Y38" s="3"/>
      <c r="Z38" s="3"/>
      <c r="AA38" s="20"/>
      <c r="AB38" s="3"/>
      <c r="AC38" s="3"/>
      <c r="AD38" s="20"/>
      <c r="AE38" s="3"/>
      <c r="AF38" s="3"/>
      <c r="AG38" s="20"/>
      <c r="AH38" s="107" t="s">
        <v>96</v>
      </c>
      <c r="AI38" s="107"/>
      <c r="AJ38" s="107"/>
      <c r="AK38" s="107"/>
      <c r="AL38" s="108"/>
      <c r="AN38" s="67">
        <f t="shared" si="2"/>
        <v>-1.5482602654706739</v>
      </c>
      <c r="AO38" s="67">
        <f t="shared" si="2"/>
        <v>-0.74418656868023447</v>
      </c>
      <c r="AP38" s="67">
        <f t="shared" si="2"/>
        <v>-1.1838053580768531</v>
      </c>
      <c r="AY38" s="67">
        <f t="shared" si="0"/>
        <v>291.54826026547067</v>
      </c>
      <c r="AZ38" s="67">
        <f t="shared" si="1"/>
        <v>82.744186568680234</v>
      </c>
      <c r="BA38" s="67">
        <f t="shared" si="3"/>
        <v>236.18380535807685</v>
      </c>
      <c r="BC38">
        <f t="shared" si="4"/>
        <v>35.234893514056914</v>
      </c>
      <c r="BD38">
        <v>1013.2</v>
      </c>
      <c r="BE38">
        <f t="shared" si="5"/>
        <v>30.736197835927069</v>
      </c>
    </row>
    <row r="39" spans="1:57" x14ac:dyDescent="0.2">
      <c r="A39" s="13">
        <v>30</v>
      </c>
      <c r="B39" s="3">
        <v>4</v>
      </c>
      <c r="C39" s="17">
        <v>7</v>
      </c>
      <c r="D39" s="3">
        <v>4</v>
      </c>
      <c r="E39" s="18">
        <v>5</v>
      </c>
      <c r="F39" s="18">
        <v>10</v>
      </c>
      <c r="G39" s="18">
        <v>65</v>
      </c>
      <c r="H39" s="19">
        <v>1</v>
      </c>
      <c r="I39" s="18">
        <v>5</v>
      </c>
      <c r="J39" s="18">
        <v>2</v>
      </c>
      <c r="K39" s="20">
        <v>124</v>
      </c>
      <c r="L39" s="18">
        <v>252</v>
      </c>
      <c r="M39" s="18">
        <v>226</v>
      </c>
      <c r="N39" s="18">
        <v>254</v>
      </c>
      <c r="O39" s="18">
        <v>79</v>
      </c>
      <c r="P39" s="18">
        <v>213</v>
      </c>
      <c r="Q39" s="17">
        <v>7</v>
      </c>
      <c r="R39" s="17">
        <v>8</v>
      </c>
      <c r="S39" s="17" t="s">
        <v>89</v>
      </c>
      <c r="T39" s="17" t="s">
        <v>89</v>
      </c>
      <c r="U39" s="17">
        <v>2</v>
      </c>
      <c r="V39" s="3">
        <v>8</v>
      </c>
      <c r="W39" s="20">
        <v>54</v>
      </c>
      <c r="X39" s="17">
        <v>8</v>
      </c>
      <c r="Y39" s="17">
        <v>6</v>
      </c>
      <c r="Z39" s="17">
        <v>6</v>
      </c>
      <c r="AA39" s="20">
        <v>114</v>
      </c>
      <c r="AB39" s="3"/>
      <c r="AC39" s="3"/>
      <c r="AD39" s="20"/>
      <c r="AE39" s="3"/>
      <c r="AF39" s="3"/>
      <c r="AG39" s="20"/>
      <c r="AH39" s="107" t="s">
        <v>85</v>
      </c>
      <c r="AI39" s="107"/>
      <c r="AJ39" s="107"/>
      <c r="AK39" s="107"/>
      <c r="AL39" s="108"/>
      <c r="AN39" s="67">
        <f t="shared" si="2"/>
        <v>-2.2375129835053826</v>
      </c>
      <c r="AO39" s="67">
        <f t="shared" si="2"/>
        <v>-0.95217584039097858</v>
      </c>
      <c r="AP39" s="67">
        <f t="shared" si="2"/>
        <v>-1.9448155443957091</v>
      </c>
      <c r="AY39" s="67">
        <f t="shared" si="0"/>
        <v>256.23751298350538</v>
      </c>
      <c r="AZ39" s="67">
        <f t="shared" si="1"/>
        <v>79.952175840390979</v>
      </c>
      <c r="BA39" s="67">
        <f t="shared" si="3"/>
        <v>214.94481554439571</v>
      </c>
      <c r="BC39">
        <f t="shared" si="4"/>
        <v>32.048847988206589</v>
      </c>
      <c r="BD39">
        <v>1013.2</v>
      </c>
      <c r="BE39">
        <f t="shared" si="5"/>
        <v>27.407590043038535</v>
      </c>
    </row>
    <row r="40" spans="1:57" x14ac:dyDescent="0.2">
      <c r="A40" s="13"/>
      <c r="B40" s="3"/>
      <c r="C40" s="17"/>
      <c r="D40" s="3"/>
      <c r="E40" s="18"/>
      <c r="F40" s="18"/>
      <c r="G40" s="18"/>
      <c r="H40" s="19"/>
      <c r="I40" s="18"/>
      <c r="J40" s="18"/>
      <c r="K40" s="20"/>
      <c r="L40" s="18"/>
      <c r="M40" s="18"/>
      <c r="N40" s="18"/>
      <c r="O40" s="18"/>
      <c r="P40" s="18"/>
      <c r="Q40" s="17"/>
      <c r="R40" s="17"/>
      <c r="S40" s="17"/>
      <c r="T40" s="17"/>
      <c r="U40" s="17"/>
      <c r="V40" s="3"/>
      <c r="W40" s="20"/>
      <c r="X40" s="17"/>
      <c r="Y40" s="3"/>
      <c r="Z40" s="3"/>
      <c r="AA40" s="20"/>
      <c r="AB40" s="3"/>
      <c r="AC40" s="3"/>
      <c r="AD40" s="20"/>
      <c r="AE40" s="3"/>
      <c r="AF40" s="3"/>
      <c r="AG40" s="20"/>
      <c r="AH40" s="107"/>
      <c r="AI40" s="107"/>
      <c r="AJ40" s="107"/>
      <c r="AK40" s="107"/>
      <c r="AL40" s="108"/>
      <c r="AN40" s="67"/>
      <c r="AO40" s="67"/>
      <c r="AP40" s="67"/>
      <c r="AY40" s="67">
        <f t="shared" si="0"/>
        <v>61.120000000000005</v>
      </c>
      <c r="AZ40" s="67">
        <f t="shared" si="1"/>
        <v>100</v>
      </c>
      <c r="BA40" s="67">
        <f t="shared" si="3"/>
        <v>0</v>
      </c>
      <c r="BC40">
        <f t="shared" si="4"/>
        <v>6.1120000000000001</v>
      </c>
      <c r="BD40">
        <v>1013.2</v>
      </c>
      <c r="BE40">
        <f t="shared" si="5"/>
        <v>6.1120000000000001</v>
      </c>
    </row>
    <row r="41" spans="1:57" x14ac:dyDescent="0.2">
      <c r="A41" s="18"/>
      <c r="B41" s="3"/>
      <c r="C41" s="17"/>
      <c r="D41" s="3"/>
      <c r="E41" s="18"/>
      <c r="F41" s="18"/>
      <c r="G41" s="18"/>
      <c r="H41" s="19"/>
      <c r="I41" s="18"/>
      <c r="J41" s="18"/>
      <c r="K41" s="20"/>
      <c r="L41" s="18"/>
      <c r="M41" s="18"/>
      <c r="N41" s="18"/>
      <c r="O41" s="18"/>
      <c r="P41" s="18"/>
      <c r="Q41" s="17"/>
      <c r="R41" s="17"/>
      <c r="S41" s="17"/>
      <c r="T41" s="17"/>
      <c r="U41" s="17"/>
      <c r="V41" s="3"/>
      <c r="W41" s="20"/>
      <c r="X41" s="3"/>
      <c r="Y41" s="3"/>
      <c r="Z41" s="3"/>
      <c r="AA41" s="20"/>
      <c r="AB41" s="3"/>
      <c r="AC41" s="3"/>
      <c r="AD41" s="20"/>
      <c r="AE41" s="3"/>
      <c r="AF41" s="3"/>
      <c r="AG41" s="20"/>
      <c r="AH41" s="109" t="s">
        <v>233</v>
      </c>
      <c r="AI41" s="107"/>
      <c r="AJ41" s="107"/>
      <c r="AK41" s="107"/>
      <c r="AL41" s="108"/>
      <c r="AN41" s="67"/>
      <c r="AO41" s="67"/>
      <c r="AP41" s="67"/>
    </row>
    <row r="42" spans="1:57" x14ac:dyDescent="0.2">
      <c r="A42" s="13" t="s">
        <v>9</v>
      </c>
      <c r="B42" s="1"/>
      <c r="C42" s="21">
        <f>SUM(C10:C40)</f>
        <v>130</v>
      </c>
      <c r="D42" s="1"/>
      <c r="E42" s="13"/>
      <c r="F42" s="13">
        <f>SUM(F10:F40)</f>
        <v>205</v>
      </c>
      <c r="G42" s="13"/>
      <c r="H42" s="2"/>
      <c r="I42" s="13"/>
      <c r="J42" s="13"/>
      <c r="K42" s="22">
        <f>SUM(K10:K40)</f>
        <v>3552</v>
      </c>
      <c r="L42" s="13">
        <f>SUM(L10:L40)</f>
        <v>7700</v>
      </c>
      <c r="M42" s="13">
        <f>SUM(M10:M40)</f>
        <v>7195</v>
      </c>
      <c r="N42" s="13">
        <f>SUM(N10:N40)</f>
        <v>8562</v>
      </c>
      <c r="O42" s="13">
        <f>SUM(O10:O40)</f>
        <v>2595</v>
      </c>
      <c r="P42" s="13">
        <f t="shared" ref="P42" si="6">SUM(P10:P40)</f>
        <v>6972</v>
      </c>
      <c r="Q42" s="21">
        <f>SUM(Q10:Q40)</f>
        <v>106</v>
      </c>
      <c r="R42" s="21"/>
      <c r="S42" s="21"/>
      <c r="T42" s="21"/>
      <c r="U42" s="21"/>
      <c r="V42" s="1"/>
      <c r="W42" s="22"/>
      <c r="X42" s="1"/>
      <c r="Y42" s="1"/>
      <c r="Z42" s="1"/>
      <c r="AA42" s="22"/>
      <c r="AB42" s="1"/>
      <c r="AC42" s="1"/>
      <c r="AD42" s="22"/>
      <c r="AE42" s="1"/>
      <c r="AF42" s="1"/>
      <c r="AG42" s="22"/>
      <c r="AH42" s="116"/>
      <c r="AI42" s="116"/>
      <c r="AJ42" s="116"/>
      <c r="AK42" s="116"/>
      <c r="AL42" s="117"/>
      <c r="AN42" s="67"/>
      <c r="AO42" s="67"/>
      <c r="AP42" s="67"/>
    </row>
    <row r="43" spans="1:57" ht="13.5" thickBot="1" x14ac:dyDescent="0.25">
      <c r="A43" s="23" t="s">
        <v>10</v>
      </c>
      <c r="B43" s="24"/>
      <c r="C43" s="25">
        <f>AVERAGE(C10:C40)</f>
        <v>4.333333333333333</v>
      </c>
      <c r="D43" s="24"/>
      <c r="E43" s="23">
        <f>MODE(E10:E40)</f>
        <v>0</v>
      </c>
      <c r="F43" s="23">
        <f>AVERAGE(F10:F40)</f>
        <v>6.833333333333333</v>
      </c>
      <c r="G43" s="23"/>
      <c r="H43" s="26"/>
      <c r="I43" s="23"/>
      <c r="J43" s="23"/>
      <c r="K43" s="27">
        <f>AVERAGE(K10:K40)</f>
        <v>118.4</v>
      </c>
      <c r="L43" s="23">
        <f t="shared" ref="L43:Q43" si="7">AVERAGE(L10:L40)</f>
        <v>256.66666666666669</v>
      </c>
      <c r="M43" s="23">
        <f t="shared" si="7"/>
        <v>239.83333333333334</v>
      </c>
      <c r="N43" s="23">
        <f t="shared" si="7"/>
        <v>285.39999999999998</v>
      </c>
      <c r="O43" s="23">
        <f t="shared" si="7"/>
        <v>86.5</v>
      </c>
      <c r="P43" s="23">
        <f>AVERAGE(P10:P40)</f>
        <v>232.4</v>
      </c>
      <c r="Q43" s="25">
        <f t="shared" si="7"/>
        <v>3.5333333333333332</v>
      </c>
      <c r="R43" s="25"/>
      <c r="S43" s="25"/>
      <c r="T43" s="25"/>
      <c r="U43" s="25"/>
      <c r="V43" s="24"/>
      <c r="W43" s="27"/>
      <c r="X43" s="24"/>
      <c r="Y43" s="24"/>
      <c r="Z43" s="24"/>
      <c r="AA43" s="27"/>
      <c r="AB43" s="24"/>
      <c r="AC43" s="24"/>
      <c r="AD43" s="27"/>
      <c r="AE43" s="24"/>
      <c r="AF43" s="24"/>
      <c r="AG43" s="27"/>
      <c r="AH43" s="111"/>
      <c r="AI43" s="111"/>
      <c r="AJ43" s="111"/>
      <c r="AK43" s="111"/>
      <c r="AL43" s="112"/>
      <c r="AN43" s="67">
        <f>AVERAGE(AN10:AN40)</f>
        <v>-1.1596224518603455</v>
      </c>
      <c r="AO43" s="67">
        <f t="shared" ref="AO43:AP43" si="8">AVERAGE(AO10:AO40)</f>
        <v>-0.55348459826582541</v>
      </c>
      <c r="AP43" s="67">
        <f t="shared" si="8"/>
        <v>-0.80039141376908374</v>
      </c>
    </row>
    <row r="44" spans="1:57" x14ac:dyDescent="0.2">
      <c r="E44" s="11"/>
      <c r="G44" s="11"/>
      <c r="K44" s="4"/>
      <c r="M44" s="11"/>
      <c r="P44" s="11"/>
      <c r="Q44" s="11"/>
      <c r="W44" s="4"/>
      <c r="AA44" s="4"/>
      <c r="AD44" s="4"/>
    </row>
    <row r="45" spans="1:57" x14ac:dyDescent="0.2">
      <c r="E45" s="11"/>
      <c r="G45" s="11"/>
      <c r="K45" s="4"/>
      <c r="M45" s="11"/>
      <c r="P45" s="11"/>
      <c r="Q45" s="11"/>
      <c r="W45" s="4"/>
      <c r="AA45" s="4"/>
    </row>
    <row r="46" spans="1:57" x14ac:dyDescent="0.2">
      <c r="E46" s="11"/>
      <c r="G46" s="11"/>
      <c r="M46" s="11"/>
      <c r="P46" s="11"/>
      <c r="Q46" s="11"/>
      <c r="W46" s="4"/>
      <c r="AA46" s="4"/>
    </row>
    <row r="47" spans="1:57" x14ac:dyDescent="0.2">
      <c r="E47" s="11"/>
      <c r="G47" s="11"/>
      <c r="M47" s="11"/>
      <c r="P47" s="11"/>
      <c r="Q47" s="11"/>
    </row>
    <row r="48" spans="1:57" x14ac:dyDescent="0.2">
      <c r="E48" s="11"/>
      <c r="G48" s="11"/>
      <c r="M48" s="11"/>
      <c r="P48" s="11"/>
      <c r="Q48" s="11"/>
    </row>
    <row r="49" spans="5:17" x14ac:dyDescent="0.2">
      <c r="E49" s="11"/>
      <c r="G49" s="11"/>
      <c r="M49" s="11"/>
      <c r="P49" s="11"/>
      <c r="Q49" s="11"/>
    </row>
  </sheetData>
  <mergeCells count="72">
    <mergeCell ref="AH41:AL41"/>
    <mergeCell ref="AH42:AL42"/>
    <mergeCell ref="AH43:AL43"/>
    <mergeCell ref="AH36:AL36"/>
    <mergeCell ref="AH37:AL37"/>
    <mergeCell ref="AH38:AL38"/>
    <mergeCell ref="AH39:AL39"/>
    <mergeCell ref="AH40:AL40"/>
    <mergeCell ref="AH31:AL31"/>
    <mergeCell ref="AH32:AL32"/>
    <mergeCell ref="AH33:AL33"/>
    <mergeCell ref="AH34:AL34"/>
    <mergeCell ref="AH35:AL35"/>
    <mergeCell ref="AH26:AL26"/>
    <mergeCell ref="AH27:AL27"/>
    <mergeCell ref="AH28:AL28"/>
    <mergeCell ref="AH29:AL29"/>
    <mergeCell ref="AH30:AL30"/>
    <mergeCell ref="AH21:AL21"/>
    <mergeCell ref="AH22:AL22"/>
    <mergeCell ref="AH23:AL23"/>
    <mergeCell ref="AH24:AL24"/>
    <mergeCell ref="AH25:AL25"/>
    <mergeCell ref="AH16:AL16"/>
    <mergeCell ref="AH17:AL17"/>
    <mergeCell ref="AH18:AL18"/>
    <mergeCell ref="AH19:AL19"/>
    <mergeCell ref="AH20:AL20"/>
    <mergeCell ref="AH11:AL11"/>
    <mergeCell ref="AH12:AL12"/>
    <mergeCell ref="AH13:AL13"/>
    <mergeCell ref="AH14:AL14"/>
    <mergeCell ref="AH15:AL15"/>
    <mergeCell ref="U8:W8"/>
    <mergeCell ref="X8:AA8"/>
    <mergeCell ref="AB8:AD8"/>
    <mergeCell ref="AE8:AG8"/>
    <mergeCell ref="AH10:AL10"/>
    <mergeCell ref="AH7:AL9"/>
    <mergeCell ref="P8:P9"/>
    <mergeCell ref="Q8:Q9"/>
    <mergeCell ref="R8:R9"/>
    <mergeCell ref="S8:S9"/>
    <mergeCell ref="T8:T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3:T3"/>
    <mergeCell ref="E7:F7"/>
    <mergeCell ref="L7:P7"/>
    <mergeCell ref="Q7:T7"/>
    <mergeCell ref="U7:AG7"/>
    <mergeCell ref="AN7:AP7"/>
    <mergeCell ref="AY7:BA7"/>
    <mergeCell ref="AN8:AN9"/>
    <mergeCell ref="AO8:AO9"/>
    <mergeCell ref="AP8:AP9"/>
    <mergeCell ref="AY8:AY9"/>
    <mergeCell ref="AZ8:AZ9"/>
    <mergeCell ref="BA8:BA9"/>
  </mergeCells>
  <phoneticPr fontId="2" type="noConversion"/>
  <dataValidations count="5">
    <dataValidation type="whole" allowBlank="1" showInputMessage="1" showErrorMessage="1" sqref="C10:C40" xr:uid="{00000000-0002-0000-1000-000000000000}">
      <formula1>0</formula1>
      <formula2>9</formula2>
    </dataValidation>
    <dataValidation type="whole" allowBlank="1" showInputMessage="1" showErrorMessage="1" sqref="Y10:Y40" xr:uid="{00000000-0002-0000-1000-000001000000}">
      <formula1>3</formula1>
      <formula2>9</formula2>
    </dataValidation>
    <dataValidation type="whole" allowBlank="1" showInputMessage="1" showErrorMessage="1" sqref="AB10:AB40" xr:uid="{00000000-0002-0000-1000-000002000000}">
      <formula1>5</formula1>
      <formula2>9</formula2>
    </dataValidation>
    <dataValidation type="whole" allowBlank="1" showInputMessage="1" showErrorMessage="1" sqref="D10:D40" xr:uid="{00000000-0002-0000-1000-000003000000}">
      <formula1>0</formula1>
      <formula2>4</formula2>
    </dataValidation>
    <dataValidation type="whole" allowBlank="1" showInputMessage="1" showErrorMessage="1" sqref="AE10:AE40" xr:uid="{00000000-0002-0000-1000-000004000000}">
      <formula1>1</formula1>
      <formula2>9</formula2>
    </dataValidation>
  </dataValidations>
  <pageMargins left="0.75" right="0.75" top="1" bottom="1" header="0.5" footer="0.5"/>
  <pageSetup orientation="portrait" horizontalDpi="30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E49"/>
  <sheetViews>
    <sheetView workbookViewId="0">
      <pane xSplit="2" ySplit="9" topLeftCell="C10" activePane="bottomRight" state="frozen"/>
      <selection activeCell="AM2" sqref="AM2"/>
      <selection pane="topRight" activeCell="AM2" sqref="AM2"/>
      <selection pane="bottomLeft" activeCell="AM2" sqref="AM2"/>
      <selection pane="bottomRight" activeCell="AH32" sqref="AH32:AL32"/>
    </sheetView>
  </sheetViews>
  <sheetFormatPr defaultRowHeight="12.75" x14ac:dyDescent="0.2"/>
  <cols>
    <col min="1" max="1" width="4.28515625" bestFit="1" customWidth="1"/>
    <col min="2" max="2" width="5.140625" bestFit="1" customWidth="1"/>
    <col min="3" max="3" width="4" bestFit="1" customWidth="1"/>
    <col min="4" max="5" width="3" bestFit="1" customWidth="1"/>
    <col min="6" max="6" width="4" bestFit="1" customWidth="1"/>
    <col min="7" max="10" width="3" bestFit="1" customWidth="1"/>
    <col min="11" max="11" width="8.5703125" bestFit="1" customWidth="1"/>
    <col min="12" max="16" width="5" bestFit="1" customWidth="1"/>
    <col min="17" max="22" width="3" bestFit="1" customWidth="1"/>
    <col min="23" max="23" width="5.28515625" bestFit="1" customWidth="1"/>
    <col min="24" max="26" width="3" bestFit="1" customWidth="1"/>
    <col min="27" max="27" width="5.28515625" bestFit="1" customWidth="1"/>
    <col min="28" max="29" width="3" bestFit="1" customWidth="1"/>
    <col min="30" max="30" width="5.28515625" bestFit="1" customWidth="1"/>
    <col min="31" max="32" width="3" bestFit="1" customWidth="1"/>
    <col min="33" max="33" width="5.28515625" bestFit="1" customWidth="1"/>
    <col min="34" max="34" width="5.42578125" customWidth="1"/>
    <col min="40" max="42" width="4.7109375" customWidth="1"/>
    <col min="50" max="58" width="0" hidden="1" customWidth="1"/>
  </cols>
  <sheetData>
    <row r="1" spans="1:5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  <c r="P1" s="1"/>
      <c r="Q1" s="1"/>
      <c r="R1" s="1"/>
    </row>
    <row r="2" spans="1:57" ht="36.75" customHeight="1" x14ac:dyDescent="0.2">
      <c r="A2" s="1"/>
      <c r="B2" s="1"/>
      <c r="C2" s="1"/>
      <c r="D2" s="1"/>
      <c r="E2" s="1"/>
      <c r="F2" s="1"/>
      <c r="G2" s="1"/>
      <c r="H2" s="1"/>
      <c r="I2" s="2"/>
      <c r="J2" s="2"/>
      <c r="K2" s="1"/>
      <c r="L2" s="1"/>
      <c r="M2" s="1"/>
      <c r="O2" s="2"/>
      <c r="P2" s="1"/>
      <c r="Q2" s="1"/>
      <c r="R2" s="1"/>
    </row>
    <row r="3" spans="1:5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80"/>
      <c r="Q3" s="80"/>
      <c r="R3" s="80"/>
      <c r="S3" s="80"/>
      <c r="T3" s="80"/>
    </row>
    <row r="4" spans="1:5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7" spans="1:57" ht="14.25" x14ac:dyDescent="0.25">
      <c r="A7" s="7"/>
      <c r="B7" s="7"/>
      <c r="C7" s="7"/>
      <c r="D7" s="7"/>
      <c r="E7" s="81" t="s">
        <v>20</v>
      </c>
      <c r="F7" s="81"/>
      <c r="G7" s="7"/>
      <c r="H7" s="7"/>
      <c r="I7" s="7"/>
      <c r="J7" s="7"/>
      <c r="K7" s="7"/>
      <c r="L7" s="82" t="s">
        <v>11</v>
      </c>
      <c r="M7" s="82"/>
      <c r="N7" s="82"/>
      <c r="O7" s="82"/>
      <c r="P7" s="82"/>
      <c r="Q7" s="83" t="s">
        <v>29</v>
      </c>
      <c r="R7" s="83"/>
      <c r="S7" s="83"/>
      <c r="T7" s="83"/>
      <c r="U7" s="84" t="s">
        <v>33</v>
      </c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98" t="s">
        <v>8</v>
      </c>
      <c r="AI7" s="99"/>
      <c r="AJ7" s="99"/>
      <c r="AK7" s="99"/>
      <c r="AL7" s="100"/>
      <c r="AN7" s="73" t="s">
        <v>80</v>
      </c>
      <c r="AO7" s="74"/>
      <c r="AP7" s="75"/>
      <c r="AY7" s="76" t="s">
        <v>81</v>
      </c>
      <c r="AZ7" s="77"/>
      <c r="BA7" s="78"/>
    </row>
    <row r="8" spans="1:57" ht="16.5" customHeight="1" x14ac:dyDescent="0.2">
      <c r="A8" s="85" t="s">
        <v>18</v>
      </c>
      <c r="B8" s="89" t="s">
        <v>19</v>
      </c>
      <c r="C8" s="90" t="s">
        <v>23</v>
      </c>
      <c r="D8" s="88" t="s">
        <v>24</v>
      </c>
      <c r="E8" s="91" t="s">
        <v>25</v>
      </c>
      <c r="F8" s="86" t="s">
        <v>26</v>
      </c>
      <c r="G8" s="88" t="s">
        <v>27</v>
      </c>
      <c r="H8" s="88" t="s">
        <v>0</v>
      </c>
      <c r="I8" s="88" t="s">
        <v>21</v>
      </c>
      <c r="J8" s="88" t="s">
        <v>22</v>
      </c>
      <c r="K8" s="85" t="s">
        <v>28</v>
      </c>
      <c r="L8" s="79" t="s">
        <v>1</v>
      </c>
      <c r="M8" s="79" t="s">
        <v>2</v>
      </c>
      <c r="N8" s="79" t="s">
        <v>3</v>
      </c>
      <c r="O8" s="79" t="s">
        <v>4</v>
      </c>
      <c r="P8" s="79" t="s">
        <v>5</v>
      </c>
      <c r="Q8" s="92" t="s">
        <v>34</v>
      </c>
      <c r="R8" s="92" t="s">
        <v>30</v>
      </c>
      <c r="S8" s="92" t="s">
        <v>31</v>
      </c>
      <c r="T8" s="92" t="s">
        <v>32</v>
      </c>
      <c r="U8" s="93" t="s">
        <v>38</v>
      </c>
      <c r="V8" s="93"/>
      <c r="W8" s="93"/>
      <c r="X8" s="93" t="s">
        <v>39</v>
      </c>
      <c r="Y8" s="93"/>
      <c r="Z8" s="93"/>
      <c r="AA8" s="93"/>
      <c r="AB8" s="93" t="s">
        <v>40</v>
      </c>
      <c r="AC8" s="93"/>
      <c r="AD8" s="93"/>
      <c r="AE8" s="93" t="s">
        <v>41</v>
      </c>
      <c r="AF8" s="94"/>
      <c r="AG8" s="95"/>
      <c r="AH8" s="101"/>
      <c r="AI8" s="102"/>
      <c r="AJ8" s="102"/>
      <c r="AK8" s="102"/>
      <c r="AL8" s="103"/>
      <c r="AN8" s="79" t="s">
        <v>3</v>
      </c>
      <c r="AO8" s="79" t="s">
        <v>4</v>
      </c>
      <c r="AP8" s="79" t="s">
        <v>5</v>
      </c>
      <c r="AY8" s="79" t="s">
        <v>3</v>
      </c>
      <c r="AZ8" s="79" t="s">
        <v>4</v>
      </c>
      <c r="BA8" s="79" t="s">
        <v>5</v>
      </c>
    </row>
    <row r="9" spans="1:57" s="3" customFormat="1" ht="72" customHeight="1" x14ac:dyDescent="0.2">
      <c r="A9" s="85"/>
      <c r="B9" s="89"/>
      <c r="C9" s="90"/>
      <c r="D9" s="88"/>
      <c r="E9" s="91"/>
      <c r="F9" s="87"/>
      <c r="G9" s="88"/>
      <c r="H9" s="88"/>
      <c r="I9" s="88"/>
      <c r="J9" s="88"/>
      <c r="K9" s="85"/>
      <c r="L9" s="79"/>
      <c r="M9" s="79"/>
      <c r="N9" s="79"/>
      <c r="O9" s="79"/>
      <c r="P9" s="79"/>
      <c r="Q9" s="92"/>
      <c r="R9" s="92"/>
      <c r="S9" s="92"/>
      <c r="T9" s="92"/>
      <c r="U9" s="8" t="s">
        <v>16</v>
      </c>
      <c r="V9" s="8" t="s">
        <v>6</v>
      </c>
      <c r="W9" s="9" t="s">
        <v>7</v>
      </c>
      <c r="X9" s="8" t="s">
        <v>17</v>
      </c>
      <c r="Y9" s="8" t="s">
        <v>16</v>
      </c>
      <c r="Z9" s="8" t="s">
        <v>6</v>
      </c>
      <c r="AA9" s="9" t="s">
        <v>7</v>
      </c>
      <c r="AB9" s="8" t="s">
        <v>16</v>
      </c>
      <c r="AC9" s="8" t="s">
        <v>6</v>
      </c>
      <c r="AD9" s="9" t="s">
        <v>7</v>
      </c>
      <c r="AE9" s="8" t="s">
        <v>16</v>
      </c>
      <c r="AF9" s="8" t="s">
        <v>6</v>
      </c>
      <c r="AG9" s="9" t="s">
        <v>7</v>
      </c>
      <c r="AH9" s="104"/>
      <c r="AI9" s="105"/>
      <c r="AJ9" s="105"/>
      <c r="AK9" s="105"/>
      <c r="AL9" s="106"/>
      <c r="AN9" s="79"/>
      <c r="AO9" s="79"/>
      <c r="AP9" s="79"/>
      <c r="AY9" s="79"/>
      <c r="AZ9" s="79"/>
      <c r="BA9" s="79"/>
      <c r="BC9" s="3" t="s">
        <v>82</v>
      </c>
      <c r="BD9" s="3" t="s">
        <v>83</v>
      </c>
      <c r="BE9" s="3" t="s">
        <v>84</v>
      </c>
    </row>
    <row r="10" spans="1:57" x14ac:dyDescent="0.2">
      <c r="A10" s="13">
        <v>1</v>
      </c>
      <c r="B10" s="3">
        <v>3</v>
      </c>
      <c r="C10" s="17">
        <v>5</v>
      </c>
      <c r="D10" s="3">
        <v>4</v>
      </c>
      <c r="E10" s="18">
        <v>7</v>
      </c>
      <c r="F10" s="18">
        <v>5</v>
      </c>
      <c r="G10" s="18">
        <v>75</v>
      </c>
      <c r="H10" s="19">
        <v>2</v>
      </c>
      <c r="I10" s="18"/>
      <c r="J10" s="18"/>
      <c r="K10" s="20">
        <v>126</v>
      </c>
      <c r="L10" s="18">
        <v>260</v>
      </c>
      <c r="M10" s="18">
        <v>245</v>
      </c>
      <c r="N10" s="18">
        <v>295</v>
      </c>
      <c r="O10" s="18">
        <v>88</v>
      </c>
      <c r="P10" s="18">
        <v>238</v>
      </c>
      <c r="Q10" s="17">
        <v>1</v>
      </c>
      <c r="R10" s="17">
        <v>2</v>
      </c>
      <c r="S10" s="17">
        <v>0</v>
      </c>
      <c r="T10" s="17">
        <v>1</v>
      </c>
      <c r="U10" s="17">
        <v>1</v>
      </c>
      <c r="V10" s="3">
        <v>8</v>
      </c>
      <c r="W10" s="20">
        <v>60</v>
      </c>
      <c r="X10" s="17">
        <v>8</v>
      </c>
      <c r="Y10" s="17">
        <v>5</v>
      </c>
      <c r="Z10" s="17">
        <v>0</v>
      </c>
      <c r="AA10" s="20">
        <v>840</v>
      </c>
      <c r="AB10" s="3"/>
      <c r="AC10" s="3"/>
      <c r="AD10" s="20"/>
      <c r="AE10" s="3"/>
      <c r="AF10" s="3"/>
      <c r="AG10" s="20"/>
      <c r="AH10" s="96"/>
      <c r="AI10" s="96"/>
      <c r="AJ10" s="96"/>
      <c r="AK10" s="96"/>
      <c r="AL10" s="97"/>
      <c r="AN10" s="67">
        <f>N10-AY10</f>
        <v>-2.0486839502706857</v>
      </c>
      <c r="AO10" s="67">
        <f>O10-AZ10</f>
        <v>-0.38403969997190757</v>
      </c>
      <c r="AP10" s="67">
        <f>P10-BA10</f>
        <v>-1.2869143939119851</v>
      </c>
      <c r="AY10" s="67">
        <f t="shared" ref="AY10:AY40" si="0">10*(BE10-BD10*((L10/10)-(M10/10))*0.00066*(1+(0.00115*(M10/10))))</f>
        <v>297.04868395027069</v>
      </c>
      <c r="AZ10" s="67">
        <f t="shared" ref="AZ10:AZ40" si="1">((AY10/10)*100)/BC10</f>
        <v>88.384039699971908</v>
      </c>
      <c r="BA10" s="67">
        <f>(243.5*LN((AY10/10)/6.112))/(17.67-LN((AY10/10)/6.112))*10</f>
        <v>239.28691439391199</v>
      </c>
      <c r="BC10">
        <f>6.112*2.718^((17.67*(L10/10))/((L10/10)+243.5))</f>
        <v>33.608860260136439</v>
      </c>
      <c r="BD10">
        <v>1013.2</v>
      </c>
      <c r="BE10">
        <f>6.112*2.718^((17.67*(M10/10))/((M10/10)+243.5))</f>
        <v>30.736197835927069</v>
      </c>
    </row>
    <row r="11" spans="1:57" x14ac:dyDescent="0.2">
      <c r="A11" s="13">
        <v>2</v>
      </c>
      <c r="B11" s="3">
        <v>3</v>
      </c>
      <c r="C11" s="17">
        <v>3</v>
      </c>
      <c r="D11" s="3">
        <v>4</v>
      </c>
      <c r="E11" s="18">
        <v>9</v>
      </c>
      <c r="F11" s="18">
        <v>7</v>
      </c>
      <c r="G11" s="18">
        <v>78</v>
      </c>
      <c r="H11" s="19">
        <v>2</v>
      </c>
      <c r="I11" s="18"/>
      <c r="J11" s="18"/>
      <c r="K11" s="20">
        <v>122</v>
      </c>
      <c r="L11" s="18">
        <v>260</v>
      </c>
      <c r="M11" s="18">
        <v>243</v>
      </c>
      <c r="N11" s="18">
        <v>290</v>
      </c>
      <c r="O11" s="18">
        <v>86</v>
      </c>
      <c r="P11" s="18">
        <v>235</v>
      </c>
      <c r="Q11" s="17">
        <v>3</v>
      </c>
      <c r="R11" s="17">
        <v>2</v>
      </c>
      <c r="S11" s="17">
        <v>0</v>
      </c>
      <c r="T11" s="17">
        <v>0</v>
      </c>
      <c r="U11" s="17">
        <v>3</v>
      </c>
      <c r="V11" s="3">
        <v>8</v>
      </c>
      <c r="W11" s="20">
        <v>60</v>
      </c>
      <c r="X11" s="17">
        <v>8</v>
      </c>
      <c r="Y11" s="3"/>
      <c r="Z11" s="3"/>
      <c r="AA11" s="20"/>
      <c r="AB11" s="3"/>
      <c r="AC11" s="3"/>
      <c r="AD11" s="20"/>
      <c r="AE11" s="3"/>
      <c r="AF11" s="3"/>
      <c r="AG11" s="20"/>
      <c r="AH11" s="107"/>
      <c r="AI11" s="107"/>
      <c r="AJ11" s="107"/>
      <c r="AK11" s="107"/>
      <c r="AL11" s="108"/>
      <c r="AN11" s="67">
        <f t="shared" ref="AN11:AP39" si="2">N11-AY11</f>
        <v>-2.0132972264381692</v>
      </c>
      <c r="AO11" s="67">
        <f t="shared" si="2"/>
        <v>-0.88580777991926141</v>
      </c>
      <c r="AP11" s="67">
        <f t="shared" si="2"/>
        <v>-1.4481350133988258</v>
      </c>
      <c r="AY11" s="67">
        <f t="shared" si="0"/>
        <v>292.01329722643817</v>
      </c>
      <c r="AZ11" s="67">
        <f t="shared" si="1"/>
        <v>86.885807779919261</v>
      </c>
      <c r="BA11" s="67">
        <f t="shared" ref="BA11:BA40" si="3">(243.5*LN((AY11/10)/6.112))/(17.67-LN((AY11/10)/6.112))*10</f>
        <v>236.44813501339883</v>
      </c>
      <c r="BC11">
        <f t="shared" ref="BC11:BC40" si="4">6.112*2.718^((17.67*(L11/10))/((L11/10)+243.5))</f>
        <v>33.608860260136439</v>
      </c>
      <c r="BD11">
        <v>1013.2</v>
      </c>
      <c r="BE11">
        <f t="shared" ref="BE11:BE40" si="5">6.112*2.718^((17.67*(M11/10))/((M11/10)+243.5))</f>
        <v>30.369908289271816</v>
      </c>
    </row>
    <row r="12" spans="1:57" x14ac:dyDescent="0.2">
      <c r="A12" s="13">
        <v>3</v>
      </c>
      <c r="B12" s="3">
        <v>3</v>
      </c>
      <c r="C12" s="17">
        <v>1</v>
      </c>
      <c r="D12" s="3">
        <v>4</v>
      </c>
      <c r="E12" s="18">
        <v>0</v>
      </c>
      <c r="F12" s="18">
        <v>0</v>
      </c>
      <c r="G12" s="18">
        <v>70</v>
      </c>
      <c r="H12" s="19">
        <v>1</v>
      </c>
      <c r="I12" s="18">
        <v>6</v>
      </c>
      <c r="J12" s="18">
        <v>0</v>
      </c>
      <c r="K12" s="20">
        <v>118</v>
      </c>
      <c r="L12" s="18">
        <v>256</v>
      </c>
      <c r="M12" s="18">
        <v>238</v>
      </c>
      <c r="N12" s="18">
        <v>281</v>
      </c>
      <c r="O12" s="18">
        <v>86</v>
      </c>
      <c r="P12" s="18">
        <v>230</v>
      </c>
      <c r="Q12" s="17">
        <v>1</v>
      </c>
      <c r="R12" s="17">
        <v>8</v>
      </c>
      <c r="S12" s="17">
        <v>0</v>
      </c>
      <c r="T12" s="17">
        <v>1</v>
      </c>
      <c r="U12" s="17">
        <v>1</v>
      </c>
      <c r="V12" s="3">
        <v>8</v>
      </c>
      <c r="W12" s="20">
        <v>54</v>
      </c>
      <c r="X12" s="17">
        <v>8</v>
      </c>
      <c r="Y12" s="3"/>
      <c r="Z12" s="3"/>
      <c r="AA12" s="20"/>
      <c r="AB12" s="3"/>
      <c r="AC12" s="3"/>
      <c r="AD12" s="20"/>
      <c r="AE12" s="3"/>
      <c r="AF12" s="3"/>
      <c r="AG12" s="20"/>
      <c r="AH12" s="107" t="s">
        <v>85</v>
      </c>
      <c r="AI12" s="107"/>
      <c r="AJ12" s="107"/>
      <c r="AK12" s="107"/>
      <c r="AL12" s="108"/>
      <c r="AN12" s="67">
        <f t="shared" si="2"/>
        <v>-1.3422869449683503</v>
      </c>
      <c r="AO12" s="67">
        <f t="shared" si="2"/>
        <v>-2.5554965803294749E-2</v>
      </c>
      <c r="AP12" s="67">
        <f t="shared" si="2"/>
        <v>-0.87354646275517212</v>
      </c>
      <c r="AY12" s="67">
        <f t="shared" si="0"/>
        <v>282.34228694496835</v>
      </c>
      <c r="AZ12" s="67">
        <f t="shared" si="1"/>
        <v>86.025554965803295</v>
      </c>
      <c r="BA12" s="67">
        <f t="shared" si="3"/>
        <v>230.87354646275517</v>
      </c>
      <c r="BC12">
        <f t="shared" si="4"/>
        <v>32.820745772253893</v>
      </c>
      <c r="BD12">
        <v>1013.2</v>
      </c>
      <c r="BE12">
        <f t="shared" si="5"/>
        <v>29.470855059888834</v>
      </c>
    </row>
    <row r="13" spans="1:57" x14ac:dyDescent="0.2">
      <c r="A13" s="13">
        <v>4</v>
      </c>
      <c r="B13" s="3">
        <v>3</v>
      </c>
      <c r="C13" s="17">
        <v>3</v>
      </c>
      <c r="D13" s="3">
        <v>4</v>
      </c>
      <c r="E13" s="18">
        <v>0</v>
      </c>
      <c r="F13" s="18">
        <v>0</v>
      </c>
      <c r="G13" s="18">
        <v>75</v>
      </c>
      <c r="H13" s="19">
        <v>2</v>
      </c>
      <c r="I13" s="18"/>
      <c r="J13" s="18"/>
      <c r="K13" s="20">
        <v>125</v>
      </c>
      <c r="L13" s="18">
        <v>256</v>
      </c>
      <c r="M13" s="18">
        <v>242</v>
      </c>
      <c r="N13" s="18">
        <v>291</v>
      </c>
      <c r="O13" s="18">
        <v>88</v>
      </c>
      <c r="P13" s="18">
        <v>236</v>
      </c>
      <c r="Q13" s="17">
        <v>3</v>
      </c>
      <c r="R13" s="17">
        <v>2</v>
      </c>
      <c r="S13" s="17">
        <v>0</v>
      </c>
      <c r="T13" s="17">
        <v>0</v>
      </c>
      <c r="U13" s="17">
        <v>3</v>
      </c>
      <c r="V13" s="3">
        <v>8</v>
      </c>
      <c r="W13" s="20">
        <v>60</v>
      </c>
      <c r="X13" s="17">
        <v>8</v>
      </c>
      <c r="Y13" s="3"/>
      <c r="Z13" s="3"/>
      <c r="AA13" s="20"/>
      <c r="AB13" s="3"/>
      <c r="AC13" s="3"/>
      <c r="AD13" s="20"/>
      <c r="AE13" s="3"/>
      <c r="AF13" s="3"/>
      <c r="AG13" s="20"/>
      <c r="AH13" s="107"/>
      <c r="AI13" s="107"/>
      <c r="AJ13" s="107"/>
      <c r="AK13" s="107"/>
      <c r="AL13" s="108"/>
      <c r="AN13" s="67">
        <f t="shared" si="2"/>
        <v>-1.2594976039678158</v>
      </c>
      <c r="AO13" s="67">
        <f t="shared" si="2"/>
        <v>-1.0471836417072069</v>
      </c>
      <c r="AP13" s="67">
        <f t="shared" si="2"/>
        <v>-0.58792748231138603</v>
      </c>
      <c r="AY13" s="67">
        <f t="shared" si="0"/>
        <v>292.25949760396782</v>
      </c>
      <c r="AZ13" s="67">
        <f t="shared" si="1"/>
        <v>89.047183641707207</v>
      </c>
      <c r="BA13" s="67">
        <f t="shared" si="3"/>
        <v>236.58792748231139</v>
      </c>
      <c r="BC13">
        <f t="shared" si="4"/>
        <v>32.820745772253893</v>
      </c>
      <c r="BD13">
        <v>1013.2</v>
      </c>
      <c r="BE13">
        <f t="shared" si="5"/>
        <v>30.188200917340787</v>
      </c>
    </row>
    <row r="14" spans="1:57" x14ac:dyDescent="0.2">
      <c r="A14" s="13">
        <v>5</v>
      </c>
      <c r="B14" s="3">
        <v>3</v>
      </c>
      <c r="C14" s="17">
        <v>3</v>
      </c>
      <c r="D14" s="3">
        <v>4</v>
      </c>
      <c r="E14" s="18">
        <v>10</v>
      </c>
      <c r="F14" s="18">
        <v>14</v>
      </c>
      <c r="G14" s="18">
        <v>80</v>
      </c>
      <c r="H14" s="19">
        <v>2</v>
      </c>
      <c r="I14" s="18"/>
      <c r="J14" s="18"/>
      <c r="K14" s="20">
        <v>125</v>
      </c>
      <c r="L14" s="18">
        <v>266</v>
      </c>
      <c r="M14" s="18">
        <v>249</v>
      </c>
      <c r="N14" s="69">
        <v>303</v>
      </c>
      <c r="O14" s="69">
        <v>87</v>
      </c>
      <c r="P14" s="69">
        <v>242</v>
      </c>
      <c r="Q14" s="17">
        <v>3</v>
      </c>
      <c r="R14" s="17">
        <v>2</v>
      </c>
      <c r="S14" s="17">
        <v>0</v>
      </c>
      <c r="T14" s="17">
        <v>1</v>
      </c>
      <c r="U14" s="17">
        <v>3</v>
      </c>
      <c r="V14" s="3">
        <v>8</v>
      </c>
      <c r="W14" s="20">
        <v>60</v>
      </c>
      <c r="X14" s="17">
        <v>8</v>
      </c>
      <c r="Y14" s="3"/>
      <c r="Z14" s="3"/>
      <c r="AA14" s="20"/>
      <c r="AB14" s="3"/>
      <c r="AC14" s="3"/>
      <c r="AD14" s="20"/>
      <c r="AE14" s="3"/>
      <c r="AF14" s="3"/>
      <c r="AG14" s="20"/>
      <c r="AH14" s="107" t="s">
        <v>85</v>
      </c>
      <c r="AI14" s="107"/>
      <c r="AJ14" s="107"/>
      <c r="AK14" s="107"/>
      <c r="AL14" s="108"/>
      <c r="AN14" s="67">
        <f t="shared" si="2"/>
        <v>-0.11033201829951622</v>
      </c>
      <c r="AO14" s="67">
        <f t="shared" si="2"/>
        <v>-4.5470324654772298E-2</v>
      </c>
      <c r="AP14" s="67">
        <f t="shared" si="2"/>
        <v>-0.64889544651151709</v>
      </c>
      <c r="AY14" s="67">
        <f t="shared" si="0"/>
        <v>303.11033201829952</v>
      </c>
      <c r="AZ14" s="67">
        <f t="shared" si="1"/>
        <v>87.045470324654772</v>
      </c>
      <c r="BA14" s="67">
        <f t="shared" si="3"/>
        <v>242.64889544651152</v>
      </c>
      <c r="BC14">
        <f t="shared" si="4"/>
        <v>34.822068384234633</v>
      </c>
      <c r="BD14">
        <v>1013.2</v>
      </c>
      <c r="BE14">
        <f t="shared" si="5"/>
        <v>31.480396167633955</v>
      </c>
    </row>
    <row r="15" spans="1:57" x14ac:dyDescent="0.2">
      <c r="A15" s="13">
        <v>6</v>
      </c>
      <c r="B15" s="3">
        <v>3</v>
      </c>
      <c r="C15" s="17">
        <v>3</v>
      </c>
      <c r="D15" s="3">
        <v>4</v>
      </c>
      <c r="E15" s="18">
        <v>10</v>
      </c>
      <c r="F15" s="18">
        <v>15</v>
      </c>
      <c r="G15" s="18">
        <v>78</v>
      </c>
      <c r="H15" s="19">
        <v>2</v>
      </c>
      <c r="I15" s="18"/>
      <c r="J15" s="18"/>
      <c r="K15" s="20">
        <v>126</v>
      </c>
      <c r="L15" s="18">
        <v>266</v>
      </c>
      <c r="M15" s="18">
        <v>245</v>
      </c>
      <c r="N15" s="18">
        <v>290</v>
      </c>
      <c r="O15" s="18">
        <v>82</v>
      </c>
      <c r="P15" s="18">
        <v>235</v>
      </c>
      <c r="Q15" s="17">
        <v>3</v>
      </c>
      <c r="R15" s="17">
        <v>2</v>
      </c>
      <c r="S15" s="17">
        <v>0</v>
      </c>
      <c r="T15" s="17">
        <v>0</v>
      </c>
      <c r="U15" s="17">
        <v>3</v>
      </c>
      <c r="V15" s="3">
        <v>8</v>
      </c>
      <c r="W15" s="20">
        <v>60</v>
      </c>
      <c r="X15" s="17">
        <v>8</v>
      </c>
      <c r="Y15" s="3"/>
      <c r="Z15" s="3"/>
      <c r="AA15" s="20"/>
      <c r="AB15" s="3"/>
      <c r="AC15" s="3"/>
      <c r="AD15" s="20"/>
      <c r="AE15" s="3"/>
      <c r="AF15" s="3"/>
      <c r="AG15" s="20"/>
      <c r="AH15" s="107"/>
      <c r="AI15" s="107"/>
      <c r="AJ15" s="107"/>
      <c r="AK15" s="107"/>
      <c r="AL15" s="108"/>
      <c r="AN15" s="67">
        <f t="shared" si="2"/>
        <v>-2.9233661866707052</v>
      </c>
      <c r="AO15" s="67">
        <f t="shared" si="2"/>
        <v>-2.1200364534603722</v>
      </c>
      <c r="AP15" s="67">
        <f t="shared" si="2"/>
        <v>-1.9643584258744227</v>
      </c>
      <c r="AY15" s="67">
        <f t="shared" si="0"/>
        <v>292.92336618667071</v>
      </c>
      <c r="AZ15" s="67">
        <f t="shared" si="1"/>
        <v>84.120036453460372</v>
      </c>
      <c r="BA15" s="67">
        <f t="shared" si="3"/>
        <v>236.96435842587442</v>
      </c>
      <c r="BC15">
        <f t="shared" si="4"/>
        <v>34.822068384234633</v>
      </c>
      <c r="BD15">
        <v>1013.2</v>
      </c>
      <c r="BE15">
        <f t="shared" si="5"/>
        <v>30.736197835927069</v>
      </c>
    </row>
    <row r="16" spans="1:57" x14ac:dyDescent="0.2">
      <c r="A16" s="13">
        <v>7</v>
      </c>
      <c r="B16" s="3">
        <v>3</v>
      </c>
      <c r="C16" s="17">
        <v>1</v>
      </c>
      <c r="D16" s="3">
        <v>4</v>
      </c>
      <c r="E16" s="18">
        <v>9</v>
      </c>
      <c r="F16" s="18">
        <v>7</v>
      </c>
      <c r="G16" s="18">
        <v>80</v>
      </c>
      <c r="H16" s="19">
        <v>2</v>
      </c>
      <c r="I16" s="18"/>
      <c r="J16" s="18"/>
      <c r="K16" s="20">
        <v>112</v>
      </c>
      <c r="L16" s="18">
        <v>262</v>
      </c>
      <c r="M16" s="18">
        <v>240</v>
      </c>
      <c r="N16" s="18">
        <v>281</v>
      </c>
      <c r="O16" s="18">
        <v>83</v>
      </c>
      <c r="P16" s="18">
        <v>230</v>
      </c>
      <c r="Q16" s="17">
        <v>1</v>
      </c>
      <c r="R16" s="17">
        <v>2</v>
      </c>
      <c r="S16" s="17">
        <v>0</v>
      </c>
      <c r="T16" s="17">
        <v>0</v>
      </c>
      <c r="U16" s="17">
        <v>1</v>
      </c>
      <c r="V16" s="3">
        <v>8</v>
      </c>
      <c r="W16" s="20">
        <v>63</v>
      </c>
      <c r="X16" s="17">
        <v>8</v>
      </c>
      <c r="Y16" s="3"/>
      <c r="Z16" s="3"/>
      <c r="AA16" s="20"/>
      <c r="AB16" s="3"/>
      <c r="AC16" s="3"/>
      <c r="AD16" s="20"/>
      <c r="AE16" s="3"/>
      <c r="AF16" s="3"/>
      <c r="AG16" s="20"/>
      <c r="AH16" s="107"/>
      <c r="AI16" s="107"/>
      <c r="AJ16" s="107"/>
      <c r="AK16" s="107"/>
      <c r="AL16" s="108"/>
      <c r="AN16" s="67">
        <f t="shared" si="2"/>
        <v>-2.1586912166206389</v>
      </c>
      <c r="AO16" s="67">
        <f t="shared" si="2"/>
        <v>-0.2597120434179061</v>
      </c>
      <c r="AP16" s="67">
        <f t="shared" si="2"/>
        <v>-1.3505520676229139</v>
      </c>
      <c r="AY16" s="67">
        <f t="shared" si="0"/>
        <v>283.15869121662064</v>
      </c>
      <c r="AZ16" s="67">
        <f t="shared" si="1"/>
        <v>83.259712043417906</v>
      </c>
      <c r="BA16" s="67">
        <f t="shared" si="3"/>
        <v>231.35055206762291</v>
      </c>
      <c r="BC16">
        <f t="shared" si="4"/>
        <v>34.009088461531107</v>
      </c>
      <c r="BD16">
        <v>1013.2</v>
      </c>
      <c r="BE16">
        <f t="shared" si="5"/>
        <v>29.827639714302066</v>
      </c>
    </row>
    <row r="17" spans="1:57" x14ac:dyDescent="0.2">
      <c r="A17" s="13">
        <v>8</v>
      </c>
      <c r="B17" s="3">
        <v>3</v>
      </c>
      <c r="C17" s="17">
        <v>1</v>
      </c>
      <c r="D17" s="3">
        <v>4</v>
      </c>
      <c r="E17" s="18">
        <v>9</v>
      </c>
      <c r="F17" s="18">
        <v>15</v>
      </c>
      <c r="G17" s="18">
        <v>78</v>
      </c>
      <c r="H17" s="19">
        <v>2</v>
      </c>
      <c r="I17" s="18"/>
      <c r="J17" s="18"/>
      <c r="K17" s="20">
        <v>105</v>
      </c>
      <c r="L17" s="18">
        <v>265</v>
      </c>
      <c r="M17" s="18">
        <v>240</v>
      </c>
      <c r="N17" s="18">
        <v>279</v>
      </c>
      <c r="O17" s="18">
        <v>81</v>
      </c>
      <c r="P17" s="18">
        <v>229</v>
      </c>
      <c r="Q17" s="17">
        <v>1</v>
      </c>
      <c r="R17" s="17">
        <v>1</v>
      </c>
      <c r="S17" s="17">
        <v>0</v>
      </c>
      <c r="T17" s="17">
        <v>1</v>
      </c>
      <c r="U17" s="17">
        <v>1</v>
      </c>
      <c r="V17" s="3">
        <v>8</v>
      </c>
      <c r="W17" s="20">
        <v>69</v>
      </c>
      <c r="X17" s="17">
        <v>8</v>
      </c>
      <c r="Y17" s="3"/>
      <c r="Z17" s="3"/>
      <c r="AA17" s="20"/>
      <c r="AB17" s="3"/>
      <c r="AC17" s="3"/>
      <c r="AD17" s="20"/>
      <c r="AE17" s="3"/>
      <c r="AF17" s="3"/>
      <c r="AG17" s="20"/>
      <c r="AH17" s="107"/>
      <c r="AI17" s="107"/>
      <c r="AJ17" s="107"/>
      <c r="AK17" s="107"/>
      <c r="AL17" s="108"/>
      <c r="AN17" s="67">
        <f t="shared" si="2"/>
        <v>-2.097185863020627</v>
      </c>
      <c r="AO17" s="67">
        <f t="shared" si="2"/>
        <v>-0.20148599099951525</v>
      </c>
      <c r="AP17" s="67">
        <f t="shared" si="2"/>
        <v>-1.1437315896329778</v>
      </c>
      <c r="AY17" s="67">
        <f t="shared" si="0"/>
        <v>281.09718586302063</v>
      </c>
      <c r="AZ17" s="67">
        <f t="shared" si="1"/>
        <v>81.201485990999515</v>
      </c>
      <c r="BA17" s="67">
        <f t="shared" si="3"/>
        <v>230.14373158963298</v>
      </c>
      <c r="BC17">
        <f t="shared" si="4"/>
        <v>34.617246523564582</v>
      </c>
      <c r="BD17">
        <v>1013.2</v>
      </c>
      <c r="BE17">
        <f t="shared" si="5"/>
        <v>29.827639714302066</v>
      </c>
    </row>
    <row r="18" spans="1:57" x14ac:dyDescent="0.2">
      <c r="A18" s="13">
        <v>9</v>
      </c>
      <c r="B18" s="3">
        <v>3</v>
      </c>
      <c r="C18" s="17">
        <v>3</v>
      </c>
      <c r="D18" s="3">
        <v>4</v>
      </c>
      <c r="E18" s="18">
        <v>9</v>
      </c>
      <c r="F18" s="18">
        <v>12</v>
      </c>
      <c r="G18" s="18">
        <v>72</v>
      </c>
      <c r="H18" s="19">
        <v>1</v>
      </c>
      <c r="I18" s="18">
        <v>5</v>
      </c>
      <c r="J18" s="18">
        <v>0</v>
      </c>
      <c r="K18" s="20">
        <v>113</v>
      </c>
      <c r="L18" s="18">
        <v>268</v>
      </c>
      <c r="M18" s="18">
        <v>245</v>
      </c>
      <c r="N18" s="18">
        <v>290</v>
      </c>
      <c r="O18" s="18">
        <v>82</v>
      </c>
      <c r="P18" s="18">
        <v>235</v>
      </c>
      <c r="Q18" s="17">
        <v>3</v>
      </c>
      <c r="R18" s="17">
        <v>2</v>
      </c>
      <c r="S18" s="17">
        <v>0</v>
      </c>
      <c r="T18" s="17">
        <v>0</v>
      </c>
      <c r="U18" s="17">
        <v>3</v>
      </c>
      <c r="V18" s="3">
        <v>8</v>
      </c>
      <c r="W18" s="20">
        <v>54</v>
      </c>
      <c r="X18" s="17">
        <v>8</v>
      </c>
      <c r="Y18" s="3"/>
      <c r="Z18" s="3"/>
      <c r="AA18" s="20"/>
      <c r="AB18" s="3"/>
      <c r="AC18" s="3"/>
      <c r="AD18" s="20"/>
      <c r="AE18" s="3"/>
      <c r="AF18" s="3"/>
      <c r="AG18" s="20"/>
      <c r="AH18" s="107" t="s">
        <v>85</v>
      </c>
      <c r="AI18" s="107"/>
      <c r="AJ18" s="107"/>
      <c r="AK18" s="107"/>
      <c r="AL18" s="108"/>
      <c r="AN18" s="67">
        <f t="shared" si="2"/>
        <v>-1.5482602654706739</v>
      </c>
      <c r="AO18" s="67">
        <f t="shared" si="2"/>
        <v>-0.74418656868023447</v>
      </c>
      <c r="AP18" s="67">
        <f t="shared" si="2"/>
        <v>-1.1838053580768531</v>
      </c>
      <c r="AY18" s="67">
        <f t="shared" si="0"/>
        <v>291.54826026547067</v>
      </c>
      <c r="AZ18" s="67">
        <f t="shared" si="1"/>
        <v>82.744186568680234</v>
      </c>
      <c r="BA18" s="67">
        <f t="shared" si="3"/>
        <v>236.18380535807685</v>
      </c>
      <c r="BC18">
        <f t="shared" si="4"/>
        <v>35.234893514056914</v>
      </c>
      <c r="BD18">
        <v>1013.2</v>
      </c>
      <c r="BE18">
        <f t="shared" si="5"/>
        <v>30.736197835927069</v>
      </c>
    </row>
    <row r="19" spans="1:57" x14ac:dyDescent="0.2">
      <c r="A19" s="13">
        <v>10</v>
      </c>
      <c r="B19" s="3">
        <v>3</v>
      </c>
      <c r="C19" s="17">
        <v>3</v>
      </c>
      <c r="D19" s="3">
        <v>4</v>
      </c>
      <c r="E19" s="18">
        <v>7</v>
      </c>
      <c r="F19" s="18">
        <v>7</v>
      </c>
      <c r="G19" s="18">
        <v>75</v>
      </c>
      <c r="H19" s="19">
        <v>2</v>
      </c>
      <c r="I19" s="18"/>
      <c r="J19" s="18"/>
      <c r="K19" s="20">
        <v>108</v>
      </c>
      <c r="L19" s="18">
        <v>257</v>
      </c>
      <c r="M19" s="18">
        <v>243</v>
      </c>
      <c r="N19" s="18">
        <v>294</v>
      </c>
      <c r="O19" s="18">
        <v>88</v>
      </c>
      <c r="P19" s="18">
        <v>237</v>
      </c>
      <c r="Q19" s="17">
        <v>3</v>
      </c>
      <c r="R19" s="17">
        <v>2</v>
      </c>
      <c r="S19" s="17">
        <v>0</v>
      </c>
      <c r="T19" s="17">
        <v>1</v>
      </c>
      <c r="U19" s="17">
        <v>3</v>
      </c>
      <c r="V19" s="3">
        <v>8</v>
      </c>
      <c r="W19" s="20">
        <v>60</v>
      </c>
      <c r="X19" s="17">
        <v>8</v>
      </c>
      <c r="Y19" s="3"/>
      <c r="Z19" s="3"/>
      <c r="AA19" s="20"/>
      <c r="AB19" s="3"/>
      <c r="AC19" s="3"/>
      <c r="AD19" s="20"/>
      <c r="AE19" s="3"/>
      <c r="AF19" s="3"/>
      <c r="AG19" s="20"/>
      <c r="AH19" s="107"/>
      <c r="AI19" s="107"/>
      <c r="AJ19" s="107"/>
      <c r="AK19" s="107"/>
      <c r="AL19" s="108"/>
      <c r="AN19" s="67">
        <f t="shared" si="2"/>
        <v>-7.549469695817379E-2</v>
      </c>
      <c r="AO19" s="67">
        <f t="shared" si="2"/>
        <v>-1.0699451923083387</v>
      </c>
      <c r="AP19" s="67">
        <f t="shared" si="2"/>
        <v>-0.61587565974977565</v>
      </c>
      <c r="AY19" s="67">
        <f t="shared" si="0"/>
        <v>294.07549469695817</v>
      </c>
      <c r="AZ19" s="67">
        <f t="shared" si="1"/>
        <v>89.069945192308339</v>
      </c>
      <c r="BA19" s="67">
        <f t="shared" si="3"/>
        <v>237.61587565974978</v>
      </c>
      <c r="BC19">
        <f t="shared" si="4"/>
        <v>33.016242915837466</v>
      </c>
      <c r="BD19">
        <v>1013.2</v>
      </c>
      <c r="BE19">
        <f t="shared" si="5"/>
        <v>30.369908289271816</v>
      </c>
    </row>
    <row r="20" spans="1:57" x14ac:dyDescent="0.2">
      <c r="A20" s="13">
        <v>11</v>
      </c>
      <c r="B20" s="3">
        <v>3</v>
      </c>
      <c r="C20" s="17">
        <v>2</v>
      </c>
      <c r="D20" s="3">
        <v>4</v>
      </c>
      <c r="E20" s="18">
        <v>0</v>
      </c>
      <c r="F20" s="18">
        <v>0</v>
      </c>
      <c r="G20" s="18">
        <v>78</v>
      </c>
      <c r="H20" s="19">
        <v>2</v>
      </c>
      <c r="I20" s="18"/>
      <c r="J20" s="18"/>
      <c r="K20" s="20">
        <v>91</v>
      </c>
      <c r="L20" s="18">
        <v>257</v>
      </c>
      <c r="M20" s="18">
        <v>242</v>
      </c>
      <c r="N20" s="18">
        <v>294</v>
      </c>
      <c r="O20" s="18">
        <v>88</v>
      </c>
      <c r="P20" s="18">
        <v>237</v>
      </c>
      <c r="Q20" s="17">
        <v>1</v>
      </c>
      <c r="R20" s="17">
        <v>2</v>
      </c>
      <c r="S20" s="17">
        <v>0</v>
      </c>
      <c r="T20" s="17">
        <v>1</v>
      </c>
      <c r="U20" s="17">
        <v>1</v>
      </c>
      <c r="V20" s="3">
        <v>8</v>
      </c>
      <c r="W20" s="20">
        <v>63</v>
      </c>
      <c r="X20" s="17">
        <v>8</v>
      </c>
      <c r="Y20" s="3"/>
      <c r="Z20" s="3"/>
      <c r="AA20" s="20"/>
      <c r="AB20" s="3"/>
      <c r="AC20" s="3"/>
      <c r="AD20" s="20"/>
      <c r="AE20" s="3"/>
      <c r="AF20" s="3"/>
      <c r="AG20" s="20"/>
      <c r="AH20" s="107"/>
      <c r="AI20" s="107"/>
      <c r="AJ20" s="107"/>
      <c r="AK20" s="107"/>
      <c r="AL20" s="108"/>
      <c r="AN20" s="67">
        <f t="shared" si="2"/>
        <v>2.427824650992136</v>
      </c>
      <c r="AO20" s="67">
        <f t="shared" si="2"/>
        <v>-0.31173676915990711</v>
      </c>
      <c r="AP20" s="67">
        <f t="shared" si="2"/>
        <v>0.80259216871823469</v>
      </c>
      <c r="AY20" s="67">
        <f t="shared" si="0"/>
        <v>291.57217534900786</v>
      </c>
      <c r="AZ20" s="67">
        <f t="shared" si="1"/>
        <v>88.311736769159907</v>
      </c>
      <c r="BA20" s="67">
        <f t="shared" si="3"/>
        <v>236.19740783128177</v>
      </c>
      <c r="BC20">
        <f t="shared" si="4"/>
        <v>33.016242915837466</v>
      </c>
      <c r="BD20">
        <v>1013.2</v>
      </c>
      <c r="BE20">
        <f t="shared" si="5"/>
        <v>30.188200917340787</v>
      </c>
    </row>
    <row r="21" spans="1:57" x14ac:dyDescent="0.2">
      <c r="A21" s="13">
        <v>12</v>
      </c>
      <c r="B21" s="3">
        <v>3</v>
      </c>
      <c r="C21" s="17">
        <v>4</v>
      </c>
      <c r="D21" s="3">
        <v>4</v>
      </c>
      <c r="E21" s="18">
        <v>0</v>
      </c>
      <c r="F21" s="18">
        <v>0</v>
      </c>
      <c r="G21" s="18">
        <v>70</v>
      </c>
      <c r="H21" s="19">
        <v>1</v>
      </c>
      <c r="I21" s="18">
        <v>15</v>
      </c>
      <c r="J21" s="18">
        <v>11</v>
      </c>
      <c r="K21" s="20">
        <v>96</v>
      </c>
      <c r="L21" s="18">
        <v>245</v>
      </c>
      <c r="M21" s="18">
        <v>235</v>
      </c>
      <c r="N21" s="18">
        <v>281</v>
      </c>
      <c r="O21" s="18">
        <v>92</v>
      </c>
      <c r="P21" s="18">
        <v>230</v>
      </c>
      <c r="Q21" s="17">
        <v>2</v>
      </c>
      <c r="R21" s="17">
        <v>8</v>
      </c>
      <c r="S21" s="17">
        <v>6</v>
      </c>
      <c r="T21" s="17">
        <v>1</v>
      </c>
      <c r="U21" s="17">
        <v>1</v>
      </c>
      <c r="V21" s="3">
        <v>8</v>
      </c>
      <c r="W21" s="20">
        <v>54</v>
      </c>
      <c r="X21" s="17">
        <v>8</v>
      </c>
      <c r="Y21" s="17">
        <v>3</v>
      </c>
      <c r="Z21" s="17">
        <v>0</v>
      </c>
      <c r="AA21" s="20">
        <v>840</v>
      </c>
      <c r="AB21" s="3"/>
      <c r="AC21" s="3"/>
      <c r="AD21" s="20"/>
      <c r="AE21" s="3"/>
      <c r="AF21" s="3"/>
      <c r="AG21" s="20"/>
      <c r="AH21" s="107" t="s">
        <v>88</v>
      </c>
      <c r="AI21" s="107"/>
      <c r="AJ21" s="107"/>
      <c r="AK21" s="107"/>
      <c r="AL21" s="108"/>
      <c r="AN21" s="67">
        <f t="shared" si="2"/>
        <v>-1.5590174016500669</v>
      </c>
      <c r="AO21" s="67">
        <f t="shared" si="2"/>
        <v>6.9625621887681177E-2</v>
      </c>
      <c r="AP21" s="67">
        <f t="shared" si="2"/>
        <v>-1.0002946068011056</v>
      </c>
      <c r="AY21" s="67">
        <f t="shared" si="0"/>
        <v>282.55901740165007</v>
      </c>
      <c r="AZ21" s="67">
        <f t="shared" si="1"/>
        <v>91.930374378112319</v>
      </c>
      <c r="BA21" s="67">
        <f t="shared" si="3"/>
        <v>231.00029460680111</v>
      </c>
      <c r="BC21">
        <f t="shared" si="4"/>
        <v>30.736197835927069</v>
      </c>
      <c r="BD21">
        <v>1013.2</v>
      </c>
      <c r="BE21">
        <f t="shared" si="5"/>
        <v>28.94268568196501</v>
      </c>
    </row>
    <row r="22" spans="1:57" x14ac:dyDescent="0.2">
      <c r="A22" s="13">
        <v>13</v>
      </c>
      <c r="B22" s="3">
        <v>3</v>
      </c>
      <c r="C22" s="17">
        <v>6</v>
      </c>
      <c r="D22" s="3">
        <v>4</v>
      </c>
      <c r="E22" s="18">
        <v>0</v>
      </c>
      <c r="F22" s="18">
        <v>0</v>
      </c>
      <c r="G22" s="18">
        <v>75</v>
      </c>
      <c r="H22" s="19">
        <v>2</v>
      </c>
      <c r="I22" s="18"/>
      <c r="J22" s="18"/>
      <c r="K22" s="20">
        <v>111</v>
      </c>
      <c r="L22" s="18">
        <v>262</v>
      </c>
      <c r="M22" s="18">
        <v>230</v>
      </c>
      <c r="N22" s="18">
        <v>255</v>
      </c>
      <c r="O22" s="18">
        <v>75</v>
      </c>
      <c r="P22" s="18">
        <v>214</v>
      </c>
      <c r="Q22" s="17">
        <v>2</v>
      </c>
      <c r="R22" s="17">
        <v>8</v>
      </c>
      <c r="S22" s="17">
        <v>0</v>
      </c>
      <c r="T22" s="17">
        <v>2</v>
      </c>
      <c r="U22" s="17">
        <v>1</v>
      </c>
      <c r="V22" s="3">
        <v>8</v>
      </c>
      <c r="W22" s="20">
        <v>63</v>
      </c>
      <c r="X22" s="17">
        <v>8</v>
      </c>
      <c r="Y22" s="17">
        <v>6</v>
      </c>
      <c r="Z22" s="17">
        <v>0</v>
      </c>
      <c r="AA22" s="20">
        <v>840</v>
      </c>
      <c r="AB22" s="3"/>
      <c r="AC22" s="3"/>
      <c r="AD22" s="20"/>
      <c r="AE22" s="3"/>
      <c r="AF22" s="3"/>
      <c r="AG22" s="20"/>
      <c r="AH22" s="107"/>
      <c r="AI22" s="107"/>
      <c r="AJ22" s="107"/>
      <c r="AK22" s="107"/>
      <c r="AL22" s="108"/>
      <c r="AN22" s="67">
        <f t="shared" si="2"/>
        <v>-3.843354265314133</v>
      </c>
      <c r="AO22" s="67">
        <f t="shared" si="2"/>
        <v>-1.1100535105788225</v>
      </c>
      <c r="AP22" s="67">
        <f t="shared" si="2"/>
        <v>-2.5972152604305165</v>
      </c>
      <c r="AY22" s="67">
        <f t="shared" si="0"/>
        <v>258.84335426531413</v>
      </c>
      <c r="AZ22" s="67">
        <f t="shared" si="1"/>
        <v>76.110053510578823</v>
      </c>
      <c r="BA22" s="67">
        <f t="shared" si="3"/>
        <v>216.59721526043052</v>
      </c>
      <c r="BC22">
        <f t="shared" si="4"/>
        <v>34.009088461531107</v>
      </c>
      <c r="BD22">
        <v>1013.2</v>
      </c>
      <c r="BE22">
        <f t="shared" si="5"/>
        <v>28.080813610211415</v>
      </c>
    </row>
    <row r="23" spans="1:57" x14ac:dyDescent="0.2">
      <c r="A23" s="13">
        <v>14</v>
      </c>
      <c r="B23" s="3">
        <v>3</v>
      </c>
      <c r="C23" s="17">
        <v>3</v>
      </c>
      <c r="D23" s="3">
        <v>4</v>
      </c>
      <c r="E23" s="18">
        <v>7</v>
      </c>
      <c r="F23" s="18">
        <v>9</v>
      </c>
      <c r="G23" s="18">
        <v>75</v>
      </c>
      <c r="H23" s="19">
        <v>2</v>
      </c>
      <c r="I23" s="18"/>
      <c r="J23" s="18"/>
      <c r="K23" s="20">
        <v>124</v>
      </c>
      <c r="L23" s="18">
        <v>256</v>
      </c>
      <c r="M23" s="18">
        <v>235</v>
      </c>
      <c r="N23" s="18">
        <v>276</v>
      </c>
      <c r="O23" s="18">
        <v>83</v>
      </c>
      <c r="P23" s="18">
        <v>225</v>
      </c>
      <c r="Q23" s="17">
        <v>2</v>
      </c>
      <c r="R23" s="17">
        <v>2</v>
      </c>
      <c r="S23" s="17">
        <v>0</v>
      </c>
      <c r="T23" s="17">
        <v>1</v>
      </c>
      <c r="U23" s="17">
        <v>2</v>
      </c>
      <c r="V23" s="3">
        <v>8</v>
      </c>
      <c r="W23" s="20">
        <v>60</v>
      </c>
      <c r="X23" s="17">
        <v>8</v>
      </c>
      <c r="Y23" s="3"/>
      <c r="Z23" s="3"/>
      <c r="AA23" s="20"/>
      <c r="AB23" s="3"/>
      <c r="AC23" s="3"/>
      <c r="AD23" s="20"/>
      <c r="AE23" s="3"/>
      <c r="AF23" s="3"/>
      <c r="AG23" s="20"/>
      <c r="AH23" s="107"/>
      <c r="AI23" s="107"/>
      <c r="AJ23" s="107"/>
      <c r="AK23" s="107"/>
      <c r="AL23" s="108"/>
      <c r="AN23" s="67">
        <f t="shared" si="2"/>
        <v>0.99560595814989483</v>
      </c>
      <c r="AO23" s="67">
        <f t="shared" si="2"/>
        <v>-0.7898065906638152</v>
      </c>
      <c r="AP23" s="67">
        <f t="shared" si="2"/>
        <v>-1.5310786080211756</v>
      </c>
      <c r="AY23" s="67">
        <f t="shared" si="0"/>
        <v>275.00439404185011</v>
      </c>
      <c r="AZ23" s="67">
        <f t="shared" si="1"/>
        <v>83.789806590663815</v>
      </c>
      <c r="BA23" s="67">
        <f t="shared" si="3"/>
        <v>226.53107860802118</v>
      </c>
      <c r="BC23">
        <f t="shared" si="4"/>
        <v>32.820745772253893</v>
      </c>
      <c r="BD23">
        <v>1013.2</v>
      </c>
      <c r="BE23">
        <f t="shared" si="5"/>
        <v>28.94268568196501</v>
      </c>
    </row>
    <row r="24" spans="1:57" x14ac:dyDescent="0.2">
      <c r="A24" s="13">
        <v>15</v>
      </c>
      <c r="B24" s="3">
        <v>3</v>
      </c>
      <c r="C24" s="17">
        <v>4</v>
      </c>
      <c r="D24" s="3">
        <v>4</v>
      </c>
      <c r="E24" s="18">
        <v>6</v>
      </c>
      <c r="F24" s="18">
        <v>5</v>
      </c>
      <c r="G24" s="18">
        <v>78</v>
      </c>
      <c r="H24" s="19">
        <v>2</v>
      </c>
      <c r="I24" s="18"/>
      <c r="J24" s="18"/>
      <c r="K24" s="20">
        <v>110</v>
      </c>
      <c r="L24" s="18">
        <v>256</v>
      </c>
      <c r="M24" s="18">
        <v>233</v>
      </c>
      <c r="N24" s="18">
        <v>268</v>
      </c>
      <c r="O24" s="18">
        <v>81</v>
      </c>
      <c r="P24" s="18">
        <v>222</v>
      </c>
      <c r="Q24" s="17">
        <v>1</v>
      </c>
      <c r="R24" s="17">
        <v>2</v>
      </c>
      <c r="S24" s="17">
        <v>0</v>
      </c>
      <c r="T24" s="17">
        <v>1</v>
      </c>
      <c r="U24" s="17">
        <v>1</v>
      </c>
      <c r="V24" s="3">
        <v>8</v>
      </c>
      <c r="W24" s="20">
        <v>60</v>
      </c>
      <c r="X24" s="17">
        <v>8</v>
      </c>
      <c r="Y24" s="17">
        <v>3</v>
      </c>
      <c r="Z24" s="17">
        <v>0</v>
      </c>
      <c r="AA24" s="20">
        <v>840</v>
      </c>
      <c r="AB24" s="3"/>
      <c r="AC24" s="3"/>
      <c r="AD24" s="20"/>
      <c r="AE24" s="3"/>
      <c r="AF24" s="3"/>
      <c r="AG24" s="20"/>
      <c r="AH24" s="107"/>
      <c r="AI24" s="107"/>
      <c r="AJ24" s="107"/>
      <c r="AK24" s="107"/>
      <c r="AL24" s="108"/>
      <c r="AN24" s="67">
        <f t="shared" si="2"/>
        <v>-2.1594662547231565</v>
      </c>
      <c r="AO24" s="67">
        <f t="shared" si="2"/>
        <v>-1.313628133066814</v>
      </c>
      <c r="AP24" s="67">
        <f t="shared" si="2"/>
        <v>-1.6079225523456842</v>
      </c>
      <c r="AY24" s="67">
        <f t="shared" si="0"/>
        <v>270.15946625472316</v>
      </c>
      <c r="AZ24" s="67">
        <f t="shared" si="1"/>
        <v>82.313628133066814</v>
      </c>
      <c r="BA24" s="67">
        <f t="shared" si="3"/>
        <v>223.60792255234568</v>
      </c>
      <c r="BC24">
        <f t="shared" si="4"/>
        <v>32.820745772253893</v>
      </c>
      <c r="BD24">
        <v>1013.2</v>
      </c>
      <c r="BE24">
        <f t="shared" si="5"/>
        <v>28.595195942964317</v>
      </c>
    </row>
    <row r="25" spans="1:57" x14ac:dyDescent="0.2">
      <c r="A25" s="13">
        <v>16</v>
      </c>
      <c r="B25" s="3">
        <v>3</v>
      </c>
      <c r="C25" s="17">
        <v>3</v>
      </c>
      <c r="D25" s="3">
        <v>4</v>
      </c>
      <c r="E25" s="18">
        <v>0</v>
      </c>
      <c r="F25" s="18">
        <v>0</v>
      </c>
      <c r="G25" s="18">
        <v>72</v>
      </c>
      <c r="H25" s="19">
        <v>1</v>
      </c>
      <c r="I25" s="18">
        <v>6</v>
      </c>
      <c r="J25" s="18">
        <v>11</v>
      </c>
      <c r="K25" s="20">
        <v>113</v>
      </c>
      <c r="L25" s="18">
        <v>255</v>
      </c>
      <c r="M25" s="18">
        <v>238</v>
      </c>
      <c r="N25" s="18">
        <v>281</v>
      </c>
      <c r="O25" s="18">
        <v>86</v>
      </c>
      <c r="P25" s="18">
        <v>230</v>
      </c>
      <c r="Q25" s="17">
        <v>1</v>
      </c>
      <c r="R25" s="17">
        <v>2</v>
      </c>
      <c r="S25" s="17">
        <v>0</v>
      </c>
      <c r="T25" s="17">
        <v>1</v>
      </c>
      <c r="U25" s="17">
        <v>1</v>
      </c>
      <c r="V25" s="3">
        <v>8</v>
      </c>
      <c r="W25" s="20">
        <v>54</v>
      </c>
      <c r="X25" s="17">
        <v>8</v>
      </c>
      <c r="Y25" s="17">
        <v>3</v>
      </c>
      <c r="Z25" s="17">
        <v>0</v>
      </c>
      <c r="AA25" s="20">
        <v>840</v>
      </c>
      <c r="AB25" s="3"/>
      <c r="AC25" s="3"/>
      <c r="AD25" s="20"/>
      <c r="AE25" s="3"/>
      <c r="AF25" s="3"/>
      <c r="AG25" s="20"/>
      <c r="AH25" s="107" t="s">
        <v>85</v>
      </c>
      <c r="AI25" s="107"/>
      <c r="AJ25" s="107"/>
      <c r="AK25" s="107"/>
      <c r="AL25" s="108"/>
      <c r="AN25" s="67">
        <f t="shared" si="2"/>
        <v>-2.0293015924083306</v>
      </c>
      <c r="AO25" s="67">
        <f t="shared" si="2"/>
        <v>-0.74892032223245053</v>
      </c>
      <c r="AP25" s="67">
        <f t="shared" si="2"/>
        <v>-1.275033198592439</v>
      </c>
      <c r="AY25" s="67">
        <f t="shared" si="0"/>
        <v>283.02930159240833</v>
      </c>
      <c r="AZ25" s="67">
        <f t="shared" si="1"/>
        <v>86.748920322232451</v>
      </c>
      <c r="BA25" s="67">
        <f t="shared" si="3"/>
        <v>231.27503319859244</v>
      </c>
      <c r="BC25">
        <f t="shared" si="4"/>
        <v>32.626262153014039</v>
      </c>
      <c r="BD25">
        <v>1013.2</v>
      </c>
      <c r="BE25">
        <f t="shared" si="5"/>
        <v>29.470855059888834</v>
      </c>
    </row>
    <row r="26" spans="1:57" x14ac:dyDescent="0.2">
      <c r="A26" s="13">
        <v>17</v>
      </c>
      <c r="B26" s="3">
        <v>3</v>
      </c>
      <c r="C26" s="17">
        <v>7</v>
      </c>
      <c r="D26" s="3">
        <v>4</v>
      </c>
      <c r="E26" s="18">
        <v>10</v>
      </c>
      <c r="F26" s="18">
        <v>13</v>
      </c>
      <c r="G26" s="18">
        <v>75</v>
      </c>
      <c r="H26" s="19">
        <v>2</v>
      </c>
      <c r="I26" s="18"/>
      <c r="J26" s="18"/>
      <c r="K26" s="20">
        <v>130</v>
      </c>
      <c r="L26" s="18">
        <v>262</v>
      </c>
      <c r="M26" s="18">
        <v>242</v>
      </c>
      <c r="N26" s="18">
        <v>286</v>
      </c>
      <c r="O26" s="18">
        <v>84</v>
      </c>
      <c r="P26" s="18">
        <v>233</v>
      </c>
      <c r="Q26" s="17">
        <v>4</v>
      </c>
      <c r="R26" s="17">
        <v>8</v>
      </c>
      <c r="S26" s="17">
        <v>0</v>
      </c>
      <c r="T26" s="17">
        <v>2</v>
      </c>
      <c r="U26" s="17">
        <v>3</v>
      </c>
      <c r="V26" s="3">
        <v>8</v>
      </c>
      <c r="W26" s="20">
        <v>54</v>
      </c>
      <c r="X26" s="17">
        <v>8</v>
      </c>
      <c r="Y26" s="17">
        <v>6</v>
      </c>
      <c r="Z26" s="17">
        <v>0</v>
      </c>
      <c r="AA26" s="20">
        <v>840</v>
      </c>
      <c r="AB26" s="3"/>
      <c r="AC26" s="3"/>
      <c r="AD26" s="20"/>
      <c r="AE26" s="3"/>
      <c r="AF26" s="3"/>
      <c r="AG26" s="20"/>
      <c r="AH26" s="107"/>
      <c r="AI26" s="107"/>
      <c r="AJ26" s="107"/>
      <c r="AK26" s="107"/>
      <c r="AL26" s="108"/>
      <c r="AN26" s="67">
        <f t="shared" si="2"/>
        <v>-2.1355640742078776</v>
      </c>
      <c r="AO26" s="67">
        <f t="shared" si="2"/>
        <v>-0.72310700127358984</v>
      </c>
      <c r="AP26" s="67">
        <f t="shared" si="2"/>
        <v>-1.2326307195714321</v>
      </c>
      <c r="AY26" s="67">
        <f t="shared" si="0"/>
        <v>288.13556407420788</v>
      </c>
      <c r="AZ26" s="67">
        <f t="shared" si="1"/>
        <v>84.72310700127359</v>
      </c>
      <c r="BA26" s="67">
        <f t="shared" si="3"/>
        <v>234.23263071957143</v>
      </c>
      <c r="BC26">
        <f t="shared" si="4"/>
        <v>34.009088461531107</v>
      </c>
      <c r="BD26">
        <v>1013.2</v>
      </c>
      <c r="BE26">
        <f t="shared" si="5"/>
        <v>30.188200917340787</v>
      </c>
    </row>
    <row r="27" spans="1:57" x14ac:dyDescent="0.2">
      <c r="A27" s="13">
        <v>18</v>
      </c>
      <c r="B27" s="3">
        <v>3</v>
      </c>
      <c r="C27" s="17">
        <v>6</v>
      </c>
      <c r="D27" s="3">
        <v>4</v>
      </c>
      <c r="E27" s="18">
        <v>5</v>
      </c>
      <c r="F27" s="18">
        <v>4</v>
      </c>
      <c r="G27" s="18">
        <v>70</v>
      </c>
      <c r="H27" s="19">
        <v>1</v>
      </c>
      <c r="I27" s="18">
        <v>5</v>
      </c>
      <c r="J27" s="18">
        <v>82</v>
      </c>
      <c r="K27" s="20">
        <v>135</v>
      </c>
      <c r="L27" s="18">
        <v>260</v>
      </c>
      <c r="M27" s="18">
        <v>250</v>
      </c>
      <c r="N27" s="18">
        <v>308</v>
      </c>
      <c r="O27" s="18">
        <v>92</v>
      </c>
      <c r="P27" s="18">
        <v>245</v>
      </c>
      <c r="Q27" s="17">
        <v>6</v>
      </c>
      <c r="R27" s="17">
        <v>8</v>
      </c>
      <c r="S27" s="17">
        <v>0</v>
      </c>
      <c r="T27" s="17">
        <v>1</v>
      </c>
      <c r="U27" s="17">
        <v>4</v>
      </c>
      <c r="V27" s="3">
        <v>8</v>
      </c>
      <c r="W27" s="20">
        <v>51</v>
      </c>
      <c r="X27" s="17">
        <v>8</v>
      </c>
      <c r="Y27" s="17">
        <v>5</v>
      </c>
      <c r="Z27" s="17">
        <v>6</v>
      </c>
      <c r="AA27" s="20">
        <v>114</v>
      </c>
      <c r="AB27" s="3"/>
      <c r="AC27" s="3"/>
      <c r="AD27" s="20"/>
      <c r="AE27" s="3"/>
      <c r="AF27" s="3"/>
      <c r="AG27" s="20"/>
      <c r="AH27" s="107" t="s">
        <v>110</v>
      </c>
      <c r="AI27" s="107"/>
      <c r="AJ27" s="107"/>
      <c r="AK27" s="107"/>
      <c r="AL27" s="108"/>
      <c r="AN27" s="67">
        <f t="shared" si="2"/>
        <v>-1.8095413961599434</v>
      </c>
      <c r="AO27" s="67">
        <f t="shared" si="2"/>
        <v>-0.18091271117155827</v>
      </c>
      <c r="AP27" s="67">
        <f t="shared" si="2"/>
        <v>-1.2966879432868836</v>
      </c>
      <c r="AY27" s="67">
        <f t="shared" si="0"/>
        <v>309.80954139615994</v>
      </c>
      <c r="AZ27" s="67">
        <f t="shared" si="1"/>
        <v>92.180912711171558</v>
      </c>
      <c r="BA27" s="67">
        <f t="shared" si="3"/>
        <v>246.29668794328688</v>
      </c>
      <c r="BC27">
        <f t="shared" si="4"/>
        <v>33.608860260136439</v>
      </c>
      <c r="BD27">
        <v>1013.2</v>
      </c>
      <c r="BE27">
        <f t="shared" si="5"/>
        <v>31.668891609615997</v>
      </c>
    </row>
    <row r="28" spans="1:57" x14ac:dyDescent="0.2">
      <c r="A28" s="13">
        <v>19</v>
      </c>
      <c r="B28" s="3">
        <v>3</v>
      </c>
      <c r="C28" s="17">
        <v>4</v>
      </c>
      <c r="D28" s="3">
        <v>4</v>
      </c>
      <c r="E28" s="18">
        <v>0</v>
      </c>
      <c r="F28" s="18">
        <v>0</v>
      </c>
      <c r="G28" s="18">
        <v>70</v>
      </c>
      <c r="H28" s="19">
        <v>1</v>
      </c>
      <c r="I28" s="18">
        <v>5</v>
      </c>
      <c r="J28" s="18">
        <v>11</v>
      </c>
      <c r="K28" s="20">
        <v>123</v>
      </c>
      <c r="L28" s="18">
        <v>257</v>
      </c>
      <c r="M28" s="18">
        <v>246</v>
      </c>
      <c r="N28" s="18">
        <v>300</v>
      </c>
      <c r="O28" s="18">
        <v>91</v>
      </c>
      <c r="P28" s="18">
        <v>241</v>
      </c>
      <c r="Q28" s="17">
        <v>2</v>
      </c>
      <c r="R28" s="17">
        <v>8</v>
      </c>
      <c r="S28" s="17">
        <v>0</v>
      </c>
      <c r="T28" s="17">
        <v>2</v>
      </c>
      <c r="U28" s="17">
        <v>2</v>
      </c>
      <c r="V28" s="3">
        <v>8</v>
      </c>
      <c r="W28" s="20">
        <v>54</v>
      </c>
      <c r="X28" s="17">
        <v>8</v>
      </c>
      <c r="Y28" s="3"/>
      <c r="Z28" s="3"/>
      <c r="AA28" s="20"/>
      <c r="AB28" s="3"/>
      <c r="AC28" s="3"/>
      <c r="AD28" s="20"/>
      <c r="AE28" s="3"/>
      <c r="AF28" s="3"/>
      <c r="AG28" s="20"/>
      <c r="AH28" s="107" t="s">
        <v>85</v>
      </c>
      <c r="AI28" s="107"/>
      <c r="AJ28" s="107"/>
      <c r="AK28" s="107"/>
      <c r="AL28" s="108"/>
      <c r="AN28" s="67">
        <f t="shared" si="2"/>
        <v>-1.6439571236497272</v>
      </c>
      <c r="AO28" s="67">
        <f t="shared" si="2"/>
        <v>-0.36229034072044897</v>
      </c>
      <c r="AP28" s="67">
        <f t="shared" si="2"/>
        <v>-0.84103266246557951</v>
      </c>
      <c r="AY28" s="67">
        <f t="shared" si="0"/>
        <v>301.64395712364973</v>
      </c>
      <c r="AZ28" s="67">
        <f t="shared" si="1"/>
        <v>91.362290340720449</v>
      </c>
      <c r="BA28" s="67">
        <f t="shared" si="3"/>
        <v>241.84103266246558</v>
      </c>
      <c r="BC28">
        <f t="shared" si="4"/>
        <v>33.016242915837466</v>
      </c>
      <c r="BD28">
        <v>1013.2</v>
      </c>
      <c r="BE28">
        <f t="shared" si="5"/>
        <v>30.920788561092973</v>
      </c>
    </row>
    <row r="29" spans="1:57" x14ac:dyDescent="0.2">
      <c r="A29" s="13">
        <v>20</v>
      </c>
      <c r="B29" s="3">
        <v>3</v>
      </c>
      <c r="C29" s="17">
        <v>7</v>
      </c>
      <c r="D29" s="3">
        <v>4</v>
      </c>
      <c r="E29" s="18">
        <v>12</v>
      </c>
      <c r="F29" s="18">
        <v>13</v>
      </c>
      <c r="G29" s="18">
        <v>72</v>
      </c>
      <c r="H29" s="19">
        <v>1</v>
      </c>
      <c r="I29" s="18">
        <v>15</v>
      </c>
      <c r="J29" s="18">
        <v>82</v>
      </c>
      <c r="K29" s="20">
        <v>118</v>
      </c>
      <c r="L29" s="18">
        <v>258</v>
      </c>
      <c r="M29" s="18">
        <v>249</v>
      </c>
      <c r="N29" s="18">
        <v>309</v>
      </c>
      <c r="O29" s="18">
        <v>93</v>
      </c>
      <c r="P29" s="18">
        <v>245</v>
      </c>
      <c r="Q29" s="17">
        <v>6</v>
      </c>
      <c r="R29" s="17">
        <v>8</v>
      </c>
      <c r="S29" s="17">
        <v>0</v>
      </c>
      <c r="T29" s="17">
        <v>2</v>
      </c>
      <c r="U29" s="17">
        <v>4</v>
      </c>
      <c r="V29" s="3">
        <v>8</v>
      </c>
      <c r="W29" s="20">
        <v>54</v>
      </c>
      <c r="X29" s="17">
        <v>8</v>
      </c>
      <c r="Y29" s="17">
        <v>3</v>
      </c>
      <c r="Z29" s="17">
        <v>6</v>
      </c>
      <c r="AA29" s="20">
        <v>105</v>
      </c>
      <c r="AB29" s="3"/>
      <c r="AC29" s="3"/>
      <c r="AD29" s="20"/>
      <c r="AE29" s="3"/>
      <c r="AF29" s="3"/>
      <c r="AG29" s="20"/>
      <c r="AH29" s="107" t="s">
        <v>125</v>
      </c>
      <c r="AI29" s="107"/>
      <c r="AJ29" s="107"/>
      <c r="AK29" s="107"/>
      <c r="AL29" s="108"/>
      <c r="AN29" s="67">
        <f t="shared" si="2"/>
        <v>0.38678343674041571</v>
      </c>
      <c r="AO29" s="67">
        <f t="shared" si="2"/>
        <v>7.9919085850008287E-2</v>
      </c>
      <c r="AP29" s="67">
        <f t="shared" si="2"/>
        <v>-0.6503737057624619</v>
      </c>
      <c r="AY29" s="67">
        <f t="shared" si="0"/>
        <v>308.61321656325958</v>
      </c>
      <c r="AZ29" s="67">
        <f t="shared" si="1"/>
        <v>92.920080914149992</v>
      </c>
      <c r="BA29" s="67">
        <f t="shared" si="3"/>
        <v>245.65037370576246</v>
      </c>
      <c r="BC29">
        <f t="shared" si="4"/>
        <v>33.212758052631393</v>
      </c>
      <c r="BD29">
        <v>1013.2</v>
      </c>
      <c r="BE29">
        <f t="shared" si="5"/>
        <v>31.480396167633955</v>
      </c>
    </row>
    <row r="30" spans="1:57" x14ac:dyDescent="0.2">
      <c r="A30" s="13">
        <v>21</v>
      </c>
      <c r="B30" s="3">
        <v>3</v>
      </c>
      <c r="C30" s="17">
        <v>3</v>
      </c>
      <c r="D30" s="3">
        <v>4</v>
      </c>
      <c r="E30" s="18">
        <v>9</v>
      </c>
      <c r="F30" s="18">
        <v>10</v>
      </c>
      <c r="G30" s="18">
        <v>68</v>
      </c>
      <c r="H30" s="19">
        <v>1</v>
      </c>
      <c r="I30" s="18">
        <v>5</v>
      </c>
      <c r="J30" s="18">
        <v>11</v>
      </c>
      <c r="K30" s="20">
        <v>109</v>
      </c>
      <c r="L30" s="18">
        <v>270</v>
      </c>
      <c r="M30" s="18">
        <v>247</v>
      </c>
      <c r="N30" s="18">
        <v>293</v>
      </c>
      <c r="O30" s="18">
        <v>82</v>
      </c>
      <c r="P30" s="18">
        <v>237</v>
      </c>
      <c r="Q30" s="17">
        <v>1</v>
      </c>
      <c r="R30" s="17">
        <v>1</v>
      </c>
      <c r="S30" s="17">
        <v>0</v>
      </c>
      <c r="T30" s="17">
        <v>1</v>
      </c>
      <c r="U30" s="17">
        <v>1</v>
      </c>
      <c r="V30" s="3">
        <v>8</v>
      </c>
      <c r="W30" s="20">
        <v>57</v>
      </c>
      <c r="X30" s="17">
        <v>8</v>
      </c>
      <c r="Y30" s="17">
        <v>3</v>
      </c>
      <c r="Z30" s="17">
        <v>0</v>
      </c>
      <c r="AA30" s="20">
        <v>900</v>
      </c>
      <c r="AB30" s="3"/>
      <c r="AC30" s="3"/>
      <c r="AD30" s="20"/>
      <c r="AE30" s="3"/>
      <c r="AF30" s="3"/>
      <c r="AG30" s="20"/>
      <c r="AH30" s="107" t="s">
        <v>85</v>
      </c>
      <c r="AI30" s="107"/>
      <c r="AJ30" s="107"/>
      <c r="AK30" s="107"/>
      <c r="AL30" s="108"/>
      <c r="AN30" s="67">
        <f t="shared" si="2"/>
        <v>-2.2462342187101854</v>
      </c>
      <c r="AO30" s="67">
        <f t="shared" si="2"/>
        <v>-0.81339194531973646</v>
      </c>
      <c r="AP30" s="67">
        <f t="shared" si="2"/>
        <v>-1.2756313741485314</v>
      </c>
      <c r="AY30" s="67">
        <f t="shared" si="0"/>
        <v>295.24623421871019</v>
      </c>
      <c r="AZ30" s="67">
        <f t="shared" si="1"/>
        <v>82.813391945319736</v>
      </c>
      <c r="BA30" s="67">
        <f t="shared" si="3"/>
        <v>238.27563137414853</v>
      </c>
      <c r="BC30">
        <f t="shared" si="4"/>
        <v>35.651991457330503</v>
      </c>
      <c r="BD30">
        <v>1013.2</v>
      </c>
      <c r="BE30">
        <f t="shared" si="5"/>
        <v>31.106348979899021</v>
      </c>
    </row>
    <row r="31" spans="1:57" x14ac:dyDescent="0.2">
      <c r="A31" s="13">
        <v>22</v>
      </c>
      <c r="B31" s="3">
        <v>3</v>
      </c>
      <c r="C31" s="17">
        <v>7</v>
      </c>
      <c r="D31" s="3">
        <v>4</v>
      </c>
      <c r="E31" s="18">
        <v>5</v>
      </c>
      <c r="F31" s="18">
        <v>12</v>
      </c>
      <c r="G31" s="18">
        <v>57</v>
      </c>
      <c r="H31" s="19">
        <v>1</v>
      </c>
      <c r="I31" s="18">
        <v>80</v>
      </c>
      <c r="J31" s="18">
        <v>22</v>
      </c>
      <c r="K31" s="20">
        <v>126</v>
      </c>
      <c r="L31" s="18">
        <v>240</v>
      </c>
      <c r="M31" s="18">
        <v>235</v>
      </c>
      <c r="N31" s="18">
        <v>286</v>
      </c>
      <c r="O31" s="18">
        <v>96</v>
      </c>
      <c r="P31" s="18">
        <v>233</v>
      </c>
      <c r="Q31" s="17">
        <v>7</v>
      </c>
      <c r="R31" s="17">
        <v>8</v>
      </c>
      <c r="S31" s="17" t="s">
        <v>89</v>
      </c>
      <c r="T31" s="17" t="s">
        <v>89</v>
      </c>
      <c r="U31" s="17">
        <v>6</v>
      </c>
      <c r="V31" s="3">
        <v>8</v>
      </c>
      <c r="W31" s="20">
        <v>42</v>
      </c>
      <c r="X31" s="17">
        <v>8</v>
      </c>
      <c r="Y31" s="17">
        <v>3</v>
      </c>
      <c r="Z31" s="17">
        <v>6</v>
      </c>
      <c r="AA31" s="20">
        <v>105</v>
      </c>
      <c r="AB31" s="3"/>
      <c r="AC31" s="3"/>
      <c r="AD31" s="20"/>
      <c r="AE31" s="3"/>
      <c r="AF31" s="3"/>
      <c r="AG31" s="20"/>
      <c r="AH31" s="107" t="s">
        <v>134</v>
      </c>
      <c r="AI31" s="107"/>
      <c r="AJ31" s="107"/>
      <c r="AK31" s="107"/>
      <c r="AL31" s="108"/>
      <c r="AN31" s="67">
        <f t="shared" si="2"/>
        <v>7.062889349924717E-3</v>
      </c>
      <c r="AO31" s="67">
        <f t="shared" si="2"/>
        <v>0.11814684300372846</v>
      </c>
      <c r="AP31" s="67">
        <f t="shared" si="2"/>
        <v>2.7640450888384294E-3</v>
      </c>
      <c r="AY31" s="67">
        <f t="shared" si="0"/>
        <v>285.99293711065008</v>
      </c>
      <c r="AZ31" s="67">
        <f t="shared" si="1"/>
        <v>95.881853156996272</v>
      </c>
      <c r="BA31" s="67">
        <f t="shared" si="3"/>
        <v>232.99723595491116</v>
      </c>
      <c r="BC31">
        <f t="shared" si="4"/>
        <v>29.827639714302066</v>
      </c>
      <c r="BD31">
        <v>1013.2</v>
      </c>
      <c r="BE31">
        <f t="shared" si="5"/>
        <v>28.94268568196501</v>
      </c>
    </row>
    <row r="32" spans="1:57" x14ac:dyDescent="0.2">
      <c r="A32" s="13">
        <v>23</v>
      </c>
      <c r="B32" s="3">
        <v>3</v>
      </c>
      <c r="C32" s="17">
        <v>4</v>
      </c>
      <c r="D32" s="3">
        <v>4</v>
      </c>
      <c r="E32" s="18">
        <v>5</v>
      </c>
      <c r="F32" s="18">
        <v>5</v>
      </c>
      <c r="G32" s="18">
        <v>68</v>
      </c>
      <c r="H32" s="19">
        <v>1</v>
      </c>
      <c r="I32" s="18">
        <v>6</v>
      </c>
      <c r="J32" s="18">
        <v>0</v>
      </c>
      <c r="K32" s="20">
        <v>120</v>
      </c>
      <c r="L32" s="18">
        <v>260</v>
      </c>
      <c r="M32" s="18">
        <v>232</v>
      </c>
      <c r="N32" s="18">
        <v>263</v>
      </c>
      <c r="O32" s="18">
        <v>78</v>
      </c>
      <c r="P32" s="18">
        <v>219</v>
      </c>
      <c r="Q32" s="17">
        <v>3</v>
      </c>
      <c r="R32" s="17">
        <v>8</v>
      </c>
      <c r="S32" s="17">
        <v>6</v>
      </c>
      <c r="T32" s="17">
        <v>1</v>
      </c>
      <c r="U32" s="17">
        <v>3</v>
      </c>
      <c r="V32" s="3">
        <v>8</v>
      </c>
      <c r="W32" s="20">
        <v>54</v>
      </c>
      <c r="X32" s="17">
        <v>8</v>
      </c>
      <c r="Y32" s="3"/>
      <c r="Z32" s="3"/>
      <c r="AA32" s="20"/>
      <c r="AB32" s="3"/>
      <c r="AC32" s="3"/>
      <c r="AD32" s="20"/>
      <c r="AE32" s="3"/>
      <c r="AF32" s="3"/>
      <c r="AG32" s="20"/>
      <c r="AH32" s="107" t="s">
        <v>85</v>
      </c>
      <c r="AI32" s="107"/>
      <c r="AJ32" s="107"/>
      <c r="AK32" s="107"/>
      <c r="AL32" s="108"/>
      <c r="AN32" s="67">
        <f t="shared" si="2"/>
        <v>-2.0047656977641282</v>
      </c>
      <c r="AO32" s="67">
        <f t="shared" si="2"/>
        <v>-0.84967346306801517</v>
      </c>
      <c r="AP32" s="67">
        <f t="shared" si="2"/>
        <v>-1.4469829066567854</v>
      </c>
      <c r="AY32" s="67">
        <f t="shared" si="0"/>
        <v>265.00476569776413</v>
      </c>
      <c r="AZ32" s="67">
        <f t="shared" si="1"/>
        <v>78.849673463068015</v>
      </c>
      <c r="BA32" s="67">
        <f t="shared" si="3"/>
        <v>220.44698290665679</v>
      </c>
      <c r="BC32">
        <f t="shared" si="4"/>
        <v>33.608860260136439</v>
      </c>
      <c r="BD32">
        <v>1013.2</v>
      </c>
      <c r="BE32">
        <f t="shared" si="5"/>
        <v>28.422825631024409</v>
      </c>
    </row>
    <row r="33" spans="1:57" x14ac:dyDescent="0.2">
      <c r="A33" s="13">
        <v>24</v>
      </c>
      <c r="B33" s="3">
        <v>3</v>
      </c>
      <c r="C33" s="17">
        <v>6</v>
      </c>
      <c r="D33" s="3">
        <v>4</v>
      </c>
      <c r="E33" s="18">
        <v>3</v>
      </c>
      <c r="F33" s="18">
        <v>6</v>
      </c>
      <c r="G33" s="18">
        <v>78</v>
      </c>
      <c r="H33" s="19">
        <v>2</v>
      </c>
      <c r="I33" s="18"/>
      <c r="J33" s="18"/>
      <c r="K33" s="20">
        <v>108</v>
      </c>
      <c r="L33" s="18">
        <v>260</v>
      </c>
      <c r="M33" s="18">
        <v>240</v>
      </c>
      <c r="N33" s="18">
        <v>283</v>
      </c>
      <c r="O33" s="18">
        <v>84</v>
      </c>
      <c r="P33" s="18">
        <v>231</v>
      </c>
      <c r="Q33" s="17">
        <v>5</v>
      </c>
      <c r="R33" s="17">
        <v>8</v>
      </c>
      <c r="S33" s="17">
        <v>0</v>
      </c>
      <c r="T33" s="17">
        <v>2</v>
      </c>
      <c r="U33" s="17">
        <v>2</v>
      </c>
      <c r="V33" s="3">
        <v>8</v>
      </c>
      <c r="W33" s="20">
        <v>54</v>
      </c>
      <c r="X33" s="17">
        <v>8</v>
      </c>
      <c r="Y33" s="17">
        <v>3</v>
      </c>
      <c r="Z33" s="17">
        <v>6</v>
      </c>
      <c r="AA33" s="20">
        <v>120</v>
      </c>
      <c r="AB33" s="3"/>
      <c r="AC33" s="3"/>
      <c r="AD33" s="20"/>
      <c r="AE33" s="3"/>
      <c r="AF33" s="3"/>
      <c r="AG33" s="20"/>
      <c r="AH33" s="107"/>
      <c r="AI33" s="107"/>
      <c r="AJ33" s="107"/>
      <c r="AK33" s="107"/>
      <c r="AL33" s="108"/>
      <c r="AN33" s="67">
        <f t="shared" si="2"/>
        <v>-1.5330281190206847</v>
      </c>
      <c r="AO33" s="67">
        <f t="shared" si="2"/>
        <v>-0.66012412105094143</v>
      </c>
      <c r="AP33" s="67">
        <f t="shared" si="2"/>
        <v>-1.1508299243794795</v>
      </c>
      <c r="AY33" s="67">
        <f t="shared" si="0"/>
        <v>284.53302811902068</v>
      </c>
      <c r="AZ33" s="67">
        <f t="shared" si="1"/>
        <v>84.660124121050941</v>
      </c>
      <c r="BA33" s="67">
        <f t="shared" si="3"/>
        <v>232.15082992437948</v>
      </c>
      <c r="BC33">
        <f t="shared" si="4"/>
        <v>33.608860260136439</v>
      </c>
      <c r="BD33">
        <v>1013.2</v>
      </c>
      <c r="BE33">
        <f t="shared" si="5"/>
        <v>29.827639714302066</v>
      </c>
    </row>
    <row r="34" spans="1:57" x14ac:dyDescent="0.2">
      <c r="A34" s="13">
        <v>25</v>
      </c>
      <c r="B34" s="3">
        <v>3</v>
      </c>
      <c r="C34" s="17">
        <v>6</v>
      </c>
      <c r="D34" s="3">
        <v>4</v>
      </c>
      <c r="E34" s="18">
        <v>8</v>
      </c>
      <c r="F34" s="18">
        <v>5</v>
      </c>
      <c r="G34" s="18">
        <v>70</v>
      </c>
      <c r="H34" s="19">
        <v>1</v>
      </c>
      <c r="I34" s="18">
        <v>5</v>
      </c>
      <c r="J34" s="18">
        <v>82</v>
      </c>
      <c r="K34" s="20">
        <v>116</v>
      </c>
      <c r="L34" s="18">
        <v>250</v>
      </c>
      <c r="M34" s="18">
        <v>240</v>
      </c>
      <c r="N34" s="18">
        <v>290</v>
      </c>
      <c r="O34" s="18">
        <v>92</v>
      </c>
      <c r="P34" s="18">
        <v>235</v>
      </c>
      <c r="Q34" s="17">
        <v>5</v>
      </c>
      <c r="R34" s="17">
        <v>8</v>
      </c>
      <c r="S34" s="17">
        <v>0</v>
      </c>
      <c r="T34" s="17">
        <v>2</v>
      </c>
      <c r="U34" s="17">
        <v>3</v>
      </c>
      <c r="V34" s="3">
        <v>8</v>
      </c>
      <c r="W34" s="20">
        <v>54</v>
      </c>
      <c r="X34" s="17">
        <v>8</v>
      </c>
      <c r="Y34" s="17">
        <v>3</v>
      </c>
      <c r="Z34" s="17">
        <v>6</v>
      </c>
      <c r="AA34" s="20">
        <v>120</v>
      </c>
      <c r="AB34" s="3"/>
      <c r="AC34" s="3"/>
      <c r="AD34" s="20"/>
      <c r="AE34" s="3"/>
      <c r="AF34" s="3"/>
      <c r="AG34" s="20"/>
      <c r="AH34" s="107" t="s">
        <v>159</v>
      </c>
      <c r="AI34" s="107"/>
      <c r="AJ34" s="107"/>
      <c r="AK34" s="107"/>
      <c r="AL34" s="108"/>
      <c r="AN34" s="67">
        <f t="shared" si="2"/>
        <v>-1.4047126310206295</v>
      </c>
      <c r="AO34" s="67">
        <f t="shared" si="2"/>
        <v>-1.607565657208454E-2</v>
      </c>
      <c r="AP34" s="67">
        <f t="shared" si="2"/>
        <v>-1.1021374792096879</v>
      </c>
      <c r="AY34" s="67">
        <f t="shared" si="0"/>
        <v>291.40471263102063</v>
      </c>
      <c r="AZ34" s="67">
        <f t="shared" si="1"/>
        <v>92.016075656572085</v>
      </c>
      <c r="BA34" s="67">
        <f t="shared" si="3"/>
        <v>236.10213747920969</v>
      </c>
      <c r="BC34">
        <f t="shared" si="4"/>
        <v>31.668891609615997</v>
      </c>
      <c r="BD34">
        <v>1013.2</v>
      </c>
      <c r="BE34">
        <f t="shared" si="5"/>
        <v>29.827639714302066</v>
      </c>
    </row>
    <row r="35" spans="1:57" x14ac:dyDescent="0.2">
      <c r="A35" s="13">
        <v>26</v>
      </c>
      <c r="B35" s="3">
        <v>3</v>
      </c>
      <c r="C35" s="17">
        <v>6</v>
      </c>
      <c r="D35" s="3">
        <v>4</v>
      </c>
      <c r="E35" s="18">
        <v>6</v>
      </c>
      <c r="F35" s="18">
        <v>10</v>
      </c>
      <c r="G35" s="18">
        <v>75</v>
      </c>
      <c r="H35" s="19">
        <v>2</v>
      </c>
      <c r="I35" s="18"/>
      <c r="J35" s="18"/>
      <c r="K35" s="20">
        <v>120</v>
      </c>
      <c r="L35" s="18">
        <v>264</v>
      </c>
      <c r="M35" s="18">
        <v>245</v>
      </c>
      <c r="N35" s="18">
        <v>294</v>
      </c>
      <c r="O35" s="18">
        <v>85</v>
      </c>
      <c r="P35" s="18">
        <v>237</v>
      </c>
      <c r="Q35" s="17">
        <v>6</v>
      </c>
      <c r="R35" s="17">
        <v>8</v>
      </c>
      <c r="S35" s="17">
        <v>0</v>
      </c>
      <c r="T35" s="17">
        <v>1</v>
      </c>
      <c r="U35" s="17">
        <v>5</v>
      </c>
      <c r="V35" s="3">
        <v>8</v>
      </c>
      <c r="W35" s="20">
        <v>51</v>
      </c>
      <c r="X35" s="17">
        <v>8</v>
      </c>
      <c r="Y35" s="3"/>
      <c r="Z35" s="3"/>
      <c r="AA35" s="20"/>
      <c r="AB35" s="3"/>
      <c r="AC35" s="3"/>
      <c r="AD35" s="20"/>
      <c r="AE35" s="3"/>
      <c r="AF35" s="3"/>
      <c r="AG35" s="20"/>
      <c r="AH35" s="107"/>
      <c r="AI35" s="107"/>
      <c r="AJ35" s="107"/>
      <c r="AK35" s="107"/>
      <c r="AL35" s="108"/>
      <c r="AN35" s="67">
        <f t="shared" si="2"/>
        <v>-0.29847210787067979</v>
      </c>
      <c r="AO35" s="67">
        <f t="shared" si="2"/>
        <v>-0.51837269917913886</v>
      </c>
      <c r="AP35" s="67">
        <f t="shared" si="2"/>
        <v>-0.74170892200345406</v>
      </c>
      <c r="AY35" s="67">
        <f t="shared" si="0"/>
        <v>294.29847210787068</v>
      </c>
      <c r="AZ35" s="67">
        <f t="shared" si="1"/>
        <v>85.518372699179139</v>
      </c>
      <c r="BA35" s="67">
        <f t="shared" si="3"/>
        <v>237.74170892200345</v>
      </c>
      <c r="BC35">
        <f t="shared" si="4"/>
        <v>34.41347897756426</v>
      </c>
      <c r="BD35">
        <v>1013.2</v>
      </c>
      <c r="BE35">
        <f t="shared" si="5"/>
        <v>30.736197835927069</v>
      </c>
    </row>
    <row r="36" spans="1:57" x14ac:dyDescent="0.2">
      <c r="A36" s="13">
        <v>27</v>
      </c>
      <c r="B36" s="3">
        <v>3</v>
      </c>
      <c r="C36" s="17">
        <v>7</v>
      </c>
      <c r="D36" s="3">
        <v>4</v>
      </c>
      <c r="E36" s="18">
        <v>6</v>
      </c>
      <c r="F36" s="18">
        <v>10</v>
      </c>
      <c r="G36" s="18">
        <v>68</v>
      </c>
      <c r="H36" s="19">
        <v>1</v>
      </c>
      <c r="I36" s="18">
        <v>15</v>
      </c>
      <c r="J36" s="18">
        <v>82</v>
      </c>
      <c r="K36" s="20">
        <v>122</v>
      </c>
      <c r="L36" s="18">
        <v>250</v>
      </c>
      <c r="M36" s="18">
        <v>244</v>
      </c>
      <c r="N36" s="18">
        <v>300</v>
      </c>
      <c r="O36" s="18">
        <v>95</v>
      </c>
      <c r="P36" s="18">
        <v>241</v>
      </c>
      <c r="Q36" s="17">
        <v>7</v>
      </c>
      <c r="R36" s="17">
        <v>8</v>
      </c>
      <c r="S36" s="17">
        <v>0</v>
      </c>
      <c r="T36" s="17">
        <v>2</v>
      </c>
      <c r="U36" s="17">
        <v>5</v>
      </c>
      <c r="V36" s="3">
        <v>8</v>
      </c>
      <c r="W36" s="20">
        <v>51</v>
      </c>
      <c r="X36" s="17">
        <v>8</v>
      </c>
      <c r="Y36" s="17">
        <v>5</v>
      </c>
      <c r="Z36" s="17">
        <v>6</v>
      </c>
      <c r="AA36" s="20">
        <v>105</v>
      </c>
      <c r="AB36" s="3"/>
      <c r="AC36" s="3"/>
      <c r="AD36" s="20"/>
      <c r="AE36" s="3"/>
      <c r="AF36" s="3"/>
      <c r="AG36" s="20"/>
      <c r="AH36" s="107" t="s">
        <v>179</v>
      </c>
      <c r="AI36" s="107"/>
      <c r="AJ36" s="107"/>
      <c r="AK36" s="107"/>
      <c r="AL36" s="108"/>
      <c r="AN36" s="67">
        <f t="shared" si="2"/>
        <v>-1.4008687103645343</v>
      </c>
      <c r="AO36" s="67">
        <f t="shared" si="2"/>
        <v>-0.17253474663654345</v>
      </c>
      <c r="AP36" s="67">
        <f t="shared" si="2"/>
        <v>-0.70677702011531096</v>
      </c>
      <c r="AY36" s="67">
        <f t="shared" si="0"/>
        <v>301.40086871036453</v>
      </c>
      <c r="AZ36" s="67">
        <f t="shared" si="1"/>
        <v>95.172534746636543</v>
      </c>
      <c r="BA36" s="67">
        <f t="shared" si="3"/>
        <v>241.70677702011531</v>
      </c>
      <c r="BC36">
        <f t="shared" si="4"/>
        <v>31.668891609615997</v>
      </c>
      <c r="BD36">
        <v>1013.2</v>
      </c>
      <c r="BE36">
        <f t="shared" si="5"/>
        <v>30.552572506268454</v>
      </c>
    </row>
    <row r="37" spans="1:57" x14ac:dyDescent="0.2">
      <c r="A37" s="13">
        <v>28</v>
      </c>
      <c r="B37" s="3">
        <v>3</v>
      </c>
      <c r="C37" s="17">
        <v>7</v>
      </c>
      <c r="D37" s="3">
        <v>4</v>
      </c>
      <c r="E37" s="18">
        <v>9</v>
      </c>
      <c r="F37" s="18">
        <v>15</v>
      </c>
      <c r="G37" s="18">
        <v>64</v>
      </c>
      <c r="H37" s="19">
        <v>1</v>
      </c>
      <c r="I37" s="18">
        <v>6</v>
      </c>
      <c r="J37" s="18">
        <v>22</v>
      </c>
      <c r="K37" s="20">
        <v>132</v>
      </c>
      <c r="L37" s="18">
        <v>260</v>
      </c>
      <c r="M37" s="18">
        <v>244</v>
      </c>
      <c r="N37" s="18">
        <v>294</v>
      </c>
      <c r="O37" s="18">
        <v>87</v>
      </c>
      <c r="P37" s="18">
        <v>237</v>
      </c>
      <c r="Q37" s="17">
        <v>6</v>
      </c>
      <c r="R37" s="17">
        <v>8</v>
      </c>
      <c r="S37" s="17">
        <v>0</v>
      </c>
      <c r="T37" s="17">
        <v>2</v>
      </c>
      <c r="U37" s="17">
        <v>4</v>
      </c>
      <c r="V37" s="3">
        <v>8</v>
      </c>
      <c r="W37" s="20">
        <v>54</v>
      </c>
      <c r="X37" s="17">
        <v>8</v>
      </c>
      <c r="Y37" s="17">
        <v>5</v>
      </c>
      <c r="Z37" s="17">
        <v>6</v>
      </c>
      <c r="AA37" s="20">
        <v>114</v>
      </c>
      <c r="AB37" s="3"/>
      <c r="AC37" s="3"/>
      <c r="AD37" s="20"/>
      <c r="AE37" s="3"/>
      <c r="AF37" s="3"/>
      <c r="AG37" s="20"/>
      <c r="AH37" s="107" t="s">
        <v>85</v>
      </c>
      <c r="AI37" s="107"/>
      <c r="AJ37" s="107"/>
      <c r="AK37" s="107"/>
      <c r="AL37" s="108"/>
      <c r="AN37" s="67">
        <f t="shared" si="2"/>
        <v>-0.52610812316453348</v>
      </c>
      <c r="AO37" s="67">
        <f t="shared" si="2"/>
        <v>-0.63347100838845449</v>
      </c>
      <c r="AP37" s="67">
        <f t="shared" si="2"/>
        <v>-0.87008508389104122</v>
      </c>
      <c r="AY37" s="67">
        <f t="shared" si="0"/>
        <v>294.52610812316453</v>
      </c>
      <c r="AZ37" s="67">
        <f t="shared" si="1"/>
        <v>87.633471008388454</v>
      </c>
      <c r="BA37" s="67">
        <f t="shared" si="3"/>
        <v>237.87008508389104</v>
      </c>
      <c r="BC37">
        <f t="shared" si="4"/>
        <v>33.608860260136439</v>
      </c>
      <c r="BD37">
        <v>1013.2</v>
      </c>
      <c r="BE37">
        <f t="shared" si="5"/>
        <v>30.552572506268454</v>
      </c>
    </row>
    <row r="38" spans="1:57" x14ac:dyDescent="0.2">
      <c r="A38" s="13">
        <v>29</v>
      </c>
      <c r="B38" s="3">
        <v>3</v>
      </c>
      <c r="C38" s="17">
        <v>1</v>
      </c>
      <c r="D38" s="3">
        <v>4</v>
      </c>
      <c r="E38" s="18">
        <v>9</v>
      </c>
      <c r="F38" s="18">
        <v>7</v>
      </c>
      <c r="G38" s="18">
        <v>68</v>
      </c>
      <c r="H38" s="19">
        <v>1</v>
      </c>
      <c r="I38" s="18">
        <v>5</v>
      </c>
      <c r="J38" s="18">
        <v>0</v>
      </c>
      <c r="K38" s="20">
        <v>133</v>
      </c>
      <c r="L38" s="18">
        <v>269</v>
      </c>
      <c r="M38" s="18">
        <v>245</v>
      </c>
      <c r="N38" s="18">
        <v>288</v>
      </c>
      <c r="O38" s="18">
        <v>81</v>
      </c>
      <c r="P38" s="18">
        <v>234</v>
      </c>
      <c r="Q38" s="17">
        <v>1</v>
      </c>
      <c r="R38" s="17">
        <v>8</v>
      </c>
      <c r="S38" s="17">
        <v>0</v>
      </c>
      <c r="T38" s="17">
        <v>0</v>
      </c>
      <c r="U38" s="17">
        <v>1</v>
      </c>
      <c r="V38" s="3">
        <v>8</v>
      </c>
      <c r="W38" s="20">
        <v>54</v>
      </c>
      <c r="X38" s="17">
        <v>8</v>
      </c>
      <c r="Y38" s="3"/>
      <c r="Z38" s="3"/>
      <c r="AA38" s="20"/>
      <c r="AB38" s="3"/>
      <c r="AC38" s="3"/>
      <c r="AD38" s="20"/>
      <c r="AE38" s="3"/>
      <c r="AF38" s="3"/>
      <c r="AG38" s="20"/>
      <c r="AH38" s="107" t="s">
        <v>85</v>
      </c>
      <c r="AI38" s="107"/>
      <c r="AJ38" s="107"/>
      <c r="AK38" s="107"/>
      <c r="AL38" s="108"/>
      <c r="AN38" s="67">
        <f t="shared" si="2"/>
        <v>-2.8607073048706866</v>
      </c>
      <c r="AO38" s="67">
        <f t="shared" si="2"/>
        <v>-1.0645764337847226</v>
      </c>
      <c r="AP38" s="67">
        <f t="shared" si="2"/>
        <v>-1.7923189602715581</v>
      </c>
      <c r="AY38" s="67">
        <f t="shared" si="0"/>
        <v>290.86070730487069</v>
      </c>
      <c r="AZ38" s="67">
        <f t="shared" si="1"/>
        <v>82.064576433784723</v>
      </c>
      <c r="BA38" s="67">
        <f t="shared" si="3"/>
        <v>235.79231896027156</v>
      </c>
      <c r="BC38">
        <f t="shared" si="4"/>
        <v>35.442906055764126</v>
      </c>
      <c r="BD38">
        <v>1013.2</v>
      </c>
      <c r="BE38">
        <f t="shared" si="5"/>
        <v>30.736197835927069</v>
      </c>
    </row>
    <row r="39" spans="1:57" x14ac:dyDescent="0.2">
      <c r="A39" s="13">
        <v>30</v>
      </c>
      <c r="B39" s="3">
        <v>3</v>
      </c>
      <c r="C39" s="17">
        <v>7</v>
      </c>
      <c r="D39" s="3">
        <v>4</v>
      </c>
      <c r="E39" s="18">
        <v>5</v>
      </c>
      <c r="F39" s="18">
        <v>10</v>
      </c>
      <c r="G39" s="18">
        <v>65</v>
      </c>
      <c r="H39" s="19">
        <v>1</v>
      </c>
      <c r="I39" s="18">
        <v>5</v>
      </c>
      <c r="J39" s="18">
        <v>22</v>
      </c>
      <c r="K39" s="20">
        <v>122</v>
      </c>
      <c r="L39" s="18">
        <v>250</v>
      </c>
      <c r="M39" s="18">
        <v>225</v>
      </c>
      <c r="N39" s="18">
        <v>254</v>
      </c>
      <c r="O39" s="18">
        <v>80</v>
      </c>
      <c r="P39" s="18">
        <v>213</v>
      </c>
      <c r="Q39" s="17">
        <v>7</v>
      </c>
      <c r="R39" s="17">
        <v>8</v>
      </c>
      <c r="S39" s="17" t="s">
        <v>89</v>
      </c>
      <c r="T39" s="17" t="s">
        <v>89</v>
      </c>
      <c r="U39" s="17">
        <v>2</v>
      </c>
      <c r="V39" s="3">
        <v>8</v>
      </c>
      <c r="W39" s="20">
        <v>54</v>
      </c>
      <c r="X39" s="17">
        <v>8</v>
      </c>
      <c r="Y39" s="17">
        <v>6</v>
      </c>
      <c r="Z39" s="17">
        <v>6</v>
      </c>
      <c r="AA39" s="20">
        <v>114</v>
      </c>
      <c r="AB39" s="3"/>
      <c r="AC39" s="3"/>
      <c r="AD39" s="20"/>
      <c r="AE39" s="3"/>
      <c r="AF39" s="3"/>
      <c r="AG39" s="20"/>
      <c r="AH39" s="107" t="s">
        <v>85</v>
      </c>
      <c r="AI39" s="107"/>
      <c r="AJ39" s="107"/>
      <c r="AK39" s="107"/>
      <c r="AL39" s="108"/>
      <c r="AN39" s="67">
        <f t="shared" si="2"/>
        <v>-1.2647337682082593</v>
      </c>
      <c r="AO39" s="67">
        <f t="shared" si="2"/>
        <v>-0.60425256269442684</v>
      </c>
      <c r="AP39" s="67">
        <f t="shared" si="2"/>
        <v>-1.3241842432246642</v>
      </c>
      <c r="AY39" s="67">
        <f t="shared" si="0"/>
        <v>255.26473376820826</v>
      </c>
      <c r="AZ39" s="67">
        <f t="shared" si="1"/>
        <v>80.604252562694427</v>
      </c>
      <c r="BA39" s="67">
        <f t="shared" si="3"/>
        <v>214.32418424322466</v>
      </c>
      <c r="BC39">
        <f t="shared" si="4"/>
        <v>31.668891609615997</v>
      </c>
      <c r="BD39">
        <v>1013.2</v>
      </c>
      <c r="BE39">
        <f t="shared" si="5"/>
        <v>27.241510684320826</v>
      </c>
    </row>
    <row r="40" spans="1:57" x14ac:dyDescent="0.2">
      <c r="A40" s="13"/>
      <c r="B40" s="3"/>
      <c r="C40" s="17"/>
      <c r="D40" s="3"/>
      <c r="E40" s="18"/>
      <c r="F40" s="18"/>
      <c r="G40" s="18"/>
      <c r="H40" s="19"/>
      <c r="I40" s="18"/>
      <c r="J40" s="18"/>
      <c r="K40" s="20"/>
      <c r="L40" s="18"/>
      <c r="M40" s="18"/>
      <c r="N40" s="18"/>
      <c r="O40" s="18"/>
      <c r="P40" s="18"/>
      <c r="Q40" s="17"/>
      <c r="R40" s="17"/>
      <c r="S40" s="17"/>
      <c r="T40" s="17"/>
      <c r="U40" s="17"/>
      <c r="V40" s="3"/>
      <c r="W40" s="20"/>
      <c r="X40" s="17"/>
      <c r="Y40" s="3"/>
      <c r="Z40" s="3"/>
      <c r="AA40" s="20"/>
      <c r="AB40" s="3"/>
      <c r="AC40" s="3"/>
      <c r="AD40" s="20"/>
      <c r="AE40" s="3"/>
      <c r="AF40" s="3"/>
      <c r="AG40" s="20"/>
      <c r="AH40" s="107"/>
      <c r="AI40" s="107"/>
      <c r="AJ40" s="107"/>
      <c r="AK40" s="107"/>
      <c r="AL40" s="108"/>
      <c r="AN40" s="67"/>
      <c r="AO40" s="67"/>
      <c r="AP40" s="67"/>
      <c r="AY40" s="67">
        <f t="shared" si="0"/>
        <v>61.120000000000005</v>
      </c>
      <c r="AZ40" s="67">
        <f t="shared" si="1"/>
        <v>100</v>
      </c>
      <c r="BA40" s="67">
        <f t="shared" si="3"/>
        <v>0</v>
      </c>
      <c r="BC40">
        <f t="shared" si="4"/>
        <v>6.1120000000000001</v>
      </c>
      <c r="BD40">
        <v>1013.2</v>
      </c>
      <c r="BE40">
        <f t="shared" si="5"/>
        <v>6.1120000000000001</v>
      </c>
    </row>
    <row r="41" spans="1:57" x14ac:dyDescent="0.2">
      <c r="A41" s="18"/>
      <c r="B41" s="3"/>
      <c r="C41" s="17"/>
      <c r="D41" s="3"/>
      <c r="E41" s="18"/>
      <c r="F41" s="18"/>
      <c r="G41" s="18"/>
      <c r="H41" s="19"/>
      <c r="I41" s="18"/>
      <c r="J41" s="18"/>
      <c r="K41" s="20"/>
      <c r="L41" s="18"/>
      <c r="M41" s="18"/>
      <c r="N41" s="18"/>
      <c r="O41" s="18"/>
      <c r="P41" s="18"/>
      <c r="Q41" s="17"/>
      <c r="R41" s="17"/>
      <c r="S41" s="17"/>
      <c r="T41" s="17"/>
      <c r="U41" s="17"/>
      <c r="V41" s="3"/>
      <c r="W41" s="20"/>
      <c r="X41" s="3"/>
      <c r="Y41" s="3"/>
      <c r="Z41" s="3"/>
      <c r="AA41" s="20"/>
      <c r="AB41" s="3"/>
      <c r="AC41" s="3"/>
      <c r="AD41" s="20"/>
      <c r="AE41" s="3"/>
      <c r="AF41" s="3"/>
      <c r="AG41" s="20"/>
      <c r="AH41" s="109" t="s">
        <v>234</v>
      </c>
      <c r="AI41" s="107"/>
      <c r="AJ41" s="107"/>
      <c r="AK41" s="107"/>
      <c r="AL41" s="108"/>
      <c r="AN41" s="67"/>
      <c r="AO41" s="67"/>
      <c r="AP41" s="67"/>
    </row>
    <row r="42" spans="1:57" x14ac:dyDescent="0.2">
      <c r="A42" s="13" t="s">
        <v>9</v>
      </c>
      <c r="B42" s="1"/>
      <c r="C42" s="21">
        <f>SUM(C10:C40)</f>
        <v>126</v>
      </c>
      <c r="D42" s="1"/>
      <c r="E42" s="13"/>
      <c r="F42" s="13">
        <f>SUM(F10:F40)</f>
        <v>216</v>
      </c>
      <c r="G42" s="13"/>
      <c r="H42" s="2"/>
      <c r="I42" s="13"/>
      <c r="J42" s="13"/>
      <c r="K42" s="22">
        <f>SUM(K10:K40)</f>
        <v>3539</v>
      </c>
      <c r="L42" s="13">
        <f>SUM(L10:L40)</f>
        <v>7757</v>
      </c>
      <c r="M42" s="13">
        <f>SUM(M10:M40)</f>
        <v>7227</v>
      </c>
      <c r="N42" s="13">
        <f>SUM(N10:N40)</f>
        <v>8597</v>
      </c>
      <c r="O42" s="13">
        <f>SUM(O10:O40)</f>
        <v>2576</v>
      </c>
      <c r="P42" s="13">
        <f t="shared" ref="P42" si="6">SUM(P10:P40)</f>
        <v>6986</v>
      </c>
      <c r="Q42" s="21">
        <f>SUM(Q10:Q40)</f>
        <v>97</v>
      </c>
      <c r="R42" s="21"/>
      <c r="S42" s="21"/>
      <c r="T42" s="21"/>
      <c r="U42" s="21"/>
      <c r="V42" s="1"/>
      <c r="W42" s="22"/>
      <c r="X42" s="1"/>
      <c r="Y42" s="1"/>
      <c r="Z42" s="1"/>
      <c r="AA42" s="22"/>
      <c r="AB42" s="1"/>
      <c r="AC42" s="1"/>
      <c r="AD42" s="22"/>
      <c r="AE42" s="1"/>
      <c r="AF42" s="1"/>
      <c r="AG42" s="22"/>
      <c r="AH42" s="116"/>
      <c r="AI42" s="116"/>
      <c r="AJ42" s="116"/>
      <c r="AK42" s="116"/>
      <c r="AL42" s="117"/>
      <c r="AN42" s="67"/>
      <c r="AO42" s="67"/>
      <c r="AP42" s="67"/>
    </row>
    <row r="43" spans="1:57" ht="13.5" thickBot="1" x14ac:dyDescent="0.25">
      <c r="A43" s="23" t="s">
        <v>10</v>
      </c>
      <c r="B43" s="24"/>
      <c r="C43" s="25">
        <f>AVERAGE(C10:C40)</f>
        <v>4.2</v>
      </c>
      <c r="D43" s="24"/>
      <c r="E43" s="23">
        <f>MODE(E10:E40)</f>
        <v>9</v>
      </c>
      <c r="F43" s="23">
        <f>AVERAGE(F10:F40)</f>
        <v>7.2</v>
      </c>
      <c r="G43" s="23"/>
      <c r="H43" s="26"/>
      <c r="I43" s="23"/>
      <c r="J43" s="23"/>
      <c r="K43" s="27">
        <f>AVERAGE(K10:K40)</f>
        <v>117.96666666666667</v>
      </c>
      <c r="L43" s="23">
        <f t="shared" ref="L43:Q43" si="7">AVERAGE(L10:L40)</f>
        <v>258.56666666666666</v>
      </c>
      <c r="M43" s="23">
        <f t="shared" si="7"/>
        <v>240.9</v>
      </c>
      <c r="N43" s="23">
        <f t="shared" si="7"/>
        <v>286.56666666666666</v>
      </c>
      <c r="O43" s="23">
        <f t="shared" si="7"/>
        <v>85.86666666666666</v>
      </c>
      <c r="P43" s="23">
        <f>AVERAGE(P10:P40)</f>
        <v>232.86666666666667</v>
      </c>
      <c r="Q43" s="25">
        <f t="shared" si="7"/>
        <v>3.2333333333333334</v>
      </c>
      <c r="R43" s="25"/>
      <c r="S43" s="25"/>
      <c r="T43" s="25"/>
      <c r="U43" s="25"/>
      <c r="V43" s="24"/>
      <c r="W43" s="27"/>
      <c r="X43" s="24"/>
      <c r="Y43" s="24"/>
      <c r="Z43" s="24"/>
      <c r="AA43" s="27"/>
      <c r="AB43" s="24"/>
      <c r="AC43" s="24"/>
      <c r="AD43" s="27"/>
      <c r="AE43" s="24"/>
      <c r="AF43" s="24"/>
      <c r="AG43" s="27"/>
      <c r="AH43" s="111"/>
      <c r="AI43" s="111"/>
      <c r="AJ43" s="111"/>
      <c r="AK43" s="111"/>
      <c r="AL43" s="112"/>
      <c r="AN43" s="67">
        <f>AVERAGE(AN10:AN40)</f>
        <v>-1.349321727552018</v>
      </c>
      <c r="AO43" s="67">
        <f t="shared" ref="AO43:AP43" si="8">AVERAGE(AO10:AO40)</f>
        <v>-0.57962197085809541</v>
      </c>
      <c r="AP43" s="67">
        <f t="shared" si="8"/>
        <v>-1.0913770285738849</v>
      </c>
    </row>
    <row r="44" spans="1:57" x14ac:dyDescent="0.2">
      <c r="E44" s="11"/>
      <c r="G44" s="11"/>
      <c r="K44" s="4"/>
      <c r="M44" s="11"/>
      <c r="P44" s="11"/>
      <c r="Q44" s="11"/>
      <c r="W44" s="4"/>
      <c r="AA44" s="4"/>
      <c r="AD44" s="4"/>
    </row>
    <row r="45" spans="1:57" x14ac:dyDescent="0.2">
      <c r="E45" s="11"/>
      <c r="G45" s="11"/>
      <c r="K45" s="4"/>
      <c r="M45" s="11"/>
      <c r="P45" s="11"/>
      <c r="Q45" s="11"/>
      <c r="W45" s="4"/>
      <c r="AA45" s="4"/>
    </row>
    <row r="46" spans="1:57" x14ac:dyDescent="0.2">
      <c r="E46" s="11"/>
      <c r="G46" s="11"/>
      <c r="M46" s="11"/>
      <c r="P46" s="11"/>
      <c r="Q46" s="11"/>
      <c r="W46" s="4"/>
      <c r="AA46" s="4"/>
    </row>
    <row r="47" spans="1:57" x14ac:dyDescent="0.2">
      <c r="E47" s="11"/>
      <c r="G47" s="11"/>
      <c r="M47" s="11"/>
      <c r="P47" s="11"/>
      <c r="Q47" s="11"/>
    </row>
    <row r="48" spans="1:57" x14ac:dyDescent="0.2">
      <c r="E48" s="11"/>
      <c r="G48" s="11"/>
      <c r="M48" s="11"/>
      <c r="P48" s="11"/>
      <c r="Q48" s="11"/>
    </row>
    <row r="49" spans="5:17" x14ac:dyDescent="0.2">
      <c r="E49" s="11"/>
      <c r="G49" s="11"/>
      <c r="M49" s="11"/>
      <c r="P49" s="11"/>
      <c r="Q49" s="11"/>
    </row>
  </sheetData>
  <mergeCells count="72">
    <mergeCell ref="AH41:AL41"/>
    <mergeCell ref="AH42:AL42"/>
    <mergeCell ref="AH43:AL43"/>
    <mergeCell ref="AH36:AL36"/>
    <mergeCell ref="AH37:AL37"/>
    <mergeCell ref="AH38:AL38"/>
    <mergeCell ref="AH39:AL39"/>
    <mergeCell ref="AH40:AL40"/>
    <mergeCell ref="AH31:AL31"/>
    <mergeCell ref="AH32:AL32"/>
    <mergeCell ref="AH33:AL33"/>
    <mergeCell ref="AH34:AL34"/>
    <mergeCell ref="AH35:AL35"/>
    <mergeCell ref="AH26:AL26"/>
    <mergeCell ref="AH27:AL27"/>
    <mergeCell ref="AH28:AL28"/>
    <mergeCell ref="AH29:AL29"/>
    <mergeCell ref="AH30:AL30"/>
    <mergeCell ref="AH21:AL21"/>
    <mergeCell ref="AH22:AL22"/>
    <mergeCell ref="AH23:AL23"/>
    <mergeCell ref="AH24:AL24"/>
    <mergeCell ref="AH25:AL25"/>
    <mergeCell ref="AH16:AL16"/>
    <mergeCell ref="AH17:AL17"/>
    <mergeCell ref="AH18:AL18"/>
    <mergeCell ref="AH19:AL19"/>
    <mergeCell ref="AH20:AL20"/>
    <mergeCell ref="AH11:AL11"/>
    <mergeCell ref="AH12:AL12"/>
    <mergeCell ref="AH13:AL13"/>
    <mergeCell ref="AH14:AL14"/>
    <mergeCell ref="AH15:AL15"/>
    <mergeCell ref="U8:W8"/>
    <mergeCell ref="X8:AA8"/>
    <mergeCell ref="AB8:AD8"/>
    <mergeCell ref="AE8:AG8"/>
    <mergeCell ref="AH10:AL10"/>
    <mergeCell ref="AH7:AL9"/>
    <mergeCell ref="P8:P9"/>
    <mergeCell ref="Q8:Q9"/>
    <mergeCell ref="R8:R9"/>
    <mergeCell ref="S8:S9"/>
    <mergeCell ref="T8:T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3:T3"/>
    <mergeCell ref="E7:F7"/>
    <mergeCell ref="L7:P7"/>
    <mergeCell ref="Q7:T7"/>
    <mergeCell ref="U7:AG7"/>
    <mergeCell ref="AN7:AP7"/>
    <mergeCell ref="AY7:BA7"/>
    <mergeCell ref="AN8:AN9"/>
    <mergeCell ref="AO8:AO9"/>
    <mergeCell ref="AP8:AP9"/>
    <mergeCell ref="AY8:AY9"/>
    <mergeCell ref="AZ8:AZ9"/>
    <mergeCell ref="BA8:BA9"/>
  </mergeCells>
  <phoneticPr fontId="2" type="noConversion"/>
  <dataValidations count="5">
    <dataValidation type="whole" allowBlank="1" showInputMessage="1" showErrorMessage="1" sqref="C10:C40" xr:uid="{00000000-0002-0000-1100-000000000000}">
      <formula1>0</formula1>
      <formula2>9</formula2>
    </dataValidation>
    <dataValidation type="whole" allowBlank="1" showInputMessage="1" showErrorMessage="1" sqref="Y10:Y40" xr:uid="{00000000-0002-0000-1100-000001000000}">
      <formula1>3</formula1>
      <formula2>9</formula2>
    </dataValidation>
    <dataValidation type="whole" allowBlank="1" showInputMessage="1" showErrorMessage="1" sqref="AB10:AB40" xr:uid="{00000000-0002-0000-1100-000002000000}">
      <formula1>5</formula1>
      <formula2>9</formula2>
    </dataValidation>
    <dataValidation type="whole" allowBlank="1" showInputMessage="1" showErrorMessage="1" sqref="D10:D40" xr:uid="{00000000-0002-0000-1100-000003000000}">
      <formula1>0</formula1>
      <formula2>4</formula2>
    </dataValidation>
    <dataValidation type="whole" allowBlank="1" showInputMessage="1" showErrorMessage="1" sqref="AE10:AE40" xr:uid="{00000000-0002-0000-1100-000004000000}">
      <formula1>1</formula1>
      <formula2>9</formula2>
    </dataValidation>
  </dataValidations>
  <pageMargins left="0.75" right="0.75" top="1" bottom="1" header="0.5" footer="0.5"/>
  <pageSetup orientation="portrait" horizontalDpi="300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E49"/>
  <sheetViews>
    <sheetView workbookViewId="0">
      <pane xSplit="2" ySplit="9" topLeftCell="C13" activePane="bottomRight" state="frozen"/>
      <selection activeCell="AM2" sqref="AM2"/>
      <selection pane="topRight" activeCell="AM2" sqref="AM2"/>
      <selection pane="bottomLeft" activeCell="AM2" sqref="AM2"/>
      <selection pane="bottomRight" activeCell="J29" sqref="J29"/>
    </sheetView>
  </sheetViews>
  <sheetFormatPr defaultRowHeight="12.75" x14ac:dyDescent="0.2"/>
  <cols>
    <col min="1" max="1" width="4.28515625" bestFit="1" customWidth="1"/>
    <col min="2" max="2" width="5.140625" bestFit="1" customWidth="1"/>
    <col min="3" max="3" width="4" bestFit="1" customWidth="1"/>
    <col min="4" max="5" width="3" bestFit="1" customWidth="1"/>
    <col min="6" max="6" width="4" bestFit="1" customWidth="1"/>
    <col min="7" max="10" width="3" bestFit="1" customWidth="1"/>
    <col min="11" max="11" width="8.5703125" bestFit="1" customWidth="1"/>
    <col min="12" max="16" width="5" bestFit="1" customWidth="1"/>
    <col min="17" max="17" width="4" bestFit="1" customWidth="1"/>
    <col min="18" max="22" width="3" bestFit="1" customWidth="1"/>
    <col min="23" max="23" width="5.28515625" bestFit="1" customWidth="1"/>
    <col min="24" max="26" width="3" bestFit="1" customWidth="1"/>
    <col min="27" max="27" width="5.28515625" bestFit="1" customWidth="1"/>
    <col min="28" max="29" width="3" bestFit="1" customWidth="1"/>
    <col min="30" max="30" width="5.28515625" bestFit="1" customWidth="1"/>
    <col min="31" max="32" width="3" bestFit="1" customWidth="1"/>
    <col min="33" max="33" width="5.28515625" bestFit="1" customWidth="1"/>
    <col min="34" max="34" width="5.42578125" customWidth="1"/>
    <col min="40" max="42" width="4.7109375" customWidth="1"/>
    <col min="50" max="58" width="0" hidden="1" customWidth="1"/>
  </cols>
  <sheetData>
    <row r="1" spans="1:5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  <c r="P1" s="1"/>
      <c r="Q1" s="1"/>
      <c r="R1" s="1"/>
    </row>
    <row r="2" spans="1:57" ht="36.75" customHeight="1" x14ac:dyDescent="0.2">
      <c r="A2" s="1"/>
      <c r="B2" s="1"/>
      <c r="C2" s="1"/>
      <c r="D2" s="1"/>
      <c r="E2" s="1"/>
      <c r="F2" s="1"/>
      <c r="G2" s="1"/>
      <c r="H2" s="1"/>
      <c r="I2" s="2"/>
      <c r="J2" s="2"/>
      <c r="K2" s="1"/>
      <c r="L2" s="1"/>
      <c r="M2" s="1"/>
      <c r="O2" s="2"/>
      <c r="P2" s="1"/>
      <c r="Q2" s="1"/>
      <c r="R2" s="1"/>
    </row>
    <row r="3" spans="1:5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80"/>
      <c r="Q3" s="80"/>
      <c r="R3" s="80"/>
      <c r="S3" s="80"/>
      <c r="T3" s="80"/>
    </row>
    <row r="4" spans="1:5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7" spans="1:57" ht="14.25" x14ac:dyDescent="0.25">
      <c r="A7" s="7"/>
      <c r="B7" s="7"/>
      <c r="C7" s="7"/>
      <c r="D7" s="7"/>
      <c r="E7" s="81" t="s">
        <v>20</v>
      </c>
      <c r="F7" s="81"/>
      <c r="G7" s="7"/>
      <c r="H7" s="7"/>
      <c r="I7" s="7"/>
      <c r="J7" s="7"/>
      <c r="K7" s="7"/>
      <c r="L7" s="82" t="s">
        <v>11</v>
      </c>
      <c r="M7" s="82"/>
      <c r="N7" s="82"/>
      <c r="O7" s="82"/>
      <c r="P7" s="82"/>
      <c r="Q7" s="83" t="s">
        <v>29</v>
      </c>
      <c r="R7" s="83"/>
      <c r="S7" s="83"/>
      <c r="T7" s="83"/>
      <c r="U7" s="84" t="s">
        <v>33</v>
      </c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98" t="s">
        <v>8</v>
      </c>
      <c r="AI7" s="99"/>
      <c r="AJ7" s="99"/>
      <c r="AK7" s="99"/>
      <c r="AL7" s="100"/>
      <c r="AN7" s="73" t="s">
        <v>80</v>
      </c>
      <c r="AO7" s="74"/>
      <c r="AP7" s="75"/>
      <c r="AY7" s="76" t="s">
        <v>81</v>
      </c>
      <c r="AZ7" s="77"/>
      <c r="BA7" s="78"/>
    </row>
    <row r="8" spans="1:57" ht="16.5" customHeight="1" x14ac:dyDescent="0.2">
      <c r="A8" s="85" t="s">
        <v>18</v>
      </c>
      <c r="B8" s="89" t="s">
        <v>19</v>
      </c>
      <c r="C8" s="90" t="s">
        <v>23</v>
      </c>
      <c r="D8" s="88" t="s">
        <v>24</v>
      </c>
      <c r="E8" s="91" t="s">
        <v>25</v>
      </c>
      <c r="F8" s="86" t="s">
        <v>26</v>
      </c>
      <c r="G8" s="88" t="s">
        <v>27</v>
      </c>
      <c r="H8" s="88" t="s">
        <v>0</v>
      </c>
      <c r="I8" s="88" t="s">
        <v>21</v>
      </c>
      <c r="J8" s="88" t="s">
        <v>22</v>
      </c>
      <c r="K8" s="85" t="s">
        <v>28</v>
      </c>
      <c r="L8" s="79" t="s">
        <v>1</v>
      </c>
      <c r="M8" s="79" t="s">
        <v>2</v>
      </c>
      <c r="N8" s="79" t="s">
        <v>3</v>
      </c>
      <c r="O8" s="79" t="s">
        <v>4</v>
      </c>
      <c r="P8" s="79" t="s">
        <v>5</v>
      </c>
      <c r="Q8" s="92" t="s">
        <v>34</v>
      </c>
      <c r="R8" s="92" t="s">
        <v>30</v>
      </c>
      <c r="S8" s="92" t="s">
        <v>31</v>
      </c>
      <c r="T8" s="92" t="s">
        <v>32</v>
      </c>
      <c r="U8" s="93" t="s">
        <v>38</v>
      </c>
      <c r="V8" s="93"/>
      <c r="W8" s="93"/>
      <c r="X8" s="93" t="s">
        <v>39</v>
      </c>
      <c r="Y8" s="93"/>
      <c r="Z8" s="93"/>
      <c r="AA8" s="93"/>
      <c r="AB8" s="93" t="s">
        <v>40</v>
      </c>
      <c r="AC8" s="93"/>
      <c r="AD8" s="93"/>
      <c r="AE8" s="93" t="s">
        <v>41</v>
      </c>
      <c r="AF8" s="94"/>
      <c r="AG8" s="95"/>
      <c r="AH8" s="101"/>
      <c r="AI8" s="102"/>
      <c r="AJ8" s="102"/>
      <c r="AK8" s="102"/>
      <c r="AL8" s="103"/>
      <c r="AN8" s="79" t="s">
        <v>3</v>
      </c>
      <c r="AO8" s="79" t="s">
        <v>4</v>
      </c>
      <c r="AP8" s="79" t="s">
        <v>5</v>
      </c>
      <c r="AY8" s="79" t="s">
        <v>3</v>
      </c>
      <c r="AZ8" s="79" t="s">
        <v>4</v>
      </c>
      <c r="BA8" s="79" t="s">
        <v>5</v>
      </c>
    </row>
    <row r="9" spans="1:57" s="3" customFormat="1" ht="72" customHeight="1" x14ac:dyDescent="0.2">
      <c r="A9" s="85"/>
      <c r="B9" s="89"/>
      <c r="C9" s="90"/>
      <c r="D9" s="88"/>
      <c r="E9" s="91"/>
      <c r="F9" s="87"/>
      <c r="G9" s="88"/>
      <c r="H9" s="88"/>
      <c r="I9" s="88"/>
      <c r="J9" s="88"/>
      <c r="K9" s="85"/>
      <c r="L9" s="79"/>
      <c r="M9" s="79"/>
      <c r="N9" s="79"/>
      <c r="O9" s="79"/>
      <c r="P9" s="79"/>
      <c r="Q9" s="92"/>
      <c r="R9" s="92"/>
      <c r="S9" s="92"/>
      <c r="T9" s="92"/>
      <c r="U9" s="8" t="s">
        <v>16</v>
      </c>
      <c r="V9" s="8" t="s">
        <v>6</v>
      </c>
      <c r="W9" s="9" t="s">
        <v>7</v>
      </c>
      <c r="X9" s="8" t="s">
        <v>17</v>
      </c>
      <c r="Y9" s="8" t="s">
        <v>16</v>
      </c>
      <c r="Z9" s="8" t="s">
        <v>6</v>
      </c>
      <c r="AA9" s="9" t="s">
        <v>7</v>
      </c>
      <c r="AB9" s="8" t="s">
        <v>16</v>
      </c>
      <c r="AC9" s="8" t="s">
        <v>6</v>
      </c>
      <c r="AD9" s="9" t="s">
        <v>7</v>
      </c>
      <c r="AE9" s="8" t="s">
        <v>16</v>
      </c>
      <c r="AF9" s="8" t="s">
        <v>6</v>
      </c>
      <c r="AG9" s="9" t="s">
        <v>7</v>
      </c>
      <c r="AH9" s="104"/>
      <c r="AI9" s="105"/>
      <c r="AJ9" s="105"/>
      <c r="AK9" s="105"/>
      <c r="AL9" s="106"/>
      <c r="AN9" s="79"/>
      <c r="AO9" s="79"/>
      <c r="AP9" s="79"/>
      <c r="AY9" s="79"/>
      <c r="AZ9" s="79"/>
      <c r="BA9" s="79"/>
      <c r="BC9" s="3" t="s">
        <v>82</v>
      </c>
      <c r="BD9" s="3" t="s">
        <v>83</v>
      </c>
      <c r="BE9" s="3" t="s">
        <v>84</v>
      </c>
    </row>
    <row r="10" spans="1:57" x14ac:dyDescent="0.2">
      <c r="A10" s="13">
        <v>1</v>
      </c>
      <c r="B10" s="3">
        <v>2</v>
      </c>
      <c r="C10" s="17">
        <v>5</v>
      </c>
      <c r="D10" s="3">
        <v>4</v>
      </c>
      <c r="E10" s="18">
        <v>7</v>
      </c>
      <c r="F10" s="18">
        <v>5</v>
      </c>
      <c r="G10" s="18">
        <v>71</v>
      </c>
      <c r="H10" s="19">
        <v>1</v>
      </c>
      <c r="I10" s="18">
        <v>5</v>
      </c>
      <c r="J10" s="18">
        <v>22</v>
      </c>
      <c r="K10" s="20">
        <v>130</v>
      </c>
      <c r="L10" s="18">
        <v>260</v>
      </c>
      <c r="M10" s="18">
        <v>245</v>
      </c>
      <c r="N10" s="18">
        <v>295</v>
      </c>
      <c r="O10" s="18">
        <v>88</v>
      </c>
      <c r="P10" s="18">
        <v>238</v>
      </c>
      <c r="Q10" s="17">
        <v>2</v>
      </c>
      <c r="R10" s="17">
        <v>2</v>
      </c>
      <c r="S10" s="17">
        <v>0</v>
      </c>
      <c r="T10" s="17">
        <v>1</v>
      </c>
      <c r="U10" s="17">
        <v>2</v>
      </c>
      <c r="V10" s="3">
        <v>8</v>
      </c>
      <c r="W10" s="20">
        <v>57</v>
      </c>
      <c r="X10" s="17">
        <v>8</v>
      </c>
      <c r="Y10" s="17">
        <v>5</v>
      </c>
      <c r="Z10" s="17">
        <v>0</v>
      </c>
      <c r="AA10" s="20">
        <v>840</v>
      </c>
      <c r="AB10" s="3"/>
      <c r="AC10" s="3"/>
      <c r="AD10" s="20"/>
      <c r="AE10" s="3"/>
      <c r="AF10" s="3"/>
      <c r="AG10" s="20"/>
      <c r="AH10" s="96" t="s">
        <v>85</v>
      </c>
      <c r="AI10" s="96"/>
      <c r="AJ10" s="96"/>
      <c r="AK10" s="96"/>
      <c r="AL10" s="97"/>
      <c r="AN10" s="67">
        <f>N10-AY10</f>
        <v>-2.0486839502706857</v>
      </c>
      <c r="AO10" s="67">
        <f>O10-AZ10</f>
        <v>-0.38403969997190757</v>
      </c>
      <c r="AP10" s="67">
        <f>P10-BA10</f>
        <v>-1.2869143939119851</v>
      </c>
      <c r="AY10" s="67">
        <f t="shared" ref="AY10:AY40" si="0">10*(BE10-BD10*((L10/10)-(M10/10))*0.00066*(1+(0.00115*(M10/10))))</f>
        <v>297.04868395027069</v>
      </c>
      <c r="AZ10" s="67">
        <f t="shared" ref="AZ10:AZ40" si="1">((AY10/10)*100)/BC10</f>
        <v>88.384039699971908</v>
      </c>
      <c r="BA10" s="67">
        <f>(243.5*LN((AY10/10)/6.112))/(17.67-LN((AY10/10)/6.112))*10</f>
        <v>239.28691439391199</v>
      </c>
      <c r="BC10">
        <f>6.112*2.718^((17.67*(L10/10))/((L10/10)+243.5))</f>
        <v>33.608860260136439</v>
      </c>
      <c r="BD10">
        <v>1013.2</v>
      </c>
      <c r="BE10">
        <f>6.112*2.718^((17.67*(M10/10))/((M10/10)+243.5))</f>
        <v>30.736197835927069</v>
      </c>
    </row>
    <row r="11" spans="1:57" x14ac:dyDescent="0.2">
      <c r="A11" s="13">
        <v>2</v>
      </c>
      <c r="B11" s="3">
        <v>2</v>
      </c>
      <c r="C11" s="17">
        <v>2</v>
      </c>
      <c r="D11" s="3">
        <v>4</v>
      </c>
      <c r="E11" s="18">
        <v>7</v>
      </c>
      <c r="F11" s="18">
        <v>4</v>
      </c>
      <c r="G11" s="18">
        <v>78</v>
      </c>
      <c r="H11" s="19">
        <v>2</v>
      </c>
      <c r="I11" s="18"/>
      <c r="J11" s="18"/>
      <c r="K11" s="20">
        <v>127</v>
      </c>
      <c r="L11" s="18">
        <v>261</v>
      </c>
      <c r="M11" s="18">
        <v>243</v>
      </c>
      <c r="N11" s="18">
        <v>290</v>
      </c>
      <c r="O11" s="18">
        <v>86</v>
      </c>
      <c r="P11" s="18">
        <v>235</v>
      </c>
      <c r="Q11" s="17">
        <v>2</v>
      </c>
      <c r="R11" s="17">
        <v>2</v>
      </c>
      <c r="S11" s="17">
        <v>0</v>
      </c>
      <c r="T11" s="17">
        <v>1</v>
      </c>
      <c r="U11" s="17">
        <v>2</v>
      </c>
      <c r="V11" s="3">
        <v>8</v>
      </c>
      <c r="W11" s="20">
        <v>60</v>
      </c>
      <c r="X11" s="17">
        <v>8</v>
      </c>
      <c r="Y11" s="3"/>
      <c r="Z11" s="3"/>
      <c r="AA11" s="20"/>
      <c r="AB11" s="3"/>
      <c r="AC11" s="3"/>
      <c r="AD11" s="20"/>
      <c r="AE11" s="3"/>
      <c r="AF11" s="3"/>
      <c r="AG11" s="20"/>
      <c r="AH11" s="107"/>
      <c r="AI11" s="107"/>
      <c r="AJ11" s="107"/>
      <c r="AK11" s="107"/>
      <c r="AL11" s="108"/>
      <c r="AN11" s="67">
        <f t="shared" ref="AN11:AP39" si="2">N11-AY11</f>
        <v>-1.3258980695981109</v>
      </c>
      <c r="AO11" s="67">
        <f t="shared" si="2"/>
        <v>-0.16953553721842241</v>
      </c>
      <c r="AP11" s="67">
        <f t="shared" si="2"/>
        <v>-1.057282897487994</v>
      </c>
      <c r="AY11" s="67">
        <f t="shared" si="0"/>
        <v>291.32589806959811</v>
      </c>
      <c r="AZ11" s="67">
        <f t="shared" si="1"/>
        <v>86.169535537218422</v>
      </c>
      <c r="BA11" s="67">
        <f t="shared" ref="BA11:BA40" si="3">(243.5*LN((AY11/10)/6.112))/(17.67-LN((AY11/10)/6.112))*10</f>
        <v>236.05728289748799</v>
      </c>
      <c r="BC11">
        <f t="shared" ref="BC11:BC40" si="4">6.112*2.718^((17.67*(L11/10))/((L11/10)+243.5))</f>
        <v>33.808456347518359</v>
      </c>
      <c r="BD11">
        <v>1013.2</v>
      </c>
      <c r="BE11">
        <f t="shared" ref="BE11:BE40" si="5">6.112*2.718^((17.67*(M11/10))/((M11/10)+243.5))</f>
        <v>30.369908289271816</v>
      </c>
    </row>
    <row r="12" spans="1:57" x14ac:dyDescent="0.2">
      <c r="A12" s="13">
        <v>3</v>
      </c>
      <c r="B12" s="3">
        <v>2</v>
      </c>
      <c r="C12" s="17">
        <v>2</v>
      </c>
      <c r="D12" s="3">
        <v>4</v>
      </c>
      <c r="E12" s="18">
        <v>6</v>
      </c>
      <c r="F12" s="18">
        <v>5</v>
      </c>
      <c r="G12" s="18">
        <v>70</v>
      </c>
      <c r="H12" s="19">
        <v>1</v>
      </c>
      <c r="I12" s="18">
        <v>6</v>
      </c>
      <c r="J12" s="18">
        <v>11</v>
      </c>
      <c r="K12" s="20">
        <v>119</v>
      </c>
      <c r="L12" s="18">
        <v>262</v>
      </c>
      <c r="M12" s="18">
        <v>242</v>
      </c>
      <c r="N12" s="18">
        <v>287</v>
      </c>
      <c r="O12" s="18">
        <v>84</v>
      </c>
      <c r="P12" s="18">
        <v>233</v>
      </c>
      <c r="Q12" s="17">
        <v>2</v>
      </c>
      <c r="R12" s="17">
        <v>4</v>
      </c>
      <c r="S12" s="17">
        <v>6</v>
      </c>
      <c r="T12" s="17">
        <v>1</v>
      </c>
      <c r="U12" s="17">
        <v>1</v>
      </c>
      <c r="V12" s="3">
        <v>8</v>
      </c>
      <c r="W12" s="20">
        <v>57</v>
      </c>
      <c r="X12" s="17">
        <v>8</v>
      </c>
      <c r="Y12" s="3"/>
      <c r="Z12" s="3"/>
      <c r="AA12" s="20"/>
      <c r="AB12" s="3"/>
      <c r="AC12" s="3"/>
      <c r="AD12" s="20"/>
      <c r="AE12" s="3"/>
      <c r="AF12" s="3"/>
      <c r="AG12" s="20"/>
      <c r="AH12" s="107" t="s">
        <v>85</v>
      </c>
      <c r="AI12" s="107"/>
      <c r="AJ12" s="107"/>
      <c r="AK12" s="107"/>
      <c r="AL12" s="108"/>
      <c r="AN12" s="67">
        <f t="shared" si="2"/>
        <v>-1.1355640742078776</v>
      </c>
      <c r="AO12" s="67">
        <f t="shared" si="2"/>
        <v>-0.72310700127358984</v>
      </c>
      <c r="AP12" s="67">
        <f t="shared" si="2"/>
        <v>-1.2326307195714321</v>
      </c>
      <c r="AY12" s="67">
        <f t="shared" si="0"/>
        <v>288.13556407420788</v>
      </c>
      <c r="AZ12" s="67">
        <f t="shared" si="1"/>
        <v>84.72310700127359</v>
      </c>
      <c r="BA12" s="67">
        <f t="shared" si="3"/>
        <v>234.23263071957143</v>
      </c>
      <c r="BC12">
        <f t="shared" si="4"/>
        <v>34.009088461531107</v>
      </c>
      <c r="BD12">
        <v>1013.2</v>
      </c>
      <c r="BE12">
        <f t="shared" si="5"/>
        <v>30.188200917340787</v>
      </c>
    </row>
    <row r="13" spans="1:57" x14ac:dyDescent="0.2">
      <c r="A13" s="13">
        <v>4</v>
      </c>
      <c r="B13" s="3">
        <v>2</v>
      </c>
      <c r="C13" s="17">
        <v>1</v>
      </c>
      <c r="D13" s="3">
        <v>4</v>
      </c>
      <c r="E13" s="18">
        <v>7</v>
      </c>
      <c r="F13" s="18">
        <v>5</v>
      </c>
      <c r="G13" s="18">
        <v>75</v>
      </c>
      <c r="H13" s="19">
        <v>2</v>
      </c>
      <c r="I13" s="18"/>
      <c r="J13" s="18"/>
      <c r="K13" s="20">
        <v>120</v>
      </c>
      <c r="L13" s="18">
        <v>258</v>
      </c>
      <c r="M13" s="18">
        <v>240</v>
      </c>
      <c r="N13" s="18">
        <v>285</v>
      </c>
      <c r="O13" s="18">
        <v>85</v>
      </c>
      <c r="P13" s="18">
        <v>232</v>
      </c>
      <c r="Q13" s="17">
        <v>1</v>
      </c>
      <c r="R13" s="17">
        <v>2</v>
      </c>
      <c r="S13" s="17">
        <v>0</v>
      </c>
      <c r="T13" s="17">
        <v>0</v>
      </c>
      <c r="U13" s="17">
        <v>1</v>
      </c>
      <c r="V13" s="3">
        <v>8</v>
      </c>
      <c r="W13" s="20">
        <v>60</v>
      </c>
      <c r="X13" s="17">
        <v>8</v>
      </c>
      <c r="Y13" s="3"/>
      <c r="Z13" s="3"/>
      <c r="AA13" s="20"/>
      <c r="AB13" s="3"/>
      <c r="AC13" s="3"/>
      <c r="AD13" s="20"/>
      <c r="AE13" s="3"/>
      <c r="AF13" s="3"/>
      <c r="AG13" s="20"/>
      <c r="AH13" s="107"/>
      <c r="AI13" s="107"/>
      <c r="AJ13" s="107"/>
      <c r="AK13" s="107"/>
      <c r="AL13" s="108"/>
      <c r="AN13" s="67">
        <f t="shared" si="2"/>
        <v>-0.90736502142067366</v>
      </c>
      <c r="AO13" s="67">
        <f t="shared" si="2"/>
        <v>-1.083596119404092</v>
      </c>
      <c r="AP13" s="67">
        <f t="shared" si="2"/>
        <v>-0.94772868416913525</v>
      </c>
      <c r="AY13" s="67">
        <f t="shared" si="0"/>
        <v>285.90736502142067</v>
      </c>
      <c r="AZ13" s="67">
        <f t="shared" si="1"/>
        <v>86.083596119404092</v>
      </c>
      <c r="BA13" s="67">
        <f t="shared" si="3"/>
        <v>232.94772868416914</v>
      </c>
      <c r="BC13">
        <f t="shared" si="4"/>
        <v>33.212758052631393</v>
      </c>
      <c r="BD13">
        <v>1013.2</v>
      </c>
      <c r="BE13">
        <f t="shared" si="5"/>
        <v>29.827639714302066</v>
      </c>
    </row>
    <row r="14" spans="1:57" x14ac:dyDescent="0.2">
      <c r="A14" s="13">
        <v>5</v>
      </c>
      <c r="B14" s="3">
        <v>2</v>
      </c>
      <c r="C14" s="17">
        <v>4</v>
      </c>
      <c r="D14" s="3">
        <v>4</v>
      </c>
      <c r="E14" s="18">
        <v>11</v>
      </c>
      <c r="F14" s="18">
        <v>12</v>
      </c>
      <c r="G14" s="18">
        <v>80</v>
      </c>
      <c r="H14" s="19">
        <v>2</v>
      </c>
      <c r="I14" s="18"/>
      <c r="J14" s="18"/>
      <c r="K14" s="20">
        <v>130</v>
      </c>
      <c r="L14" s="18">
        <v>268</v>
      </c>
      <c r="M14" s="18">
        <v>247</v>
      </c>
      <c r="N14" s="18">
        <v>295</v>
      </c>
      <c r="O14" s="18">
        <v>83</v>
      </c>
      <c r="P14" s="18">
        <v>238</v>
      </c>
      <c r="Q14" s="17">
        <v>4</v>
      </c>
      <c r="R14" s="17">
        <v>2</v>
      </c>
      <c r="S14" s="17">
        <v>0</v>
      </c>
      <c r="T14" s="17">
        <v>1</v>
      </c>
      <c r="U14" s="17">
        <v>4</v>
      </c>
      <c r="V14" s="3">
        <v>8</v>
      </c>
      <c r="W14" s="20">
        <v>54</v>
      </c>
      <c r="X14" s="17">
        <v>8</v>
      </c>
      <c r="Y14" s="3"/>
      <c r="Z14" s="3"/>
      <c r="AA14" s="20"/>
      <c r="AB14" s="3"/>
      <c r="AC14" s="3"/>
      <c r="AD14" s="20"/>
      <c r="AE14" s="3"/>
      <c r="AF14" s="3"/>
      <c r="AG14" s="20"/>
      <c r="AH14" s="107"/>
      <c r="AI14" s="107"/>
      <c r="AJ14" s="107"/>
      <c r="AK14" s="107"/>
      <c r="AL14" s="108"/>
      <c r="AN14" s="67">
        <f t="shared" si="2"/>
        <v>-1.6216477474301882</v>
      </c>
      <c r="AO14" s="67">
        <f t="shared" si="2"/>
        <v>-1.1840624916585512</v>
      </c>
      <c r="AP14" s="67">
        <f t="shared" si="2"/>
        <v>-1.0478080652182484</v>
      </c>
      <c r="AY14" s="67">
        <f t="shared" si="0"/>
        <v>296.62164774743019</v>
      </c>
      <c r="AZ14" s="67">
        <f t="shared" si="1"/>
        <v>84.184062491658551</v>
      </c>
      <c r="BA14" s="67">
        <f t="shared" si="3"/>
        <v>239.04780806521825</v>
      </c>
      <c r="BC14">
        <f t="shared" si="4"/>
        <v>35.234893514056914</v>
      </c>
      <c r="BD14">
        <v>1013.2</v>
      </c>
      <c r="BE14">
        <f t="shared" si="5"/>
        <v>31.106348979899021</v>
      </c>
    </row>
    <row r="15" spans="1:57" x14ac:dyDescent="0.2">
      <c r="A15" s="13">
        <v>6</v>
      </c>
      <c r="B15" s="3">
        <v>2</v>
      </c>
      <c r="C15" s="17">
        <v>3</v>
      </c>
      <c r="D15" s="3">
        <v>4</v>
      </c>
      <c r="E15" s="18">
        <v>11</v>
      </c>
      <c r="F15" s="18">
        <v>15</v>
      </c>
      <c r="G15" s="18">
        <v>78</v>
      </c>
      <c r="H15" s="19">
        <v>2</v>
      </c>
      <c r="I15" s="18"/>
      <c r="J15" s="18"/>
      <c r="K15" s="20">
        <v>128</v>
      </c>
      <c r="L15" s="18">
        <v>268</v>
      </c>
      <c r="M15" s="18">
        <v>245</v>
      </c>
      <c r="N15" s="18">
        <v>290</v>
      </c>
      <c r="O15" s="18">
        <v>82</v>
      </c>
      <c r="P15" s="18">
        <v>235</v>
      </c>
      <c r="Q15" s="17">
        <v>3</v>
      </c>
      <c r="R15" s="17">
        <v>2</v>
      </c>
      <c r="S15" s="17">
        <v>0</v>
      </c>
      <c r="T15" s="17">
        <v>0</v>
      </c>
      <c r="U15" s="17">
        <v>3</v>
      </c>
      <c r="V15" s="3">
        <v>8</v>
      </c>
      <c r="W15" s="20">
        <v>60</v>
      </c>
      <c r="X15" s="17">
        <v>8</v>
      </c>
      <c r="Y15" s="3"/>
      <c r="Z15" s="3"/>
      <c r="AA15" s="20"/>
      <c r="AB15" s="3"/>
      <c r="AC15" s="3"/>
      <c r="AD15" s="20"/>
      <c r="AE15" s="3"/>
      <c r="AF15" s="3"/>
      <c r="AG15" s="20"/>
      <c r="AH15" s="107"/>
      <c r="AI15" s="107"/>
      <c r="AJ15" s="107"/>
      <c r="AK15" s="107"/>
      <c r="AL15" s="108"/>
      <c r="AN15" s="67">
        <f t="shared" si="2"/>
        <v>-1.5482602654706739</v>
      </c>
      <c r="AO15" s="67">
        <f t="shared" si="2"/>
        <v>-0.74418656868023447</v>
      </c>
      <c r="AP15" s="67">
        <f t="shared" si="2"/>
        <v>-1.1838053580768531</v>
      </c>
      <c r="AY15" s="67">
        <f t="shared" si="0"/>
        <v>291.54826026547067</v>
      </c>
      <c r="AZ15" s="67">
        <f t="shared" si="1"/>
        <v>82.744186568680234</v>
      </c>
      <c r="BA15" s="67">
        <f t="shared" si="3"/>
        <v>236.18380535807685</v>
      </c>
      <c r="BC15">
        <f t="shared" si="4"/>
        <v>35.234893514056914</v>
      </c>
      <c r="BD15">
        <v>1013.2</v>
      </c>
      <c r="BE15">
        <f t="shared" si="5"/>
        <v>30.736197835927069</v>
      </c>
    </row>
    <row r="16" spans="1:57" x14ac:dyDescent="0.2">
      <c r="A16" s="13">
        <v>7</v>
      </c>
      <c r="B16" s="3">
        <v>2</v>
      </c>
      <c r="C16" s="17">
        <v>1</v>
      </c>
      <c r="D16" s="3">
        <v>4</v>
      </c>
      <c r="E16" s="18">
        <v>9</v>
      </c>
      <c r="F16" s="18">
        <v>10</v>
      </c>
      <c r="G16" s="18">
        <v>80</v>
      </c>
      <c r="H16" s="19">
        <v>2</v>
      </c>
      <c r="I16" s="18"/>
      <c r="J16" s="18"/>
      <c r="K16" s="20">
        <v>117</v>
      </c>
      <c r="L16" s="18">
        <v>264</v>
      </c>
      <c r="M16" s="18">
        <v>241</v>
      </c>
      <c r="N16" s="18">
        <v>284</v>
      </c>
      <c r="O16" s="18">
        <v>82</v>
      </c>
      <c r="P16" s="18">
        <v>231</v>
      </c>
      <c r="Q16" s="17">
        <v>1</v>
      </c>
      <c r="R16" s="17">
        <v>2</v>
      </c>
      <c r="S16" s="17">
        <v>0</v>
      </c>
      <c r="T16" s="17">
        <v>0</v>
      </c>
      <c r="U16" s="17">
        <v>1</v>
      </c>
      <c r="V16" s="3">
        <v>8</v>
      </c>
      <c r="W16" s="20">
        <v>63</v>
      </c>
      <c r="X16" s="17">
        <v>8</v>
      </c>
      <c r="Y16" s="3"/>
      <c r="Z16" s="3"/>
      <c r="AA16" s="20"/>
      <c r="AB16" s="3"/>
      <c r="AC16" s="3"/>
      <c r="AD16" s="20"/>
      <c r="AE16" s="3"/>
      <c r="AF16" s="3"/>
      <c r="AG16" s="20"/>
      <c r="AH16" s="107"/>
      <c r="AI16" s="107"/>
      <c r="AJ16" s="107"/>
      <c r="AK16" s="107"/>
      <c r="AL16" s="108"/>
      <c r="AN16" s="67">
        <f t="shared" si="2"/>
        <v>-0.26781826005122866</v>
      </c>
      <c r="AO16" s="67">
        <f t="shared" si="2"/>
        <v>-0.60362703967784626</v>
      </c>
      <c r="AP16" s="67">
        <f t="shared" si="2"/>
        <v>-0.99666201220344419</v>
      </c>
      <c r="AY16" s="67">
        <f t="shared" si="0"/>
        <v>284.26781826005123</v>
      </c>
      <c r="AZ16" s="67">
        <f t="shared" si="1"/>
        <v>82.603627039677846</v>
      </c>
      <c r="BA16" s="67">
        <f t="shared" si="3"/>
        <v>231.99666201220344</v>
      </c>
      <c r="BC16">
        <f t="shared" si="4"/>
        <v>34.41347897756426</v>
      </c>
      <c r="BD16">
        <v>1013.2</v>
      </c>
      <c r="BE16">
        <f t="shared" si="5"/>
        <v>30.007446138089119</v>
      </c>
    </row>
    <row r="17" spans="1:57" x14ac:dyDescent="0.2">
      <c r="A17" s="13">
        <v>8</v>
      </c>
      <c r="B17" s="3">
        <v>2</v>
      </c>
      <c r="C17" s="17">
        <v>1</v>
      </c>
      <c r="D17" s="3">
        <v>4</v>
      </c>
      <c r="E17" s="18">
        <v>9</v>
      </c>
      <c r="F17" s="18">
        <v>12</v>
      </c>
      <c r="G17" s="18">
        <v>78</v>
      </c>
      <c r="H17" s="19">
        <v>2</v>
      </c>
      <c r="I17" s="18"/>
      <c r="J17" s="18"/>
      <c r="K17" s="20">
        <v>106</v>
      </c>
      <c r="L17" s="18">
        <v>265</v>
      </c>
      <c r="M17" s="18">
        <v>240</v>
      </c>
      <c r="N17" s="18">
        <v>279</v>
      </c>
      <c r="O17" s="18">
        <v>81</v>
      </c>
      <c r="P17" s="18">
        <v>229</v>
      </c>
      <c r="Q17" s="17">
        <v>1</v>
      </c>
      <c r="R17" s="17">
        <v>1</v>
      </c>
      <c r="S17" s="17">
        <v>0</v>
      </c>
      <c r="T17" s="17">
        <v>1</v>
      </c>
      <c r="U17" s="17">
        <v>1</v>
      </c>
      <c r="V17" s="3">
        <v>8</v>
      </c>
      <c r="W17" s="20">
        <v>66</v>
      </c>
      <c r="X17" s="17">
        <v>8</v>
      </c>
      <c r="Y17" s="3"/>
      <c r="Z17" s="3"/>
      <c r="AA17" s="20"/>
      <c r="AB17" s="3"/>
      <c r="AC17" s="3"/>
      <c r="AD17" s="20"/>
      <c r="AE17" s="3"/>
      <c r="AF17" s="3"/>
      <c r="AG17" s="20"/>
      <c r="AH17" s="107"/>
      <c r="AI17" s="107"/>
      <c r="AJ17" s="107"/>
      <c r="AK17" s="107"/>
      <c r="AL17" s="108"/>
      <c r="AN17" s="67">
        <f t="shared" si="2"/>
        <v>-2.097185863020627</v>
      </c>
      <c r="AO17" s="67">
        <f t="shared" si="2"/>
        <v>-0.20148599099951525</v>
      </c>
      <c r="AP17" s="67">
        <f t="shared" si="2"/>
        <v>-1.1437315896329778</v>
      </c>
      <c r="AY17" s="67">
        <f t="shared" si="0"/>
        <v>281.09718586302063</v>
      </c>
      <c r="AZ17" s="67">
        <f t="shared" si="1"/>
        <v>81.201485990999515</v>
      </c>
      <c r="BA17" s="67">
        <f t="shared" si="3"/>
        <v>230.14373158963298</v>
      </c>
      <c r="BC17">
        <f t="shared" si="4"/>
        <v>34.617246523564582</v>
      </c>
      <c r="BD17">
        <v>1013.2</v>
      </c>
      <c r="BE17">
        <f t="shared" si="5"/>
        <v>29.827639714302066</v>
      </c>
    </row>
    <row r="18" spans="1:57" x14ac:dyDescent="0.2">
      <c r="A18" s="13">
        <v>9</v>
      </c>
      <c r="B18" s="3">
        <v>2</v>
      </c>
      <c r="C18" s="17">
        <v>3</v>
      </c>
      <c r="D18" s="3">
        <v>4</v>
      </c>
      <c r="E18" s="18">
        <v>11</v>
      </c>
      <c r="F18" s="18">
        <v>13</v>
      </c>
      <c r="G18" s="18">
        <v>72</v>
      </c>
      <c r="H18" s="19">
        <v>1</v>
      </c>
      <c r="I18" s="18">
        <v>5</v>
      </c>
      <c r="J18" s="18">
        <v>0</v>
      </c>
      <c r="K18" s="20">
        <v>115</v>
      </c>
      <c r="L18" s="18">
        <v>268</v>
      </c>
      <c r="M18" s="18">
        <v>247</v>
      </c>
      <c r="N18" s="18">
        <v>295</v>
      </c>
      <c r="O18" s="18">
        <v>83</v>
      </c>
      <c r="P18" s="18">
        <v>238</v>
      </c>
      <c r="Q18" s="17">
        <v>3</v>
      </c>
      <c r="R18" s="17">
        <v>2</v>
      </c>
      <c r="S18" s="17">
        <v>0</v>
      </c>
      <c r="T18" s="17">
        <v>0</v>
      </c>
      <c r="U18" s="17">
        <v>3</v>
      </c>
      <c r="V18" s="3">
        <v>8</v>
      </c>
      <c r="W18" s="20">
        <v>54</v>
      </c>
      <c r="X18" s="17">
        <v>8</v>
      </c>
      <c r="Y18" s="3"/>
      <c r="Z18" s="3"/>
      <c r="AA18" s="20"/>
      <c r="AB18" s="3"/>
      <c r="AC18" s="3"/>
      <c r="AD18" s="20"/>
      <c r="AE18" s="3"/>
      <c r="AF18" s="3"/>
      <c r="AG18" s="20"/>
      <c r="AH18" s="107" t="s">
        <v>85</v>
      </c>
      <c r="AI18" s="107"/>
      <c r="AJ18" s="107"/>
      <c r="AK18" s="107"/>
      <c r="AL18" s="108"/>
      <c r="AN18" s="67">
        <f t="shared" si="2"/>
        <v>-1.6216477474301882</v>
      </c>
      <c r="AO18" s="67">
        <f t="shared" si="2"/>
        <v>-1.1840624916585512</v>
      </c>
      <c r="AP18" s="67">
        <f t="shared" si="2"/>
        <v>-1.0478080652182484</v>
      </c>
      <c r="AY18" s="67">
        <f t="shared" si="0"/>
        <v>296.62164774743019</v>
      </c>
      <c r="AZ18" s="67">
        <f t="shared" si="1"/>
        <v>84.184062491658551</v>
      </c>
      <c r="BA18" s="67">
        <f t="shared" si="3"/>
        <v>239.04780806521825</v>
      </c>
      <c r="BC18">
        <f t="shared" si="4"/>
        <v>35.234893514056914</v>
      </c>
      <c r="BD18">
        <v>1013.2</v>
      </c>
      <c r="BE18">
        <f t="shared" si="5"/>
        <v>31.106348979899021</v>
      </c>
    </row>
    <row r="19" spans="1:57" x14ac:dyDescent="0.2">
      <c r="A19" s="13">
        <v>10</v>
      </c>
      <c r="B19" s="3">
        <v>2</v>
      </c>
      <c r="C19" s="17">
        <v>2</v>
      </c>
      <c r="D19" s="3">
        <v>4</v>
      </c>
      <c r="E19" s="18">
        <v>8</v>
      </c>
      <c r="F19" s="18">
        <v>11</v>
      </c>
      <c r="G19" s="18">
        <v>78</v>
      </c>
      <c r="H19" s="19">
        <v>2</v>
      </c>
      <c r="I19" s="18"/>
      <c r="J19" s="18"/>
      <c r="K19" s="20">
        <v>117</v>
      </c>
      <c r="L19" s="18">
        <v>261</v>
      </c>
      <c r="M19" s="18">
        <v>245</v>
      </c>
      <c r="N19" s="18">
        <v>295</v>
      </c>
      <c r="O19" s="18">
        <v>87</v>
      </c>
      <c r="P19" s="18">
        <v>238</v>
      </c>
      <c r="Q19" s="17">
        <v>1</v>
      </c>
      <c r="R19" s="17">
        <v>2</v>
      </c>
      <c r="S19" s="17">
        <v>0</v>
      </c>
      <c r="T19" s="17">
        <v>1</v>
      </c>
      <c r="U19" s="17">
        <v>1</v>
      </c>
      <c r="V19" s="3">
        <v>8</v>
      </c>
      <c r="W19" s="20">
        <v>60</v>
      </c>
      <c r="X19" s="17">
        <v>8</v>
      </c>
      <c r="Y19" s="3"/>
      <c r="Z19" s="3"/>
      <c r="AA19" s="20"/>
      <c r="AB19" s="3"/>
      <c r="AC19" s="3"/>
      <c r="AD19" s="20"/>
      <c r="AE19" s="3"/>
      <c r="AF19" s="3"/>
      <c r="AG19" s="20"/>
      <c r="AH19" s="107"/>
      <c r="AI19" s="107"/>
      <c r="AJ19" s="107"/>
      <c r="AK19" s="107"/>
      <c r="AL19" s="108"/>
      <c r="AN19" s="67">
        <f t="shared" si="2"/>
        <v>-1.3611309896706985</v>
      </c>
      <c r="AO19" s="67">
        <f t="shared" si="2"/>
        <v>-0.6588768038871109</v>
      </c>
      <c r="AP19" s="67">
        <f t="shared" si="2"/>
        <v>-0.90179130373326188</v>
      </c>
      <c r="AY19" s="67">
        <f t="shared" si="0"/>
        <v>296.3611309896707</v>
      </c>
      <c r="AZ19" s="67">
        <f t="shared" si="1"/>
        <v>87.658876803887111</v>
      </c>
      <c r="BA19" s="67">
        <f t="shared" si="3"/>
        <v>238.90179130373326</v>
      </c>
      <c r="BC19">
        <f t="shared" si="4"/>
        <v>33.808456347518359</v>
      </c>
      <c r="BD19">
        <v>1013.2</v>
      </c>
      <c r="BE19">
        <f t="shared" si="5"/>
        <v>30.736197835927069</v>
      </c>
    </row>
    <row r="20" spans="1:57" x14ac:dyDescent="0.2">
      <c r="A20" s="13">
        <v>11</v>
      </c>
      <c r="B20" s="3">
        <v>2</v>
      </c>
      <c r="C20" s="17">
        <v>2</v>
      </c>
      <c r="D20" s="3">
        <v>4</v>
      </c>
      <c r="E20" s="18">
        <v>9</v>
      </c>
      <c r="F20" s="18">
        <v>5</v>
      </c>
      <c r="G20" s="18">
        <v>78</v>
      </c>
      <c r="H20" s="19">
        <v>2</v>
      </c>
      <c r="I20" s="18"/>
      <c r="J20" s="18"/>
      <c r="K20" s="20">
        <v>91</v>
      </c>
      <c r="L20" s="18">
        <v>260</v>
      </c>
      <c r="M20" s="18">
        <v>242</v>
      </c>
      <c r="N20" s="18">
        <v>288</v>
      </c>
      <c r="O20" s="18">
        <v>85</v>
      </c>
      <c r="P20" s="18">
        <v>234</v>
      </c>
      <c r="Q20" s="17">
        <v>1</v>
      </c>
      <c r="R20" s="17">
        <v>2</v>
      </c>
      <c r="S20" s="17">
        <v>0</v>
      </c>
      <c r="T20" s="17">
        <v>1</v>
      </c>
      <c r="U20" s="17">
        <v>1</v>
      </c>
      <c r="V20" s="3">
        <v>8</v>
      </c>
      <c r="W20" s="20">
        <v>63</v>
      </c>
      <c r="X20" s="17">
        <v>8</v>
      </c>
      <c r="Y20" s="3"/>
      <c r="Z20" s="3"/>
      <c r="AA20" s="20"/>
      <c r="AB20" s="3"/>
      <c r="AC20" s="3"/>
      <c r="AD20" s="20"/>
      <c r="AE20" s="3"/>
      <c r="AF20" s="3"/>
      <c r="AG20" s="20"/>
      <c r="AH20" s="107"/>
      <c r="AI20" s="107"/>
      <c r="AJ20" s="107"/>
      <c r="AK20" s="107"/>
      <c r="AL20" s="108"/>
      <c r="AN20" s="67">
        <f t="shared" si="2"/>
        <v>-1.5102085841278381</v>
      </c>
      <c r="AO20" s="67">
        <f t="shared" si="2"/>
        <v>-1.141037316733005</v>
      </c>
      <c r="AP20" s="67">
        <f t="shared" si="2"/>
        <v>-1.0209918509873432</v>
      </c>
      <c r="AY20" s="67">
        <f t="shared" si="0"/>
        <v>289.51020858412784</v>
      </c>
      <c r="AZ20" s="67">
        <f t="shared" si="1"/>
        <v>86.141037316733005</v>
      </c>
      <c r="BA20" s="67">
        <f t="shared" si="3"/>
        <v>235.02099185098734</v>
      </c>
      <c r="BC20">
        <f t="shared" si="4"/>
        <v>33.608860260136439</v>
      </c>
      <c r="BD20">
        <v>1013.2</v>
      </c>
      <c r="BE20">
        <f t="shared" si="5"/>
        <v>30.188200917340787</v>
      </c>
    </row>
    <row r="21" spans="1:57" x14ac:dyDescent="0.2">
      <c r="A21" s="13">
        <v>12</v>
      </c>
      <c r="B21" s="3">
        <v>2</v>
      </c>
      <c r="C21" s="17">
        <v>5</v>
      </c>
      <c r="D21" s="3">
        <v>4</v>
      </c>
      <c r="E21" s="18">
        <v>0</v>
      </c>
      <c r="F21" s="18">
        <v>0</v>
      </c>
      <c r="G21" s="18">
        <v>72</v>
      </c>
      <c r="H21" s="19">
        <v>1</v>
      </c>
      <c r="I21" s="18">
        <v>5</v>
      </c>
      <c r="J21" s="18">
        <v>11</v>
      </c>
      <c r="K21" s="20">
        <v>97</v>
      </c>
      <c r="L21" s="18">
        <v>245</v>
      </c>
      <c r="M21" s="18">
        <v>235</v>
      </c>
      <c r="N21" s="18">
        <v>281</v>
      </c>
      <c r="O21" s="18">
        <v>92</v>
      </c>
      <c r="P21" s="18">
        <v>230</v>
      </c>
      <c r="Q21" s="17">
        <v>1</v>
      </c>
      <c r="R21" s="17">
        <v>2</v>
      </c>
      <c r="S21" s="17">
        <v>0</v>
      </c>
      <c r="T21" s="17">
        <v>2</v>
      </c>
      <c r="U21" s="17">
        <v>1</v>
      </c>
      <c r="V21" s="3">
        <v>8</v>
      </c>
      <c r="W21" s="20">
        <v>60</v>
      </c>
      <c r="X21" s="17">
        <v>8</v>
      </c>
      <c r="Y21" s="17">
        <v>5</v>
      </c>
      <c r="Z21" s="17">
        <v>0</v>
      </c>
      <c r="AA21" s="20">
        <v>840</v>
      </c>
      <c r="AB21" s="3"/>
      <c r="AC21" s="3"/>
      <c r="AD21" s="20"/>
      <c r="AE21" s="3"/>
      <c r="AF21" s="3"/>
      <c r="AG21" s="20"/>
      <c r="AH21" s="107" t="s">
        <v>85</v>
      </c>
      <c r="AI21" s="107"/>
      <c r="AJ21" s="107"/>
      <c r="AK21" s="107"/>
      <c r="AL21" s="108"/>
      <c r="AN21" s="67">
        <f t="shared" si="2"/>
        <v>-1.5590174016500669</v>
      </c>
      <c r="AO21" s="67">
        <f t="shared" si="2"/>
        <v>6.9625621887681177E-2</v>
      </c>
      <c r="AP21" s="67">
        <f t="shared" si="2"/>
        <v>-1.0002946068011056</v>
      </c>
      <c r="AY21" s="67">
        <f t="shared" si="0"/>
        <v>282.55901740165007</v>
      </c>
      <c r="AZ21" s="67">
        <f t="shared" si="1"/>
        <v>91.930374378112319</v>
      </c>
      <c r="BA21" s="67">
        <f t="shared" si="3"/>
        <v>231.00029460680111</v>
      </c>
      <c r="BC21">
        <f t="shared" si="4"/>
        <v>30.736197835927069</v>
      </c>
      <c r="BD21">
        <v>1013.2</v>
      </c>
      <c r="BE21">
        <f t="shared" si="5"/>
        <v>28.94268568196501</v>
      </c>
    </row>
    <row r="22" spans="1:57" x14ac:dyDescent="0.2">
      <c r="A22" s="13">
        <v>13</v>
      </c>
      <c r="B22" s="3">
        <v>2</v>
      </c>
      <c r="C22" s="17">
        <v>6</v>
      </c>
      <c r="D22" s="3">
        <v>4</v>
      </c>
      <c r="E22" s="18">
        <v>6</v>
      </c>
      <c r="F22" s="18">
        <v>6</v>
      </c>
      <c r="G22" s="18">
        <v>75</v>
      </c>
      <c r="H22" s="19">
        <v>2</v>
      </c>
      <c r="I22" s="18"/>
      <c r="J22" s="18"/>
      <c r="K22" s="20">
        <v>114</v>
      </c>
      <c r="L22" s="18">
        <v>262</v>
      </c>
      <c r="M22" s="18">
        <v>229</v>
      </c>
      <c r="N22" s="18">
        <v>254</v>
      </c>
      <c r="O22" s="18">
        <v>74</v>
      </c>
      <c r="P22" s="18">
        <v>213</v>
      </c>
      <c r="Q22" s="17">
        <v>1</v>
      </c>
      <c r="R22" s="17">
        <v>2</v>
      </c>
      <c r="S22" s="17">
        <v>0</v>
      </c>
      <c r="T22" s="17">
        <v>2</v>
      </c>
      <c r="U22" s="17">
        <v>1</v>
      </c>
      <c r="V22" s="3">
        <v>8</v>
      </c>
      <c r="W22" s="20">
        <v>60</v>
      </c>
      <c r="X22" s="17">
        <v>8</v>
      </c>
      <c r="Y22" s="17">
        <v>6</v>
      </c>
      <c r="Z22" s="17">
        <v>0</v>
      </c>
      <c r="AA22" s="20">
        <v>840</v>
      </c>
      <c r="AB22" s="3"/>
      <c r="AC22" s="3"/>
      <c r="AD22" s="20"/>
      <c r="AE22" s="3"/>
      <c r="AF22" s="3"/>
      <c r="AG22" s="20"/>
      <c r="AH22" s="96"/>
      <c r="AI22" s="96"/>
      <c r="AJ22" s="96"/>
      <c r="AK22" s="96"/>
      <c r="AL22" s="97"/>
      <c r="AN22" s="67">
        <f t="shared" si="2"/>
        <v>-2.4629939014021716</v>
      </c>
      <c r="AO22" s="67">
        <f t="shared" si="2"/>
        <v>-1.4101346148976006</v>
      </c>
      <c r="AP22" s="67">
        <f t="shared" si="2"/>
        <v>-2.0883769636628813</v>
      </c>
      <c r="AY22" s="67">
        <f t="shared" si="0"/>
        <v>256.46299390140217</v>
      </c>
      <c r="AZ22" s="67">
        <f t="shared" si="1"/>
        <v>75.410134614897601</v>
      </c>
      <c r="BA22" s="67">
        <f t="shared" si="3"/>
        <v>215.08837696366288</v>
      </c>
      <c r="BC22">
        <f t="shared" si="4"/>
        <v>34.009088461531107</v>
      </c>
      <c r="BD22">
        <v>1013.2</v>
      </c>
      <c r="BE22">
        <f t="shared" si="5"/>
        <v>27.911163740856217</v>
      </c>
    </row>
    <row r="23" spans="1:57" x14ac:dyDescent="0.2">
      <c r="A23" s="13">
        <v>14</v>
      </c>
      <c r="B23" s="3">
        <v>2</v>
      </c>
      <c r="C23" s="17">
        <v>3</v>
      </c>
      <c r="D23" s="3">
        <v>4</v>
      </c>
      <c r="E23" s="18">
        <v>9</v>
      </c>
      <c r="F23" s="18">
        <v>7</v>
      </c>
      <c r="G23" s="18">
        <v>75</v>
      </c>
      <c r="H23" s="19">
        <v>2</v>
      </c>
      <c r="I23" s="18"/>
      <c r="J23" s="18"/>
      <c r="K23" s="20">
        <v>125</v>
      </c>
      <c r="L23" s="18">
        <v>256</v>
      </c>
      <c r="M23" s="18">
        <v>235</v>
      </c>
      <c r="N23" s="18">
        <v>276</v>
      </c>
      <c r="O23" s="18">
        <v>83</v>
      </c>
      <c r="P23" s="18">
        <v>225</v>
      </c>
      <c r="Q23" s="17">
        <v>3</v>
      </c>
      <c r="R23" s="17">
        <v>2</v>
      </c>
      <c r="S23" s="17">
        <v>0</v>
      </c>
      <c r="T23" s="17">
        <v>1</v>
      </c>
      <c r="U23" s="17">
        <v>3</v>
      </c>
      <c r="V23" s="3">
        <v>8</v>
      </c>
      <c r="W23" s="20">
        <v>60</v>
      </c>
      <c r="X23" s="17">
        <v>8</v>
      </c>
      <c r="Y23" s="3"/>
      <c r="Z23" s="3"/>
      <c r="AA23" s="20"/>
      <c r="AB23" s="3"/>
      <c r="AC23" s="3"/>
      <c r="AD23" s="20"/>
      <c r="AE23" s="3"/>
      <c r="AF23" s="3"/>
      <c r="AG23" s="20"/>
      <c r="AH23" s="96"/>
      <c r="AI23" s="96"/>
      <c r="AJ23" s="96"/>
      <c r="AK23" s="96"/>
      <c r="AL23" s="97"/>
      <c r="AN23" s="67">
        <f t="shared" si="2"/>
        <v>0.99560595814989483</v>
      </c>
      <c r="AO23" s="67">
        <f t="shared" si="2"/>
        <v>-0.7898065906638152</v>
      </c>
      <c r="AP23" s="67">
        <f t="shared" si="2"/>
        <v>-1.5310786080211756</v>
      </c>
      <c r="AY23" s="67">
        <f t="shared" si="0"/>
        <v>275.00439404185011</v>
      </c>
      <c r="AZ23" s="67">
        <f t="shared" si="1"/>
        <v>83.789806590663815</v>
      </c>
      <c r="BA23" s="67">
        <f t="shared" si="3"/>
        <v>226.53107860802118</v>
      </c>
      <c r="BC23">
        <f t="shared" si="4"/>
        <v>32.820745772253893</v>
      </c>
      <c r="BD23">
        <v>1013.2</v>
      </c>
      <c r="BE23">
        <f t="shared" si="5"/>
        <v>28.94268568196501</v>
      </c>
    </row>
    <row r="24" spans="1:57" x14ac:dyDescent="0.2">
      <c r="A24" s="13">
        <v>15</v>
      </c>
      <c r="B24" s="3">
        <v>2</v>
      </c>
      <c r="C24" s="17">
        <v>3</v>
      </c>
      <c r="D24" s="3">
        <v>4</v>
      </c>
      <c r="E24" s="18">
        <v>0</v>
      </c>
      <c r="F24" s="18">
        <v>0</v>
      </c>
      <c r="G24" s="18">
        <v>78</v>
      </c>
      <c r="H24" s="19">
        <v>2</v>
      </c>
      <c r="I24" s="18"/>
      <c r="J24" s="18"/>
      <c r="K24" s="20">
        <v>112</v>
      </c>
      <c r="L24" s="18">
        <v>255</v>
      </c>
      <c r="M24" s="18">
        <v>234</v>
      </c>
      <c r="N24" s="18">
        <v>271</v>
      </c>
      <c r="O24" s="18">
        <v>83</v>
      </c>
      <c r="P24" s="18">
        <v>224</v>
      </c>
      <c r="Q24" s="17">
        <v>1</v>
      </c>
      <c r="R24" s="17">
        <v>2</v>
      </c>
      <c r="S24" s="17">
        <v>0</v>
      </c>
      <c r="T24" s="17">
        <v>1</v>
      </c>
      <c r="U24" s="17">
        <v>1</v>
      </c>
      <c r="V24" s="3">
        <v>8</v>
      </c>
      <c r="W24" s="20">
        <v>60</v>
      </c>
      <c r="X24" s="17">
        <v>8</v>
      </c>
      <c r="Y24" s="17">
        <v>3</v>
      </c>
      <c r="Z24" s="17">
        <v>0</v>
      </c>
      <c r="AA24" s="20">
        <v>840</v>
      </c>
      <c r="AB24" s="3"/>
      <c r="AC24" s="3"/>
      <c r="AD24" s="20"/>
      <c r="AE24" s="3"/>
      <c r="AF24" s="3"/>
      <c r="AG24" s="20"/>
      <c r="AH24" s="96"/>
      <c r="AI24" s="96"/>
      <c r="AJ24" s="96"/>
      <c r="AK24" s="96"/>
      <c r="AL24" s="97"/>
      <c r="AN24" s="67">
        <f t="shared" si="2"/>
        <v>-2.2639647036957058</v>
      </c>
      <c r="AO24" s="67">
        <f t="shared" si="2"/>
        <v>-0.75582940580625291</v>
      </c>
      <c r="AP24" s="67">
        <f t="shared" si="2"/>
        <v>-1.4862339903117459</v>
      </c>
      <c r="AY24" s="67">
        <f t="shared" si="0"/>
        <v>273.26396470369571</v>
      </c>
      <c r="AZ24" s="67">
        <f t="shared" si="1"/>
        <v>83.755829405806253</v>
      </c>
      <c r="BA24" s="67">
        <f t="shared" si="3"/>
        <v>225.48623399031175</v>
      </c>
      <c r="BC24">
        <f t="shared" si="4"/>
        <v>32.626262153014039</v>
      </c>
      <c r="BD24">
        <v>1013.2</v>
      </c>
      <c r="BE24">
        <f t="shared" si="5"/>
        <v>28.768481254201571</v>
      </c>
    </row>
    <row r="25" spans="1:57" x14ac:dyDescent="0.2">
      <c r="A25" s="13">
        <v>16</v>
      </c>
      <c r="B25" s="3">
        <v>2</v>
      </c>
      <c r="C25" s="17">
        <v>5</v>
      </c>
      <c r="D25" s="3">
        <v>4</v>
      </c>
      <c r="E25" s="18">
        <v>0</v>
      </c>
      <c r="F25" s="18">
        <v>0</v>
      </c>
      <c r="G25" s="18">
        <v>72</v>
      </c>
      <c r="H25" s="19">
        <v>1</v>
      </c>
      <c r="I25" s="18">
        <v>6</v>
      </c>
      <c r="J25" s="18">
        <v>11</v>
      </c>
      <c r="K25" s="20">
        <v>112</v>
      </c>
      <c r="L25" s="18">
        <v>255</v>
      </c>
      <c r="M25" s="18">
        <v>238</v>
      </c>
      <c r="N25" s="18">
        <v>281</v>
      </c>
      <c r="O25" s="18">
        <v>86</v>
      </c>
      <c r="P25" s="18">
        <v>230</v>
      </c>
      <c r="Q25" s="17">
        <v>2</v>
      </c>
      <c r="R25" s="17">
        <v>8</v>
      </c>
      <c r="S25" s="17">
        <v>0</v>
      </c>
      <c r="T25" s="17">
        <v>1</v>
      </c>
      <c r="U25" s="17">
        <v>1</v>
      </c>
      <c r="V25" s="3">
        <v>8</v>
      </c>
      <c r="W25" s="20">
        <v>54</v>
      </c>
      <c r="X25" s="17">
        <v>8</v>
      </c>
      <c r="Y25" s="17">
        <v>3</v>
      </c>
      <c r="Z25" s="17">
        <v>0</v>
      </c>
      <c r="AA25" s="20">
        <v>840</v>
      </c>
      <c r="AB25" s="3"/>
      <c r="AC25" s="3"/>
      <c r="AD25" s="20"/>
      <c r="AE25" s="3"/>
      <c r="AF25" s="3"/>
      <c r="AG25" s="20"/>
      <c r="AH25" s="96" t="s">
        <v>85</v>
      </c>
      <c r="AI25" s="96"/>
      <c r="AJ25" s="96"/>
      <c r="AK25" s="96"/>
      <c r="AL25" s="97"/>
      <c r="AN25" s="67">
        <f t="shared" si="2"/>
        <v>-2.0293015924083306</v>
      </c>
      <c r="AO25" s="67">
        <f t="shared" si="2"/>
        <v>-0.74892032223245053</v>
      </c>
      <c r="AP25" s="67">
        <f t="shared" si="2"/>
        <v>-1.275033198592439</v>
      </c>
      <c r="AY25" s="67">
        <f t="shared" si="0"/>
        <v>283.02930159240833</v>
      </c>
      <c r="AZ25" s="67">
        <f t="shared" si="1"/>
        <v>86.748920322232451</v>
      </c>
      <c r="BA25" s="67">
        <f t="shared" si="3"/>
        <v>231.27503319859244</v>
      </c>
      <c r="BC25">
        <f t="shared" si="4"/>
        <v>32.626262153014039</v>
      </c>
      <c r="BD25">
        <v>1013.2</v>
      </c>
      <c r="BE25">
        <f t="shared" si="5"/>
        <v>29.470855059888834</v>
      </c>
    </row>
    <row r="26" spans="1:57" x14ac:dyDescent="0.2">
      <c r="A26" s="13">
        <v>17</v>
      </c>
      <c r="B26" s="3">
        <v>2</v>
      </c>
      <c r="C26" s="17">
        <v>6</v>
      </c>
      <c r="D26" s="3">
        <v>4</v>
      </c>
      <c r="E26" s="18">
        <v>8</v>
      </c>
      <c r="F26" s="18">
        <v>8</v>
      </c>
      <c r="G26" s="18">
        <v>75</v>
      </c>
      <c r="H26" s="19">
        <v>2</v>
      </c>
      <c r="I26" s="18"/>
      <c r="J26" s="18"/>
      <c r="K26" s="20">
        <v>131</v>
      </c>
      <c r="L26" s="18">
        <v>260</v>
      </c>
      <c r="M26" s="18">
        <v>240</v>
      </c>
      <c r="N26" s="18">
        <v>284</v>
      </c>
      <c r="O26" s="18">
        <v>84</v>
      </c>
      <c r="P26" s="18">
        <v>231</v>
      </c>
      <c r="Q26" s="17">
        <v>3</v>
      </c>
      <c r="R26" s="17">
        <v>8</v>
      </c>
      <c r="S26" s="17">
        <v>0</v>
      </c>
      <c r="T26" s="17">
        <v>2</v>
      </c>
      <c r="U26" s="17">
        <v>1</v>
      </c>
      <c r="V26" s="3">
        <v>8</v>
      </c>
      <c r="W26" s="20">
        <v>54</v>
      </c>
      <c r="X26" s="17">
        <v>8</v>
      </c>
      <c r="Y26" s="17">
        <v>6</v>
      </c>
      <c r="Z26" s="17">
        <v>0</v>
      </c>
      <c r="AA26" s="20">
        <v>840</v>
      </c>
      <c r="AB26" s="3"/>
      <c r="AC26" s="3"/>
      <c r="AD26" s="20"/>
      <c r="AE26" s="3"/>
      <c r="AF26" s="3"/>
      <c r="AG26" s="20"/>
      <c r="AH26" s="96"/>
      <c r="AI26" s="96"/>
      <c r="AJ26" s="96"/>
      <c r="AK26" s="96"/>
      <c r="AL26" s="97"/>
      <c r="AN26" s="67">
        <f t="shared" si="2"/>
        <v>-0.5330281190206847</v>
      </c>
      <c r="AO26" s="67">
        <f t="shared" si="2"/>
        <v>-0.66012412105094143</v>
      </c>
      <c r="AP26" s="67">
        <f t="shared" si="2"/>
        <v>-1.1508299243794795</v>
      </c>
      <c r="AY26" s="67">
        <f t="shared" si="0"/>
        <v>284.53302811902068</v>
      </c>
      <c r="AZ26" s="67">
        <f t="shared" si="1"/>
        <v>84.660124121050941</v>
      </c>
      <c r="BA26" s="67">
        <f t="shared" si="3"/>
        <v>232.15082992437948</v>
      </c>
      <c r="BC26">
        <f t="shared" si="4"/>
        <v>33.608860260136439</v>
      </c>
      <c r="BD26">
        <v>1013.2</v>
      </c>
      <c r="BE26">
        <f t="shared" si="5"/>
        <v>29.827639714302066</v>
      </c>
    </row>
    <row r="27" spans="1:57" x14ac:dyDescent="0.2">
      <c r="A27" s="13">
        <v>18</v>
      </c>
      <c r="B27" s="3">
        <v>2</v>
      </c>
      <c r="C27" s="17">
        <v>6</v>
      </c>
      <c r="D27" s="3">
        <v>4</v>
      </c>
      <c r="E27" s="18">
        <v>0</v>
      </c>
      <c r="F27" s="18">
        <v>0</v>
      </c>
      <c r="G27" s="18">
        <v>68</v>
      </c>
      <c r="H27" s="19">
        <v>1</v>
      </c>
      <c r="I27" s="18">
        <v>15</v>
      </c>
      <c r="J27" s="18">
        <v>22</v>
      </c>
      <c r="K27" s="20">
        <v>140</v>
      </c>
      <c r="L27" s="18">
        <v>260</v>
      </c>
      <c r="M27" s="18">
        <v>250</v>
      </c>
      <c r="N27" s="18">
        <v>308</v>
      </c>
      <c r="O27" s="18">
        <v>92</v>
      </c>
      <c r="P27" s="18">
        <v>245</v>
      </c>
      <c r="Q27" s="17">
        <v>6</v>
      </c>
      <c r="R27" s="17">
        <v>8</v>
      </c>
      <c r="S27" s="17">
        <v>0</v>
      </c>
      <c r="T27" s="17">
        <v>2</v>
      </c>
      <c r="U27" s="17">
        <v>3</v>
      </c>
      <c r="V27" s="3">
        <v>8</v>
      </c>
      <c r="W27" s="20">
        <v>54</v>
      </c>
      <c r="X27" s="17">
        <v>8</v>
      </c>
      <c r="Y27" s="17">
        <v>5</v>
      </c>
      <c r="Z27" s="17">
        <v>6</v>
      </c>
      <c r="AA27" s="20">
        <v>105</v>
      </c>
      <c r="AB27" s="3"/>
      <c r="AC27" s="3"/>
      <c r="AD27" s="20"/>
      <c r="AE27" s="3"/>
      <c r="AF27" s="3"/>
      <c r="AG27" s="20"/>
      <c r="AH27" s="96" t="s">
        <v>109</v>
      </c>
      <c r="AI27" s="96"/>
      <c r="AJ27" s="96"/>
      <c r="AK27" s="96"/>
      <c r="AL27" s="97"/>
      <c r="AN27" s="67">
        <f t="shared" si="2"/>
        <v>-1.8095413961599434</v>
      </c>
      <c r="AO27" s="67">
        <f t="shared" si="2"/>
        <v>-0.18091271117155827</v>
      </c>
      <c r="AP27" s="67">
        <f t="shared" si="2"/>
        <v>-1.2966879432868836</v>
      </c>
      <c r="AY27" s="67">
        <f t="shared" si="0"/>
        <v>309.80954139615994</v>
      </c>
      <c r="AZ27" s="67">
        <f t="shared" si="1"/>
        <v>92.180912711171558</v>
      </c>
      <c r="BA27" s="67">
        <f t="shared" si="3"/>
        <v>246.29668794328688</v>
      </c>
      <c r="BC27">
        <f t="shared" si="4"/>
        <v>33.608860260136439</v>
      </c>
      <c r="BD27">
        <v>1013.2</v>
      </c>
      <c r="BE27">
        <f t="shared" si="5"/>
        <v>31.668891609615997</v>
      </c>
    </row>
    <row r="28" spans="1:57" x14ac:dyDescent="0.2">
      <c r="A28" s="13">
        <v>19</v>
      </c>
      <c r="B28" s="3">
        <v>2</v>
      </c>
      <c r="C28" s="17">
        <v>5</v>
      </c>
      <c r="D28" s="3">
        <v>4</v>
      </c>
      <c r="E28" s="18">
        <v>6</v>
      </c>
      <c r="F28" s="18">
        <v>6</v>
      </c>
      <c r="G28" s="18">
        <v>70</v>
      </c>
      <c r="H28" s="19">
        <v>1</v>
      </c>
      <c r="I28" s="18">
        <v>5</v>
      </c>
      <c r="J28" s="18">
        <v>11</v>
      </c>
      <c r="K28" s="20">
        <v>131</v>
      </c>
      <c r="L28" s="18">
        <v>261</v>
      </c>
      <c r="M28" s="18">
        <v>246</v>
      </c>
      <c r="N28" s="18">
        <v>297</v>
      </c>
      <c r="O28" s="18">
        <v>88</v>
      </c>
      <c r="P28" s="18">
        <v>239</v>
      </c>
      <c r="Q28" s="17">
        <v>3</v>
      </c>
      <c r="R28" s="17">
        <v>8</v>
      </c>
      <c r="S28" s="17">
        <v>0</v>
      </c>
      <c r="T28" s="17">
        <v>2</v>
      </c>
      <c r="U28" s="17">
        <v>1</v>
      </c>
      <c r="V28" s="3">
        <v>8</v>
      </c>
      <c r="W28" s="20">
        <v>54</v>
      </c>
      <c r="X28" s="17">
        <v>8</v>
      </c>
      <c r="Y28" s="3"/>
      <c r="Z28" s="3"/>
      <c r="AA28" s="20"/>
      <c r="AB28" s="3"/>
      <c r="AC28" s="3"/>
      <c r="AD28" s="20"/>
      <c r="AE28" s="3"/>
      <c r="AF28" s="3"/>
      <c r="AG28" s="20"/>
      <c r="AH28" s="96" t="s">
        <v>85</v>
      </c>
      <c r="AI28" s="96"/>
      <c r="AJ28" s="96"/>
      <c r="AK28" s="96"/>
      <c r="AL28" s="97"/>
      <c r="AN28" s="67">
        <f t="shared" si="2"/>
        <v>-1.8934376737297498</v>
      </c>
      <c r="AO28" s="67">
        <f t="shared" si="2"/>
        <v>-0.40789257024727021</v>
      </c>
      <c r="AP28" s="67">
        <f t="shared" si="2"/>
        <v>-1.3163835258458789</v>
      </c>
      <c r="AY28" s="67">
        <f t="shared" si="0"/>
        <v>298.89343767372975</v>
      </c>
      <c r="AZ28" s="67">
        <f t="shared" si="1"/>
        <v>88.40789257024727</v>
      </c>
      <c r="BA28" s="67">
        <f t="shared" si="3"/>
        <v>240.31638352584588</v>
      </c>
      <c r="BC28">
        <f t="shared" si="4"/>
        <v>33.808456347518359</v>
      </c>
      <c r="BD28">
        <v>1013.2</v>
      </c>
      <c r="BE28">
        <f t="shared" si="5"/>
        <v>30.920788561092973</v>
      </c>
    </row>
    <row r="29" spans="1:57" x14ac:dyDescent="0.2">
      <c r="A29" s="13">
        <v>20</v>
      </c>
      <c r="B29" s="3">
        <v>2</v>
      </c>
      <c r="C29" s="17">
        <v>6</v>
      </c>
      <c r="D29" s="3">
        <v>4</v>
      </c>
      <c r="E29" s="18">
        <v>12</v>
      </c>
      <c r="F29" s="18">
        <v>16</v>
      </c>
      <c r="G29" s="18">
        <v>72</v>
      </c>
      <c r="H29" s="19">
        <v>1</v>
      </c>
      <c r="I29" s="18">
        <v>5</v>
      </c>
      <c r="J29" s="18">
        <v>22</v>
      </c>
      <c r="K29" s="20">
        <v>121</v>
      </c>
      <c r="L29" s="18">
        <v>270</v>
      </c>
      <c r="M29" s="18">
        <v>250</v>
      </c>
      <c r="N29" s="18">
        <v>300</v>
      </c>
      <c r="O29" s="18">
        <v>84</v>
      </c>
      <c r="P29" s="18">
        <v>241</v>
      </c>
      <c r="Q29" s="17">
        <v>3</v>
      </c>
      <c r="R29" s="17">
        <v>2</v>
      </c>
      <c r="S29" s="17">
        <v>0</v>
      </c>
      <c r="T29" s="17">
        <v>1</v>
      </c>
      <c r="U29" s="17">
        <v>3</v>
      </c>
      <c r="V29" s="3">
        <v>8</v>
      </c>
      <c r="W29" s="20">
        <v>54</v>
      </c>
      <c r="X29" s="17">
        <v>8</v>
      </c>
      <c r="Y29" s="17">
        <v>5</v>
      </c>
      <c r="Z29" s="17">
        <v>0</v>
      </c>
      <c r="AA29" s="20">
        <v>870</v>
      </c>
      <c r="AB29" s="3"/>
      <c r="AC29" s="3"/>
      <c r="AD29" s="20"/>
      <c r="AE29" s="3"/>
      <c r="AF29" s="3"/>
      <c r="AG29" s="20"/>
      <c r="AH29" s="96" t="s">
        <v>85</v>
      </c>
      <c r="AI29" s="96"/>
      <c r="AJ29" s="96"/>
      <c r="AK29" s="96"/>
      <c r="AL29" s="97"/>
      <c r="AN29" s="67">
        <f t="shared" si="2"/>
        <v>-2.9301666961599722</v>
      </c>
      <c r="AO29" s="67">
        <f t="shared" si="2"/>
        <v>-0.96865232864115569</v>
      </c>
      <c r="AP29" s="67">
        <f t="shared" si="2"/>
        <v>-1.5498224634573035</v>
      </c>
      <c r="AY29" s="67">
        <f t="shared" si="0"/>
        <v>302.93016669615997</v>
      </c>
      <c r="AZ29" s="67">
        <f t="shared" si="1"/>
        <v>84.968652328641156</v>
      </c>
      <c r="BA29" s="67">
        <f t="shared" si="3"/>
        <v>242.5498224634573</v>
      </c>
      <c r="BC29">
        <f t="shared" si="4"/>
        <v>35.651991457330503</v>
      </c>
      <c r="BD29">
        <v>1013.2</v>
      </c>
      <c r="BE29">
        <f t="shared" si="5"/>
        <v>31.668891609615997</v>
      </c>
    </row>
    <row r="30" spans="1:57" x14ac:dyDescent="0.2">
      <c r="A30" s="13">
        <v>21</v>
      </c>
      <c r="B30" s="3">
        <v>2</v>
      </c>
      <c r="C30" s="17">
        <v>5</v>
      </c>
      <c r="D30" s="3">
        <v>4</v>
      </c>
      <c r="E30" s="18">
        <v>10</v>
      </c>
      <c r="F30" s="18">
        <v>12</v>
      </c>
      <c r="G30" s="18">
        <v>68</v>
      </c>
      <c r="H30" s="19">
        <v>1</v>
      </c>
      <c r="I30" s="18">
        <v>5</v>
      </c>
      <c r="J30" s="18">
        <v>22</v>
      </c>
      <c r="K30" s="20">
        <v>112</v>
      </c>
      <c r="L30" s="18">
        <v>270</v>
      </c>
      <c r="M30" s="18">
        <v>247</v>
      </c>
      <c r="N30" s="18">
        <v>293</v>
      </c>
      <c r="O30" s="18">
        <v>82</v>
      </c>
      <c r="P30" s="18">
        <v>237</v>
      </c>
      <c r="Q30" s="17">
        <v>1</v>
      </c>
      <c r="R30" s="17">
        <v>2</v>
      </c>
      <c r="S30" s="17">
        <v>0</v>
      </c>
      <c r="T30" s="17">
        <v>1</v>
      </c>
      <c r="U30" s="17">
        <v>1</v>
      </c>
      <c r="V30" s="3">
        <v>8</v>
      </c>
      <c r="W30" s="20">
        <v>57</v>
      </c>
      <c r="X30" s="17">
        <v>8</v>
      </c>
      <c r="Y30" s="17">
        <v>5</v>
      </c>
      <c r="Z30" s="17">
        <v>0</v>
      </c>
      <c r="AA30" s="20">
        <v>900</v>
      </c>
      <c r="AB30" s="3"/>
      <c r="AC30" s="3"/>
      <c r="AD30" s="20"/>
      <c r="AE30" s="3"/>
      <c r="AF30" s="3"/>
      <c r="AG30" s="20"/>
      <c r="AH30" s="96" t="s">
        <v>85</v>
      </c>
      <c r="AI30" s="96"/>
      <c r="AJ30" s="96"/>
      <c r="AK30" s="96"/>
      <c r="AL30" s="97"/>
      <c r="AN30" s="67">
        <f t="shared" si="2"/>
        <v>-2.2462342187101854</v>
      </c>
      <c r="AO30" s="67">
        <f t="shared" si="2"/>
        <v>-0.81339194531973646</v>
      </c>
      <c r="AP30" s="67">
        <f t="shared" si="2"/>
        <v>-1.2756313741485314</v>
      </c>
      <c r="AY30" s="67">
        <f t="shared" si="0"/>
        <v>295.24623421871019</v>
      </c>
      <c r="AZ30" s="67">
        <f t="shared" si="1"/>
        <v>82.813391945319736</v>
      </c>
      <c r="BA30" s="67">
        <f t="shared" si="3"/>
        <v>238.27563137414853</v>
      </c>
      <c r="BC30">
        <f t="shared" si="4"/>
        <v>35.651991457330503</v>
      </c>
      <c r="BD30">
        <v>1013.2</v>
      </c>
      <c r="BE30">
        <f t="shared" si="5"/>
        <v>31.106348979899021</v>
      </c>
    </row>
    <row r="31" spans="1:57" x14ac:dyDescent="0.2">
      <c r="A31" s="13">
        <v>22</v>
      </c>
      <c r="B31" s="3">
        <v>2</v>
      </c>
      <c r="C31" s="17">
        <v>6</v>
      </c>
      <c r="D31" s="3">
        <v>4</v>
      </c>
      <c r="E31" s="18">
        <v>4</v>
      </c>
      <c r="F31" s="18">
        <v>5</v>
      </c>
      <c r="G31" s="18">
        <v>65</v>
      </c>
      <c r="H31" s="19">
        <v>1</v>
      </c>
      <c r="I31" s="18">
        <v>15</v>
      </c>
      <c r="J31" s="18">
        <v>22</v>
      </c>
      <c r="K31" s="20">
        <v>123</v>
      </c>
      <c r="L31" s="18">
        <v>257</v>
      </c>
      <c r="M31" s="18">
        <v>238</v>
      </c>
      <c r="N31" s="18">
        <v>280</v>
      </c>
      <c r="O31" s="18">
        <v>85</v>
      </c>
      <c r="P31" s="18">
        <v>229</v>
      </c>
      <c r="Q31" s="17">
        <v>5</v>
      </c>
      <c r="R31" s="17">
        <v>2</v>
      </c>
      <c r="S31" s="17">
        <v>0</v>
      </c>
      <c r="T31" s="17">
        <v>1</v>
      </c>
      <c r="U31" s="17">
        <v>5</v>
      </c>
      <c r="V31" s="3">
        <v>8</v>
      </c>
      <c r="W31" s="20">
        <v>54</v>
      </c>
      <c r="X31" s="17">
        <v>8</v>
      </c>
      <c r="Y31" s="3"/>
      <c r="Z31" s="3"/>
      <c r="AA31" s="20"/>
      <c r="AB31" s="3"/>
      <c r="AC31" s="3"/>
      <c r="AD31" s="20"/>
      <c r="AE31" s="3"/>
      <c r="AF31" s="3"/>
      <c r="AG31" s="20"/>
      <c r="AH31" s="96" t="s">
        <v>85</v>
      </c>
      <c r="AI31" s="96"/>
      <c r="AJ31" s="96"/>
      <c r="AK31" s="96"/>
      <c r="AL31" s="97"/>
      <c r="AN31" s="67">
        <f t="shared" si="2"/>
        <v>-1.65527229752837</v>
      </c>
      <c r="AO31" s="67">
        <f t="shared" si="2"/>
        <v>-0.30809305453163915</v>
      </c>
      <c r="AP31" s="67">
        <f t="shared" si="2"/>
        <v>-1.4712029461916529</v>
      </c>
      <c r="AY31" s="67">
        <f t="shared" si="0"/>
        <v>281.65527229752837</v>
      </c>
      <c r="AZ31" s="67">
        <f t="shared" si="1"/>
        <v>85.308093054531639</v>
      </c>
      <c r="BA31" s="67">
        <f t="shared" si="3"/>
        <v>230.47120294619165</v>
      </c>
      <c r="BC31">
        <f t="shared" si="4"/>
        <v>33.016242915837466</v>
      </c>
      <c r="BD31">
        <v>1013.2</v>
      </c>
      <c r="BE31">
        <f t="shared" si="5"/>
        <v>29.470855059888834</v>
      </c>
    </row>
    <row r="32" spans="1:57" x14ac:dyDescent="0.2">
      <c r="A32" s="13">
        <v>23</v>
      </c>
      <c r="B32" s="3">
        <v>2</v>
      </c>
      <c r="C32" s="17">
        <v>4</v>
      </c>
      <c r="D32" s="3">
        <v>4</v>
      </c>
      <c r="E32" s="18">
        <v>9</v>
      </c>
      <c r="F32" s="18">
        <v>10</v>
      </c>
      <c r="G32" s="18">
        <v>70</v>
      </c>
      <c r="H32" s="19">
        <v>1</v>
      </c>
      <c r="I32" s="18">
        <v>15</v>
      </c>
      <c r="J32" s="18">
        <v>0</v>
      </c>
      <c r="K32" s="20">
        <v>122</v>
      </c>
      <c r="L32" s="18">
        <v>255</v>
      </c>
      <c r="M32" s="18">
        <v>228</v>
      </c>
      <c r="N32" s="18">
        <v>256</v>
      </c>
      <c r="O32" s="18">
        <v>79</v>
      </c>
      <c r="P32" s="18">
        <v>215</v>
      </c>
      <c r="Q32" s="17">
        <v>4</v>
      </c>
      <c r="R32" s="17">
        <v>8</v>
      </c>
      <c r="S32" s="17">
        <v>0</v>
      </c>
      <c r="T32" s="17">
        <v>0</v>
      </c>
      <c r="U32" s="17">
        <v>4</v>
      </c>
      <c r="V32" s="3">
        <v>8</v>
      </c>
      <c r="W32" s="20">
        <v>54</v>
      </c>
      <c r="X32" s="17">
        <v>8</v>
      </c>
      <c r="Y32" s="3"/>
      <c r="Z32" s="3"/>
      <c r="AA32" s="20"/>
      <c r="AB32" s="3"/>
      <c r="AC32" s="3"/>
      <c r="AD32" s="20"/>
      <c r="AE32" s="3"/>
      <c r="AF32" s="3"/>
      <c r="AG32" s="20"/>
      <c r="AH32" s="96" t="s">
        <v>90</v>
      </c>
      <c r="AI32" s="96"/>
      <c r="AJ32" s="96"/>
      <c r="AK32" s="96"/>
      <c r="AL32" s="97"/>
      <c r="AN32" s="67">
        <f t="shared" si="2"/>
        <v>-2.8954935242986153</v>
      </c>
      <c r="AO32" s="67">
        <f t="shared" si="2"/>
        <v>-0.35187068322554182</v>
      </c>
      <c r="AP32" s="67">
        <f t="shared" si="2"/>
        <v>-1.6301283826851432</v>
      </c>
      <c r="AY32" s="67">
        <f t="shared" si="0"/>
        <v>258.89549352429862</v>
      </c>
      <c r="AZ32" s="67">
        <f t="shared" si="1"/>
        <v>79.351870683225542</v>
      </c>
      <c r="BA32" s="67">
        <f t="shared" si="3"/>
        <v>216.63012838268514</v>
      </c>
      <c r="BC32">
        <f t="shared" si="4"/>
        <v>32.626262153014039</v>
      </c>
      <c r="BD32">
        <v>1013.2</v>
      </c>
      <c r="BE32">
        <f t="shared" si="5"/>
        <v>27.742412549757862</v>
      </c>
    </row>
    <row r="33" spans="1:57" x14ac:dyDescent="0.2">
      <c r="A33" s="13">
        <v>24</v>
      </c>
      <c r="B33" s="3">
        <v>2</v>
      </c>
      <c r="C33" s="17">
        <v>6</v>
      </c>
      <c r="D33" s="3">
        <v>4</v>
      </c>
      <c r="E33" s="18">
        <v>99</v>
      </c>
      <c r="F33" s="18">
        <v>2</v>
      </c>
      <c r="G33" s="18">
        <v>70</v>
      </c>
      <c r="H33" s="19">
        <v>1</v>
      </c>
      <c r="I33" s="18">
        <v>15</v>
      </c>
      <c r="J33" s="18">
        <v>11</v>
      </c>
      <c r="K33" s="20">
        <v>112</v>
      </c>
      <c r="L33" s="18">
        <v>258</v>
      </c>
      <c r="M33" s="18">
        <v>240</v>
      </c>
      <c r="N33" s="18">
        <v>285</v>
      </c>
      <c r="O33" s="18">
        <v>86</v>
      </c>
      <c r="P33" s="18">
        <v>232</v>
      </c>
      <c r="Q33" s="17">
        <v>3</v>
      </c>
      <c r="R33" s="17">
        <v>8</v>
      </c>
      <c r="S33" s="17">
        <v>0</v>
      </c>
      <c r="T33" s="17">
        <v>2</v>
      </c>
      <c r="U33" s="17">
        <v>3</v>
      </c>
      <c r="V33" s="3">
        <v>8</v>
      </c>
      <c r="W33" s="20">
        <v>57</v>
      </c>
      <c r="X33" s="17">
        <v>8</v>
      </c>
      <c r="Y33" s="17">
        <v>5</v>
      </c>
      <c r="Z33" s="17">
        <v>0</v>
      </c>
      <c r="AA33" s="20">
        <v>840</v>
      </c>
      <c r="AB33" s="3"/>
      <c r="AC33" s="3"/>
      <c r="AD33" s="20"/>
      <c r="AE33" s="3"/>
      <c r="AF33" s="3"/>
      <c r="AG33" s="20"/>
      <c r="AH33" s="96" t="s">
        <v>96</v>
      </c>
      <c r="AI33" s="96"/>
      <c r="AJ33" s="96"/>
      <c r="AK33" s="96"/>
      <c r="AL33" s="97"/>
      <c r="AN33" s="67">
        <f t="shared" si="2"/>
        <v>-0.90736502142067366</v>
      </c>
      <c r="AO33" s="67">
        <f t="shared" si="2"/>
        <v>-8.3596119404091951E-2</v>
      </c>
      <c r="AP33" s="67">
        <f t="shared" si="2"/>
        <v>-0.94772868416913525</v>
      </c>
      <c r="AY33" s="67">
        <f t="shared" si="0"/>
        <v>285.90736502142067</v>
      </c>
      <c r="AZ33" s="67">
        <f t="shared" si="1"/>
        <v>86.083596119404092</v>
      </c>
      <c r="BA33" s="67">
        <f t="shared" si="3"/>
        <v>232.94772868416914</v>
      </c>
      <c r="BC33">
        <f t="shared" si="4"/>
        <v>33.212758052631393</v>
      </c>
      <c r="BD33">
        <v>1013.2</v>
      </c>
      <c r="BE33">
        <f t="shared" si="5"/>
        <v>29.827639714302066</v>
      </c>
    </row>
    <row r="34" spans="1:57" x14ac:dyDescent="0.2">
      <c r="A34" s="13">
        <v>25</v>
      </c>
      <c r="B34" s="3">
        <v>2</v>
      </c>
      <c r="C34" s="17">
        <v>5</v>
      </c>
      <c r="D34" s="3">
        <v>4</v>
      </c>
      <c r="E34" s="18">
        <v>8</v>
      </c>
      <c r="F34" s="18">
        <v>5</v>
      </c>
      <c r="G34" s="18">
        <v>70</v>
      </c>
      <c r="H34" s="19">
        <v>1</v>
      </c>
      <c r="I34" s="18">
        <v>5</v>
      </c>
      <c r="J34" s="18">
        <v>22</v>
      </c>
      <c r="K34" s="20">
        <v>121</v>
      </c>
      <c r="L34" s="18">
        <v>260</v>
      </c>
      <c r="M34" s="18">
        <v>245</v>
      </c>
      <c r="N34" s="18">
        <v>296</v>
      </c>
      <c r="O34" s="18">
        <v>88</v>
      </c>
      <c r="P34" s="18">
        <v>238</v>
      </c>
      <c r="Q34" s="17">
        <v>4</v>
      </c>
      <c r="R34" s="17">
        <v>8</v>
      </c>
      <c r="S34" s="17">
        <v>0</v>
      </c>
      <c r="T34" s="17">
        <v>2</v>
      </c>
      <c r="U34" s="17">
        <v>3</v>
      </c>
      <c r="V34" s="3">
        <v>8</v>
      </c>
      <c r="W34" s="20">
        <v>54</v>
      </c>
      <c r="X34" s="17">
        <v>8</v>
      </c>
      <c r="Y34" s="3"/>
      <c r="Z34" s="3"/>
      <c r="AA34" s="20"/>
      <c r="AB34" s="3"/>
      <c r="AC34" s="3"/>
      <c r="AD34" s="20"/>
      <c r="AE34" s="3"/>
      <c r="AF34" s="3"/>
      <c r="AG34" s="20"/>
      <c r="AH34" s="96" t="s">
        <v>85</v>
      </c>
      <c r="AI34" s="96"/>
      <c r="AJ34" s="96"/>
      <c r="AK34" s="96"/>
      <c r="AL34" s="97"/>
      <c r="AN34" s="67">
        <f t="shared" si="2"/>
        <v>-1.0486839502706857</v>
      </c>
      <c r="AO34" s="67">
        <f t="shared" si="2"/>
        <v>-0.38403969997190757</v>
      </c>
      <c r="AP34" s="67">
        <f t="shared" si="2"/>
        <v>-1.2869143939119851</v>
      </c>
      <c r="AY34" s="67">
        <f t="shared" si="0"/>
        <v>297.04868395027069</v>
      </c>
      <c r="AZ34" s="67">
        <f t="shared" si="1"/>
        <v>88.384039699971908</v>
      </c>
      <c r="BA34" s="67">
        <f t="shared" si="3"/>
        <v>239.28691439391199</v>
      </c>
      <c r="BC34">
        <f t="shared" si="4"/>
        <v>33.608860260136439</v>
      </c>
      <c r="BD34">
        <v>1013.2</v>
      </c>
      <c r="BE34">
        <f t="shared" si="5"/>
        <v>30.736197835927069</v>
      </c>
    </row>
    <row r="35" spans="1:57" x14ac:dyDescent="0.2">
      <c r="A35" s="13">
        <v>26</v>
      </c>
      <c r="B35" s="3">
        <v>2</v>
      </c>
      <c r="C35" s="17">
        <v>2</v>
      </c>
      <c r="D35" s="3">
        <v>4</v>
      </c>
      <c r="E35" s="18">
        <v>7</v>
      </c>
      <c r="F35" s="18">
        <v>10</v>
      </c>
      <c r="G35" s="18">
        <v>78</v>
      </c>
      <c r="H35" s="19">
        <v>2</v>
      </c>
      <c r="I35" s="18"/>
      <c r="J35" s="18"/>
      <c r="K35" s="20">
        <v>127</v>
      </c>
      <c r="L35" s="18">
        <v>261</v>
      </c>
      <c r="M35" s="18">
        <v>245</v>
      </c>
      <c r="N35" s="18">
        <v>295</v>
      </c>
      <c r="O35" s="18">
        <v>87</v>
      </c>
      <c r="P35" s="18">
        <v>238</v>
      </c>
      <c r="Q35" s="17">
        <v>2</v>
      </c>
      <c r="R35" s="17">
        <v>8</v>
      </c>
      <c r="S35" s="17">
        <v>0</v>
      </c>
      <c r="T35" s="17">
        <v>1</v>
      </c>
      <c r="U35" s="17">
        <v>1</v>
      </c>
      <c r="V35" s="3">
        <v>8</v>
      </c>
      <c r="W35" s="20">
        <v>66</v>
      </c>
      <c r="X35" s="17">
        <v>8</v>
      </c>
      <c r="Y35" s="3"/>
      <c r="Z35" s="3"/>
      <c r="AA35" s="20"/>
      <c r="AB35" s="3"/>
      <c r="AC35" s="3"/>
      <c r="AD35" s="20"/>
      <c r="AE35" s="3"/>
      <c r="AF35" s="3"/>
      <c r="AG35" s="20"/>
      <c r="AH35" s="96"/>
      <c r="AI35" s="96"/>
      <c r="AJ35" s="96"/>
      <c r="AK35" s="96"/>
      <c r="AL35" s="97"/>
      <c r="AN35" s="67">
        <f t="shared" si="2"/>
        <v>-1.3611309896706985</v>
      </c>
      <c r="AO35" s="67">
        <f t="shared" si="2"/>
        <v>-0.6588768038871109</v>
      </c>
      <c r="AP35" s="67">
        <f t="shared" si="2"/>
        <v>-0.90179130373326188</v>
      </c>
      <c r="AY35" s="67">
        <f t="shared" si="0"/>
        <v>296.3611309896707</v>
      </c>
      <c r="AZ35" s="67">
        <f t="shared" si="1"/>
        <v>87.658876803887111</v>
      </c>
      <c r="BA35" s="67">
        <f t="shared" si="3"/>
        <v>238.90179130373326</v>
      </c>
      <c r="BC35">
        <f t="shared" si="4"/>
        <v>33.808456347518359</v>
      </c>
      <c r="BD35">
        <v>1013.2</v>
      </c>
      <c r="BE35">
        <f t="shared" si="5"/>
        <v>30.736197835927069</v>
      </c>
    </row>
    <row r="36" spans="1:57" x14ac:dyDescent="0.2">
      <c r="A36" s="13">
        <v>27</v>
      </c>
      <c r="B36" s="3">
        <v>2</v>
      </c>
      <c r="C36" s="17">
        <v>7</v>
      </c>
      <c r="D36" s="3">
        <v>4</v>
      </c>
      <c r="E36" s="18">
        <v>6</v>
      </c>
      <c r="F36" s="18">
        <v>13</v>
      </c>
      <c r="G36" s="18">
        <v>50</v>
      </c>
      <c r="H36" s="19">
        <v>1</v>
      </c>
      <c r="I36" s="18">
        <v>80</v>
      </c>
      <c r="J36" s="18">
        <v>81</v>
      </c>
      <c r="K36" s="20">
        <v>128</v>
      </c>
      <c r="L36" s="18">
        <v>242</v>
      </c>
      <c r="M36" s="18">
        <v>238</v>
      </c>
      <c r="N36" s="18">
        <v>291</v>
      </c>
      <c r="O36" s="18">
        <v>97</v>
      </c>
      <c r="P36" s="18">
        <v>236</v>
      </c>
      <c r="Q36" s="17">
        <v>7</v>
      </c>
      <c r="R36" s="17">
        <v>8</v>
      </c>
      <c r="S36" s="17" t="s">
        <v>89</v>
      </c>
      <c r="T36" s="17" t="s">
        <v>89</v>
      </c>
      <c r="U36" s="17">
        <v>6</v>
      </c>
      <c r="V36" s="3">
        <v>8</v>
      </c>
      <c r="W36" s="20">
        <f>12*3</f>
        <v>36</v>
      </c>
      <c r="X36" s="17">
        <v>8</v>
      </c>
      <c r="Y36" s="17">
        <v>5</v>
      </c>
      <c r="Z36" s="17">
        <v>6</v>
      </c>
      <c r="AA36" s="20">
        <v>105</v>
      </c>
      <c r="AB36" s="3"/>
      <c r="AC36" s="3"/>
      <c r="AD36" s="20"/>
      <c r="AE36" s="3"/>
      <c r="AF36" s="3"/>
      <c r="AG36" s="20"/>
      <c r="AH36" s="96" t="s">
        <v>178</v>
      </c>
      <c r="AI36" s="96"/>
      <c r="AJ36" s="96"/>
      <c r="AK36" s="96"/>
      <c r="AL36" s="97"/>
      <c r="AN36" s="67">
        <f t="shared" si="2"/>
        <v>-0.96049200912835886</v>
      </c>
      <c r="AO36" s="67">
        <f t="shared" si="2"/>
        <v>0.28655463485416988</v>
      </c>
      <c r="AP36" s="67">
        <f t="shared" si="2"/>
        <v>-0.41813879005738386</v>
      </c>
      <c r="AY36" s="67">
        <f t="shared" si="0"/>
        <v>291.96049200912836</v>
      </c>
      <c r="AZ36" s="67">
        <f t="shared" si="1"/>
        <v>96.71344536514583</v>
      </c>
      <c r="BA36" s="67">
        <f t="shared" si="3"/>
        <v>236.41813879005738</v>
      </c>
      <c r="BC36">
        <f t="shared" si="4"/>
        <v>30.188200917340787</v>
      </c>
      <c r="BD36">
        <v>1013.2</v>
      </c>
      <c r="BE36">
        <f t="shared" si="5"/>
        <v>29.470855059888834</v>
      </c>
    </row>
    <row r="37" spans="1:57" x14ac:dyDescent="0.2">
      <c r="A37" s="13">
        <v>28</v>
      </c>
      <c r="B37" s="3">
        <v>2</v>
      </c>
      <c r="C37" s="17">
        <v>6</v>
      </c>
      <c r="D37" s="3">
        <v>4</v>
      </c>
      <c r="E37" s="18">
        <v>10</v>
      </c>
      <c r="F37" s="18">
        <v>16</v>
      </c>
      <c r="G37" s="18">
        <v>66</v>
      </c>
      <c r="H37" s="19">
        <v>1</v>
      </c>
      <c r="I37" s="18">
        <v>6</v>
      </c>
      <c r="J37" s="18">
        <v>82</v>
      </c>
      <c r="K37" s="20">
        <v>137</v>
      </c>
      <c r="L37" s="18">
        <v>260</v>
      </c>
      <c r="M37" s="18">
        <v>247</v>
      </c>
      <c r="N37" s="18">
        <v>300</v>
      </c>
      <c r="O37" s="18">
        <v>89</v>
      </c>
      <c r="P37" s="18">
        <v>241</v>
      </c>
      <c r="Q37" s="17">
        <v>6</v>
      </c>
      <c r="R37" s="17">
        <v>4</v>
      </c>
      <c r="S37" s="17">
        <v>4</v>
      </c>
      <c r="T37" s="17">
        <v>2</v>
      </c>
      <c r="U37" s="17">
        <v>4</v>
      </c>
      <c r="V37" s="3">
        <v>8</v>
      </c>
      <c r="W37" s="20">
        <v>54</v>
      </c>
      <c r="X37" s="17">
        <v>8</v>
      </c>
      <c r="Y37" s="17">
        <v>4</v>
      </c>
      <c r="Z37" s="17">
        <v>6</v>
      </c>
      <c r="AA37" s="20">
        <v>114</v>
      </c>
      <c r="AB37" s="3"/>
      <c r="AC37" s="3"/>
      <c r="AD37" s="20"/>
      <c r="AE37" s="3"/>
      <c r="AF37" s="3"/>
      <c r="AG37" s="20"/>
      <c r="AH37" s="96" t="s">
        <v>85</v>
      </c>
      <c r="AI37" s="96"/>
      <c r="AJ37" s="96"/>
      <c r="AK37" s="96"/>
      <c r="AL37" s="97"/>
      <c r="AN37" s="67">
        <f t="shared" si="2"/>
        <v>-2.1233018623101998</v>
      </c>
      <c r="AO37" s="67">
        <f t="shared" si="2"/>
        <v>-0.89394449078045568</v>
      </c>
      <c r="AP37" s="67">
        <f t="shared" si="2"/>
        <v>-1.105493302310208</v>
      </c>
      <c r="AY37" s="67">
        <f t="shared" si="0"/>
        <v>302.1233018623102</v>
      </c>
      <c r="AZ37" s="67">
        <f t="shared" si="1"/>
        <v>89.893944490780456</v>
      </c>
      <c r="BA37" s="67">
        <f t="shared" si="3"/>
        <v>242.10549330231021</v>
      </c>
      <c r="BC37">
        <f t="shared" si="4"/>
        <v>33.608860260136439</v>
      </c>
      <c r="BD37">
        <v>1013.2</v>
      </c>
      <c r="BE37">
        <f t="shared" si="5"/>
        <v>31.106348979899021</v>
      </c>
    </row>
    <row r="38" spans="1:57" x14ac:dyDescent="0.2">
      <c r="A38" s="13">
        <v>29</v>
      </c>
      <c r="B38" s="3">
        <v>2</v>
      </c>
      <c r="C38" s="17">
        <v>2</v>
      </c>
      <c r="D38" s="3">
        <v>4</v>
      </c>
      <c r="E38" s="18">
        <v>9</v>
      </c>
      <c r="F38" s="18">
        <v>10</v>
      </c>
      <c r="G38" s="18">
        <v>68</v>
      </c>
      <c r="H38" s="19">
        <v>1</v>
      </c>
      <c r="I38" s="18">
        <v>5</v>
      </c>
      <c r="J38" s="18">
        <v>0</v>
      </c>
      <c r="K38" s="20">
        <v>137</v>
      </c>
      <c r="L38" s="18">
        <v>269</v>
      </c>
      <c r="M38" s="18">
        <v>244</v>
      </c>
      <c r="N38" s="18">
        <v>286</v>
      </c>
      <c r="O38" s="18">
        <v>81</v>
      </c>
      <c r="P38" s="18">
        <v>233</v>
      </c>
      <c r="Q38" s="17">
        <v>2</v>
      </c>
      <c r="R38" s="17">
        <v>8</v>
      </c>
      <c r="S38" s="17">
        <v>0</v>
      </c>
      <c r="T38" s="17">
        <v>0</v>
      </c>
      <c r="U38" s="17">
        <v>2</v>
      </c>
      <c r="V38" s="3">
        <v>8</v>
      </c>
      <c r="W38" s="20">
        <v>57</v>
      </c>
      <c r="X38" s="17">
        <v>8</v>
      </c>
      <c r="Y38" s="3"/>
      <c r="Z38" s="3"/>
      <c r="AA38" s="20"/>
      <c r="AB38" s="3"/>
      <c r="AC38" s="3"/>
      <c r="AD38" s="20"/>
      <c r="AE38" s="3"/>
      <c r="AF38" s="3"/>
      <c r="AG38" s="20"/>
      <c r="AH38" s="96" t="s">
        <v>85</v>
      </c>
      <c r="AI38" s="96"/>
      <c r="AJ38" s="96"/>
      <c r="AK38" s="96"/>
      <c r="AL38" s="97"/>
      <c r="AN38" s="67">
        <f t="shared" si="2"/>
        <v>-2.3388235946845271</v>
      </c>
      <c r="AO38" s="67">
        <f t="shared" si="2"/>
        <v>-0.35304231008213094</v>
      </c>
      <c r="AP38" s="67">
        <f t="shared" si="2"/>
        <v>-1.3494076966948398</v>
      </c>
      <c r="AY38" s="67">
        <f t="shared" si="0"/>
        <v>288.33882359468453</v>
      </c>
      <c r="AZ38" s="67">
        <f t="shared" si="1"/>
        <v>81.353042310082131</v>
      </c>
      <c r="BA38" s="67">
        <f t="shared" si="3"/>
        <v>234.34940769669484</v>
      </c>
      <c r="BC38">
        <f t="shared" si="4"/>
        <v>35.442906055764126</v>
      </c>
      <c r="BD38">
        <v>1013.2</v>
      </c>
      <c r="BE38">
        <f t="shared" si="5"/>
        <v>30.552572506268454</v>
      </c>
    </row>
    <row r="39" spans="1:57" x14ac:dyDescent="0.2">
      <c r="A39" s="13">
        <v>30</v>
      </c>
      <c r="B39" s="3">
        <v>2</v>
      </c>
      <c r="C39" s="17">
        <v>7</v>
      </c>
      <c r="D39" s="3">
        <v>4</v>
      </c>
      <c r="E39" s="18">
        <v>5</v>
      </c>
      <c r="F39" s="18">
        <v>7</v>
      </c>
      <c r="G39" s="18">
        <v>61</v>
      </c>
      <c r="H39" s="19">
        <v>1</v>
      </c>
      <c r="I39" s="18">
        <v>25</v>
      </c>
      <c r="J39" s="18">
        <v>82</v>
      </c>
      <c r="K39" s="20">
        <v>127</v>
      </c>
      <c r="L39" s="18">
        <v>246</v>
      </c>
      <c r="M39" s="18">
        <v>241</v>
      </c>
      <c r="N39" s="18">
        <v>296</v>
      </c>
      <c r="O39" s="18">
        <v>96</v>
      </c>
      <c r="P39" s="18">
        <v>239</v>
      </c>
      <c r="Q39" s="17">
        <v>7</v>
      </c>
      <c r="R39" s="17">
        <v>8</v>
      </c>
      <c r="S39" s="17" t="s">
        <v>89</v>
      </c>
      <c r="T39" s="17" t="s">
        <v>89</v>
      </c>
      <c r="U39" s="17">
        <v>3</v>
      </c>
      <c r="V39" s="3">
        <v>8</v>
      </c>
      <c r="W39" s="20">
        <v>54</v>
      </c>
      <c r="X39" s="17">
        <v>8</v>
      </c>
      <c r="Y39" s="17">
        <v>6</v>
      </c>
      <c r="Z39" s="17">
        <v>6</v>
      </c>
      <c r="AA39" s="20">
        <v>114</v>
      </c>
      <c r="AB39" s="3"/>
      <c r="AC39" s="3"/>
      <c r="AD39" s="20"/>
      <c r="AE39" s="3"/>
      <c r="AF39" s="3"/>
      <c r="AG39" s="20"/>
      <c r="AH39" s="96" t="s">
        <v>213</v>
      </c>
      <c r="AI39" s="96"/>
      <c r="AJ39" s="96"/>
      <c r="AK39" s="96"/>
      <c r="AL39" s="97"/>
      <c r="AN39" s="67">
        <f t="shared" si="2"/>
        <v>-0.63823461549117155</v>
      </c>
      <c r="AO39" s="67">
        <f t="shared" si="2"/>
        <v>6.511333648673201E-2</v>
      </c>
      <c r="AP39" s="67">
        <f t="shared" si="2"/>
        <v>-5.7101018073069554E-2</v>
      </c>
      <c r="AY39" s="67">
        <f t="shared" si="0"/>
        <v>296.63823461549117</v>
      </c>
      <c r="AZ39" s="67">
        <f t="shared" si="1"/>
        <v>95.934886663513268</v>
      </c>
      <c r="BA39" s="67">
        <f t="shared" si="3"/>
        <v>239.05710101807307</v>
      </c>
      <c r="BC39">
        <f t="shared" si="4"/>
        <v>30.920788561092973</v>
      </c>
      <c r="BD39">
        <v>1013.2</v>
      </c>
      <c r="BE39">
        <f t="shared" si="5"/>
        <v>30.007446138089119</v>
      </c>
    </row>
    <row r="40" spans="1:57" x14ac:dyDescent="0.2">
      <c r="A40" s="13"/>
      <c r="B40" s="3"/>
      <c r="C40" s="17"/>
      <c r="D40" s="3"/>
      <c r="E40" s="18"/>
      <c r="F40" s="18"/>
      <c r="G40" s="18"/>
      <c r="H40" s="19"/>
      <c r="I40" s="18"/>
      <c r="J40" s="18"/>
      <c r="K40" s="20"/>
      <c r="L40" s="18"/>
      <c r="M40" s="18"/>
      <c r="N40" s="18"/>
      <c r="O40" s="18"/>
      <c r="P40" s="18"/>
      <c r="Q40" s="17"/>
      <c r="R40" s="17"/>
      <c r="S40" s="17"/>
      <c r="T40" s="17"/>
      <c r="U40" s="17"/>
      <c r="V40" s="3"/>
      <c r="W40" s="20"/>
      <c r="X40" s="17"/>
      <c r="Y40" s="3"/>
      <c r="Z40" s="3"/>
      <c r="AA40" s="20"/>
      <c r="AB40" s="3"/>
      <c r="AC40" s="3"/>
      <c r="AD40" s="20"/>
      <c r="AE40" s="3"/>
      <c r="AF40" s="3"/>
      <c r="AG40" s="20"/>
      <c r="AH40" s="96"/>
      <c r="AI40" s="96"/>
      <c r="AJ40" s="96"/>
      <c r="AK40" s="96"/>
      <c r="AL40" s="97"/>
      <c r="AN40" s="67"/>
      <c r="AO40" s="67"/>
      <c r="AP40" s="67"/>
      <c r="AY40" s="67">
        <f t="shared" si="0"/>
        <v>61.120000000000005</v>
      </c>
      <c r="AZ40" s="67">
        <f t="shared" si="1"/>
        <v>100</v>
      </c>
      <c r="BA40" s="67">
        <f t="shared" si="3"/>
        <v>0</v>
      </c>
      <c r="BC40">
        <f t="shared" si="4"/>
        <v>6.1120000000000001</v>
      </c>
      <c r="BD40">
        <v>1013.2</v>
      </c>
      <c r="BE40">
        <f t="shared" si="5"/>
        <v>6.1120000000000001</v>
      </c>
    </row>
    <row r="41" spans="1:57" x14ac:dyDescent="0.2">
      <c r="A41" s="18"/>
      <c r="B41" s="3"/>
      <c r="C41" s="17"/>
      <c r="D41" s="3"/>
      <c r="E41" s="18"/>
      <c r="F41" s="18"/>
      <c r="G41" s="18"/>
      <c r="H41" s="19"/>
      <c r="I41" s="18"/>
      <c r="J41" s="18"/>
      <c r="K41" s="20"/>
      <c r="L41" s="18"/>
      <c r="M41" s="18"/>
      <c r="N41" s="18"/>
      <c r="O41" s="18"/>
      <c r="P41" s="18"/>
      <c r="Q41" s="17"/>
      <c r="R41" s="17"/>
      <c r="S41" s="17"/>
      <c r="T41" s="17"/>
      <c r="U41" s="17"/>
      <c r="V41" s="3"/>
      <c r="W41" s="20"/>
      <c r="X41" s="3"/>
      <c r="Y41" s="3"/>
      <c r="Z41" s="3"/>
      <c r="AA41" s="20"/>
      <c r="AB41" s="3"/>
      <c r="AC41" s="3"/>
      <c r="AD41" s="20"/>
      <c r="AE41" s="3"/>
      <c r="AF41" s="3"/>
      <c r="AG41" s="20"/>
      <c r="AH41" s="109" t="s">
        <v>234</v>
      </c>
      <c r="AI41" s="107"/>
      <c r="AJ41" s="107"/>
      <c r="AK41" s="107"/>
      <c r="AL41" s="108"/>
      <c r="AN41" s="67"/>
      <c r="AO41" s="67"/>
      <c r="AP41" s="67"/>
    </row>
    <row r="42" spans="1:57" x14ac:dyDescent="0.2">
      <c r="A42" s="13" t="s">
        <v>9</v>
      </c>
      <c r="B42" s="1"/>
      <c r="C42" s="21">
        <f>SUM(C10:C40)</f>
        <v>121</v>
      </c>
      <c r="D42" s="1"/>
      <c r="E42" s="13"/>
      <c r="F42" s="13">
        <f>SUM(F10:F40)</f>
        <v>230</v>
      </c>
      <c r="G42" s="13"/>
      <c r="H42" s="2"/>
      <c r="I42" s="13"/>
      <c r="J42" s="13"/>
      <c r="K42" s="22">
        <f>SUM(K10:K40)</f>
        <v>3629</v>
      </c>
      <c r="L42" s="13">
        <f>SUM(L10:L40)</f>
        <v>7797</v>
      </c>
      <c r="M42" s="13">
        <f>SUM(M10:M40)</f>
        <v>7247</v>
      </c>
      <c r="N42" s="13">
        <f>SUM(N10:N40)</f>
        <v>8613</v>
      </c>
      <c r="O42" s="13">
        <f>SUM(O10:O40)</f>
        <v>2562</v>
      </c>
      <c r="P42" s="13">
        <f t="shared" ref="P42" si="6">SUM(P10:P40)</f>
        <v>6997</v>
      </c>
      <c r="Q42" s="21">
        <f>SUM(Q10:Q40)</f>
        <v>85</v>
      </c>
      <c r="R42" s="21"/>
      <c r="S42" s="21"/>
      <c r="T42" s="21"/>
      <c r="U42" s="21"/>
      <c r="V42" s="1"/>
      <c r="W42" s="22"/>
      <c r="X42" s="1"/>
      <c r="Y42" s="1"/>
      <c r="Z42" s="1"/>
      <c r="AA42" s="22"/>
      <c r="AB42" s="1"/>
      <c r="AC42" s="1"/>
      <c r="AD42" s="22"/>
      <c r="AE42" s="1"/>
      <c r="AF42" s="1"/>
      <c r="AG42" s="22"/>
      <c r="AH42" s="110" t="s">
        <v>241</v>
      </c>
      <c r="AI42" s="107"/>
      <c r="AJ42" s="107"/>
      <c r="AK42" s="107"/>
      <c r="AL42" s="108"/>
      <c r="AN42" s="67"/>
      <c r="AO42" s="67"/>
      <c r="AP42" s="67"/>
    </row>
    <row r="43" spans="1:57" ht="13.5" thickBot="1" x14ac:dyDescent="0.25">
      <c r="A43" s="23" t="s">
        <v>10</v>
      </c>
      <c r="B43" s="24"/>
      <c r="C43" s="25">
        <f>AVERAGE(C10:C40)</f>
        <v>4.0333333333333332</v>
      </c>
      <c r="D43" s="24"/>
      <c r="E43" s="23">
        <f>MODE(E10:E40)</f>
        <v>9</v>
      </c>
      <c r="F43" s="23">
        <f>AVERAGE(F10:F40)</f>
        <v>7.666666666666667</v>
      </c>
      <c r="G43" s="23"/>
      <c r="H43" s="26"/>
      <c r="I43" s="23"/>
      <c r="J43" s="23"/>
      <c r="K43" s="27">
        <f>AVERAGE(K10:K40)</f>
        <v>120.96666666666667</v>
      </c>
      <c r="L43" s="23">
        <f t="shared" ref="L43:Q43" si="7">AVERAGE(L10:L40)</f>
        <v>259.89999999999998</v>
      </c>
      <c r="M43" s="23">
        <f t="shared" si="7"/>
        <v>241.56666666666666</v>
      </c>
      <c r="N43" s="23">
        <f t="shared" si="7"/>
        <v>287.10000000000002</v>
      </c>
      <c r="O43" s="23">
        <f t="shared" si="7"/>
        <v>85.4</v>
      </c>
      <c r="P43" s="23">
        <f>AVERAGE(P10:P40)</f>
        <v>233.23333333333332</v>
      </c>
      <c r="Q43" s="25">
        <f t="shared" si="7"/>
        <v>2.8333333333333335</v>
      </c>
      <c r="R43" s="25"/>
      <c r="S43" s="25"/>
      <c r="T43" s="25"/>
      <c r="U43" s="25"/>
      <c r="V43" s="24"/>
      <c r="W43" s="27"/>
      <c r="X43" s="24"/>
      <c r="Y43" s="24"/>
      <c r="Z43" s="24"/>
      <c r="AA43" s="27"/>
      <c r="AB43" s="24"/>
      <c r="AC43" s="24"/>
      <c r="AD43" s="27"/>
      <c r="AE43" s="24"/>
      <c r="AF43" s="24"/>
      <c r="AG43" s="27"/>
      <c r="AH43" s="111"/>
      <c r="AI43" s="111"/>
      <c r="AJ43" s="111"/>
      <c r="AK43" s="111"/>
      <c r="AL43" s="112"/>
      <c r="AN43" s="67">
        <f>AVERAGE(AN10:AN40)</f>
        <v>-1.5368762727429668</v>
      </c>
      <c r="AO43" s="67">
        <f t="shared" ref="AO43:AP43" si="8">AVERAGE(AO10:AO40)</f>
        <v>-0.58084837466159678</v>
      </c>
      <c r="AP43" s="67">
        <f t="shared" si="8"/>
        <v>-1.1668478018848343</v>
      </c>
    </row>
    <row r="44" spans="1:57" x14ac:dyDescent="0.2">
      <c r="E44" s="11"/>
      <c r="G44" s="11"/>
      <c r="K44" s="4"/>
      <c r="M44" s="11"/>
      <c r="P44" s="11"/>
      <c r="Q44" s="11"/>
      <c r="W44" s="4"/>
      <c r="AA44" s="4"/>
      <c r="AD44" s="4"/>
    </row>
    <row r="45" spans="1:57" x14ac:dyDescent="0.2">
      <c r="E45" s="11"/>
      <c r="G45" s="11"/>
      <c r="K45" s="4"/>
      <c r="M45" s="11"/>
      <c r="P45" s="11"/>
      <c r="Q45" s="11"/>
      <c r="W45" s="4"/>
      <c r="AA45" s="4"/>
    </row>
    <row r="46" spans="1:57" x14ac:dyDescent="0.2">
      <c r="E46" s="11"/>
      <c r="G46" s="11"/>
      <c r="M46" s="11"/>
      <c r="P46" s="11"/>
      <c r="Q46" s="11"/>
      <c r="W46" s="4"/>
      <c r="AA46" s="4"/>
    </row>
    <row r="47" spans="1:57" x14ac:dyDescent="0.2">
      <c r="E47" s="11"/>
      <c r="G47" s="11"/>
      <c r="M47" s="11"/>
      <c r="P47" s="11"/>
      <c r="Q47" s="11"/>
    </row>
    <row r="48" spans="1:57" x14ac:dyDescent="0.2">
      <c r="E48" s="11"/>
      <c r="G48" s="11"/>
      <c r="M48" s="11"/>
      <c r="P48" s="11"/>
      <c r="Q48" s="11"/>
    </row>
    <row r="49" spans="5:17" x14ac:dyDescent="0.2">
      <c r="E49" s="11"/>
      <c r="G49" s="11"/>
      <c r="M49" s="11"/>
      <c r="P49" s="11"/>
      <c r="Q49" s="11"/>
    </row>
  </sheetData>
  <mergeCells count="72">
    <mergeCell ref="AH41:AL41"/>
    <mergeCell ref="AH42:AL42"/>
    <mergeCell ref="AH43:AL43"/>
    <mergeCell ref="AH36:AL36"/>
    <mergeCell ref="AH37:AL37"/>
    <mergeCell ref="AH38:AL38"/>
    <mergeCell ref="AH39:AL39"/>
    <mergeCell ref="AH40:AL40"/>
    <mergeCell ref="AH31:AL31"/>
    <mergeCell ref="AH32:AL32"/>
    <mergeCell ref="AH33:AL33"/>
    <mergeCell ref="AH34:AL34"/>
    <mergeCell ref="AH35:AL35"/>
    <mergeCell ref="AH26:AL26"/>
    <mergeCell ref="AH27:AL27"/>
    <mergeCell ref="AH28:AL28"/>
    <mergeCell ref="AH29:AL29"/>
    <mergeCell ref="AH30:AL30"/>
    <mergeCell ref="AH21:AL21"/>
    <mergeCell ref="AH22:AL22"/>
    <mergeCell ref="AH23:AL23"/>
    <mergeCell ref="AH25:AL25"/>
    <mergeCell ref="AH24:AL24"/>
    <mergeCell ref="AH16:AL16"/>
    <mergeCell ref="AH17:AL17"/>
    <mergeCell ref="AH18:AL18"/>
    <mergeCell ref="AH19:AL19"/>
    <mergeCell ref="AH20:AL20"/>
    <mergeCell ref="AH11:AL11"/>
    <mergeCell ref="AH12:AL12"/>
    <mergeCell ref="AH13:AL13"/>
    <mergeCell ref="AH14:AL14"/>
    <mergeCell ref="AH15:AL15"/>
    <mergeCell ref="U8:W8"/>
    <mergeCell ref="X8:AA8"/>
    <mergeCell ref="AB8:AD8"/>
    <mergeCell ref="AE8:AG8"/>
    <mergeCell ref="AH10:AL10"/>
    <mergeCell ref="AH7:AL9"/>
    <mergeCell ref="P8:P9"/>
    <mergeCell ref="Q8:Q9"/>
    <mergeCell ref="R8:R9"/>
    <mergeCell ref="S8:S9"/>
    <mergeCell ref="T8:T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3:T3"/>
    <mergeCell ref="E7:F7"/>
    <mergeCell ref="L7:P7"/>
    <mergeCell ref="Q7:T7"/>
    <mergeCell ref="U7:AG7"/>
    <mergeCell ref="AN7:AP7"/>
    <mergeCell ref="AY7:BA7"/>
    <mergeCell ref="AN8:AN9"/>
    <mergeCell ref="AO8:AO9"/>
    <mergeCell ref="AP8:AP9"/>
    <mergeCell ref="AY8:AY9"/>
    <mergeCell ref="AZ8:AZ9"/>
    <mergeCell ref="BA8:BA9"/>
  </mergeCells>
  <phoneticPr fontId="2" type="noConversion"/>
  <dataValidations count="5">
    <dataValidation type="whole" allowBlank="1" showInputMessage="1" showErrorMessage="1" sqref="C10:C40" xr:uid="{00000000-0002-0000-1200-000000000000}">
      <formula1>0</formula1>
      <formula2>9</formula2>
    </dataValidation>
    <dataValidation type="whole" allowBlank="1" showInputMessage="1" showErrorMessage="1" sqref="Y10:Y40" xr:uid="{00000000-0002-0000-1200-000001000000}">
      <formula1>3</formula1>
      <formula2>9</formula2>
    </dataValidation>
    <dataValidation type="whole" allowBlank="1" showInputMessage="1" showErrorMessage="1" sqref="AB10:AB40" xr:uid="{00000000-0002-0000-1200-000002000000}">
      <formula1>5</formula1>
      <formula2>9</formula2>
    </dataValidation>
    <dataValidation type="whole" allowBlank="1" showInputMessage="1" showErrorMessage="1" sqref="D10:D40" xr:uid="{00000000-0002-0000-1200-000003000000}">
      <formula1>0</formula1>
      <formula2>4</formula2>
    </dataValidation>
    <dataValidation type="whole" allowBlank="1" showInputMessage="1" showErrorMessage="1" sqref="AE10:AE40" xr:uid="{00000000-0002-0000-1200-000004000000}">
      <formula1>1</formula1>
      <formula2>9</formula2>
    </dataValidation>
  </dataValidations>
  <pageMargins left="0.75" right="0.75" top="1" bottom="1" header="0.5" footer="0.5"/>
  <pageSetup orientation="portrait" horizont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E49"/>
  <sheetViews>
    <sheetView workbookViewId="0">
      <pane xSplit="2" ySplit="9" topLeftCell="C10" activePane="bottomRight" state="frozen"/>
      <selection activeCell="AM2" sqref="AM2"/>
      <selection pane="topRight" activeCell="AM2" sqref="AM2"/>
      <selection pane="bottomLeft" activeCell="AM2" sqref="AM2"/>
      <selection pane="bottomRight" activeCell="U42" sqref="U42"/>
    </sheetView>
  </sheetViews>
  <sheetFormatPr defaultRowHeight="12.75" x14ac:dyDescent="0.2"/>
  <cols>
    <col min="1" max="1" width="4.28515625" bestFit="1" customWidth="1"/>
    <col min="2" max="2" width="5.140625" bestFit="1" customWidth="1"/>
    <col min="3" max="3" width="4" bestFit="1" customWidth="1"/>
    <col min="4" max="5" width="3" bestFit="1" customWidth="1"/>
    <col min="6" max="6" width="4" bestFit="1" customWidth="1"/>
    <col min="7" max="10" width="3" bestFit="1" customWidth="1"/>
    <col min="11" max="11" width="8.5703125" bestFit="1" customWidth="1"/>
    <col min="12" max="16" width="5" bestFit="1" customWidth="1"/>
    <col min="17" max="22" width="3" bestFit="1" customWidth="1"/>
    <col min="23" max="23" width="5.28515625" bestFit="1" customWidth="1"/>
    <col min="24" max="26" width="3" bestFit="1" customWidth="1"/>
    <col min="27" max="27" width="5.28515625" bestFit="1" customWidth="1"/>
    <col min="28" max="29" width="3" bestFit="1" customWidth="1"/>
    <col min="30" max="30" width="5.28515625" bestFit="1" customWidth="1"/>
    <col min="31" max="32" width="3" bestFit="1" customWidth="1"/>
    <col min="33" max="33" width="5.28515625" bestFit="1" customWidth="1"/>
    <col min="34" max="34" width="5.42578125" customWidth="1"/>
    <col min="40" max="42" width="4.7109375" customWidth="1"/>
    <col min="50" max="58" width="0" hidden="1" customWidth="1"/>
  </cols>
  <sheetData>
    <row r="1" spans="1:5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  <c r="P1" s="1"/>
      <c r="Q1" s="1"/>
      <c r="R1" s="1"/>
    </row>
    <row r="2" spans="1:57" ht="36.75" customHeight="1" x14ac:dyDescent="0.2">
      <c r="A2" s="1"/>
      <c r="B2" s="1"/>
      <c r="C2" s="1"/>
      <c r="D2" s="1"/>
      <c r="E2" s="1"/>
      <c r="F2" s="1"/>
      <c r="G2" s="1"/>
      <c r="H2" s="1"/>
      <c r="I2" s="2"/>
      <c r="J2" s="2"/>
      <c r="K2" s="1"/>
      <c r="L2" s="1"/>
      <c r="M2" s="1"/>
      <c r="O2" s="2"/>
      <c r="P2" s="1"/>
      <c r="Q2" s="1"/>
      <c r="R2" s="1"/>
    </row>
    <row r="3" spans="1:5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80"/>
      <c r="Q3" s="80"/>
      <c r="R3" s="80"/>
      <c r="S3" s="80"/>
      <c r="T3" s="80"/>
    </row>
    <row r="4" spans="1:5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7" spans="1:57" ht="14.25" x14ac:dyDescent="0.25">
      <c r="A7" s="7"/>
      <c r="B7" s="7"/>
      <c r="C7" s="7"/>
      <c r="D7" s="7"/>
      <c r="E7" s="81" t="s">
        <v>20</v>
      </c>
      <c r="F7" s="81"/>
      <c r="G7" s="7"/>
      <c r="H7" s="7"/>
      <c r="I7" s="7"/>
      <c r="J7" s="7"/>
      <c r="K7" s="7"/>
      <c r="L7" s="82" t="s">
        <v>11</v>
      </c>
      <c r="M7" s="82"/>
      <c r="N7" s="82"/>
      <c r="O7" s="82"/>
      <c r="P7" s="82"/>
      <c r="Q7" s="83" t="s">
        <v>29</v>
      </c>
      <c r="R7" s="83"/>
      <c r="S7" s="83"/>
      <c r="T7" s="83"/>
      <c r="U7" s="84" t="s">
        <v>33</v>
      </c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98" t="s">
        <v>8</v>
      </c>
      <c r="AI7" s="99"/>
      <c r="AJ7" s="99"/>
      <c r="AK7" s="99"/>
      <c r="AL7" s="100"/>
      <c r="AN7" s="73" t="s">
        <v>80</v>
      </c>
      <c r="AO7" s="74"/>
      <c r="AP7" s="75"/>
      <c r="AY7" s="76" t="s">
        <v>81</v>
      </c>
      <c r="AZ7" s="77"/>
      <c r="BA7" s="78"/>
    </row>
    <row r="8" spans="1:57" ht="16.5" customHeight="1" x14ac:dyDescent="0.2">
      <c r="A8" s="85" t="s">
        <v>18</v>
      </c>
      <c r="B8" s="89" t="s">
        <v>19</v>
      </c>
      <c r="C8" s="90" t="s">
        <v>23</v>
      </c>
      <c r="D8" s="88" t="s">
        <v>24</v>
      </c>
      <c r="E8" s="91" t="s">
        <v>25</v>
      </c>
      <c r="F8" s="86" t="s">
        <v>26</v>
      </c>
      <c r="G8" s="88" t="s">
        <v>27</v>
      </c>
      <c r="H8" s="88" t="s">
        <v>0</v>
      </c>
      <c r="I8" s="88" t="s">
        <v>21</v>
      </c>
      <c r="J8" s="88" t="s">
        <v>22</v>
      </c>
      <c r="K8" s="85" t="s">
        <v>28</v>
      </c>
      <c r="L8" s="79" t="s">
        <v>1</v>
      </c>
      <c r="M8" s="79" t="s">
        <v>2</v>
      </c>
      <c r="N8" s="79" t="s">
        <v>3</v>
      </c>
      <c r="O8" s="79" t="s">
        <v>4</v>
      </c>
      <c r="P8" s="79" t="s">
        <v>5</v>
      </c>
      <c r="Q8" s="92" t="s">
        <v>34</v>
      </c>
      <c r="R8" s="92" t="s">
        <v>30</v>
      </c>
      <c r="S8" s="92" t="s">
        <v>31</v>
      </c>
      <c r="T8" s="92" t="s">
        <v>32</v>
      </c>
      <c r="U8" s="93" t="s">
        <v>38</v>
      </c>
      <c r="V8" s="93"/>
      <c r="W8" s="93"/>
      <c r="X8" s="93" t="s">
        <v>39</v>
      </c>
      <c r="Y8" s="93"/>
      <c r="Z8" s="93"/>
      <c r="AA8" s="93"/>
      <c r="AB8" s="93" t="s">
        <v>40</v>
      </c>
      <c r="AC8" s="93"/>
      <c r="AD8" s="93"/>
      <c r="AE8" s="93" t="s">
        <v>41</v>
      </c>
      <c r="AF8" s="94"/>
      <c r="AG8" s="95"/>
      <c r="AH8" s="101"/>
      <c r="AI8" s="102"/>
      <c r="AJ8" s="102"/>
      <c r="AK8" s="102"/>
      <c r="AL8" s="103"/>
      <c r="AN8" s="79" t="s">
        <v>3</v>
      </c>
      <c r="AO8" s="79" t="s">
        <v>4</v>
      </c>
      <c r="AP8" s="79" t="s">
        <v>5</v>
      </c>
      <c r="AY8" s="79" t="s">
        <v>3</v>
      </c>
      <c r="AZ8" s="79" t="s">
        <v>4</v>
      </c>
      <c r="BA8" s="79" t="s">
        <v>5</v>
      </c>
    </row>
    <row r="9" spans="1:57" s="3" customFormat="1" ht="72" customHeight="1" x14ac:dyDescent="0.2">
      <c r="A9" s="85"/>
      <c r="B9" s="89"/>
      <c r="C9" s="90"/>
      <c r="D9" s="88"/>
      <c r="E9" s="91"/>
      <c r="F9" s="87"/>
      <c r="G9" s="88"/>
      <c r="H9" s="88"/>
      <c r="I9" s="88"/>
      <c r="J9" s="88"/>
      <c r="K9" s="85"/>
      <c r="L9" s="79"/>
      <c r="M9" s="79"/>
      <c r="N9" s="79"/>
      <c r="O9" s="79"/>
      <c r="P9" s="79"/>
      <c r="Q9" s="92"/>
      <c r="R9" s="92"/>
      <c r="S9" s="92"/>
      <c r="T9" s="92"/>
      <c r="U9" s="8" t="s">
        <v>16</v>
      </c>
      <c r="V9" s="8" t="s">
        <v>6</v>
      </c>
      <c r="W9" s="9" t="s">
        <v>7</v>
      </c>
      <c r="X9" s="8" t="s">
        <v>17</v>
      </c>
      <c r="Y9" s="8" t="s">
        <v>16</v>
      </c>
      <c r="Z9" s="8" t="s">
        <v>6</v>
      </c>
      <c r="AA9" s="9" t="s">
        <v>7</v>
      </c>
      <c r="AB9" s="8" t="s">
        <v>16</v>
      </c>
      <c r="AC9" s="8" t="s">
        <v>6</v>
      </c>
      <c r="AD9" s="9" t="s">
        <v>7</v>
      </c>
      <c r="AE9" s="8" t="s">
        <v>16</v>
      </c>
      <c r="AF9" s="8" t="s">
        <v>6</v>
      </c>
      <c r="AG9" s="9" t="s">
        <v>7</v>
      </c>
      <c r="AH9" s="104"/>
      <c r="AI9" s="105"/>
      <c r="AJ9" s="105"/>
      <c r="AK9" s="105"/>
      <c r="AL9" s="106"/>
      <c r="AN9" s="79"/>
      <c r="AO9" s="79"/>
      <c r="AP9" s="79"/>
      <c r="AY9" s="79"/>
      <c r="AZ9" s="79"/>
      <c r="BA9" s="79"/>
      <c r="BC9" s="3" t="s">
        <v>82</v>
      </c>
      <c r="BD9" s="3" t="s">
        <v>83</v>
      </c>
      <c r="BE9" s="3" t="s">
        <v>84</v>
      </c>
    </row>
    <row r="10" spans="1:57" x14ac:dyDescent="0.2">
      <c r="A10" s="13">
        <v>1</v>
      </c>
      <c r="B10" s="3">
        <v>1</v>
      </c>
      <c r="C10" s="17">
        <v>6</v>
      </c>
      <c r="D10" s="3">
        <v>4</v>
      </c>
      <c r="E10" s="18">
        <v>9</v>
      </c>
      <c r="F10" s="18">
        <v>7</v>
      </c>
      <c r="G10" s="18">
        <v>75</v>
      </c>
      <c r="H10" s="19">
        <v>2</v>
      </c>
      <c r="I10" s="18"/>
      <c r="J10" s="18"/>
      <c r="K10" s="20">
        <v>135</v>
      </c>
      <c r="L10" s="18">
        <v>264</v>
      </c>
      <c r="M10" s="18">
        <v>246</v>
      </c>
      <c r="N10" s="18">
        <v>295</v>
      </c>
      <c r="O10" s="18">
        <v>86</v>
      </c>
      <c r="P10" s="18">
        <v>238</v>
      </c>
      <c r="Q10" s="17">
        <v>1</v>
      </c>
      <c r="R10" s="17">
        <v>2</v>
      </c>
      <c r="S10" s="17">
        <v>0</v>
      </c>
      <c r="T10" s="17">
        <v>1</v>
      </c>
      <c r="U10" s="17">
        <v>1</v>
      </c>
      <c r="V10" s="3">
        <v>8</v>
      </c>
      <c r="W10" s="20">
        <v>60</v>
      </c>
      <c r="X10" s="3">
        <v>8</v>
      </c>
      <c r="Y10" s="3">
        <v>6</v>
      </c>
      <c r="Z10" s="3">
        <v>0</v>
      </c>
      <c r="AA10" s="20">
        <v>840</v>
      </c>
      <c r="AB10" s="3"/>
      <c r="AC10" s="3"/>
      <c r="AD10" s="20"/>
      <c r="AE10" s="3"/>
      <c r="AF10" s="3"/>
      <c r="AG10" s="20"/>
      <c r="AH10" s="96"/>
      <c r="AI10" s="96"/>
      <c r="AJ10" s="96"/>
      <c r="AK10" s="96"/>
      <c r="AL10" s="97"/>
      <c r="AN10" s="67">
        <f>N10-AY10</f>
        <v>-1.8305480862897525</v>
      </c>
      <c r="AO10" s="67">
        <f>O10-AZ10</f>
        <v>-0.2541529962161917</v>
      </c>
      <c r="AP10" s="67">
        <f>P10-BA10</f>
        <v>-1.1648132857445717</v>
      </c>
      <c r="AY10" s="67">
        <f t="shared" ref="AY10:AY40" si="0">10*(BE10-BD10*((L10/10)-(M10/10))*0.00066*(1+(0.00115*(M10/10))))</f>
        <v>296.83054808628975</v>
      </c>
      <c r="AZ10" s="67">
        <f t="shared" ref="AZ10:AZ40" si="1">((AY10/10)*100)/BC10</f>
        <v>86.254152996216192</v>
      </c>
      <c r="BA10" s="67">
        <f>(243.5*LN((AY10/10)/6.112))/(17.67-LN((AY10/10)/6.112))*10</f>
        <v>239.16481328574457</v>
      </c>
      <c r="BC10">
        <f>6.112*2.718^((17.67*(L10/10))/((L10/10)+243.5))</f>
        <v>34.41347897756426</v>
      </c>
      <c r="BD10">
        <v>1013.2</v>
      </c>
      <c r="BE10">
        <f>6.112*2.718^((17.67*(M10/10))/((M10/10)+243.5))</f>
        <v>30.920788561092973</v>
      </c>
    </row>
    <row r="11" spans="1:57" x14ac:dyDescent="0.2">
      <c r="A11" s="13">
        <v>2</v>
      </c>
      <c r="B11" s="3">
        <v>1</v>
      </c>
      <c r="C11" s="17">
        <v>2</v>
      </c>
      <c r="D11" s="3">
        <v>4</v>
      </c>
      <c r="E11" s="18">
        <v>8</v>
      </c>
      <c r="F11" s="18">
        <v>8</v>
      </c>
      <c r="G11" s="18">
        <v>78</v>
      </c>
      <c r="H11" s="19">
        <v>2</v>
      </c>
      <c r="I11" s="18"/>
      <c r="J11" s="18"/>
      <c r="K11" s="20">
        <v>132</v>
      </c>
      <c r="L11" s="18">
        <v>264</v>
      </c>
      <c r="M11" s="18">
        <v>244</v>
      </c>
      <c r="N11" s="18">
        <v>290</v>
      </c>
      <c r="O11" s="18">
        <v>84</v>
      </c>
      <c r="P11" s="18">
        <v>235</v>
      </c>
      <c r="Q11" s="17">
        <v>2</v>
      </c>
      <c r="R11" s="17">
        <v>2</v>
      </c>
      <c r="S11" s="17">
        <v>0</v>
      </c>
      <c r="T11" s="17">
        <v>1</v>
      </c>
      <c r="U11" s="17">
        <v>2</v>
      </c>
      <c r="V11" s="3">
        <v>8</v>
      </c>
      <c r="W11" s="20">
        <v>63</v>
      </c>
      <c r="X11" s="3">
        <v>8</v>
      </c>
      <c r="Y11" s="3"/>
      <c r="Z11" s="3"/>
      <c r="AA11" s="20"/>
      <c r="AB11" s="3"/>
      <c r="AC11" s="3"/>
      <c r="AD11" s="20"/>
      <c r="AE11" s="3"/>
      <c r="AF11" s="3"/>
      <c r="AG11" s="20"/>
      <c r="AH11" s="107"/>
      <c r="AI11" s="107"/>
      <c r="AJ11" s="107"/>
      <c r="AK11" s="107"/>
      <c r="AL11" s="108"/>
      <c r="AN11" s="67">
        <f t="shared" ref="AN11:AP39" si="2">N11-AY11</f>
        <v>-1.7762038882845559</v>
      </c>
      <c r="AO11" s="67">
        <f t="shared" si="2"/>
        <v>-0.78544237811787809</v>
      </c>
      <c r="AP11" s="67">
        <f t="shared" si="2"/>
        <v>-1.313415914987786</v>
      </c>
      <c r="AY11" s="67">
        <f t="shared" si="0"/>
        <v>291.77620388828456</v>
      </c>
      <c r="AZ11" s="67">
        <f t="shared" si="1"/>
        <v>84.785442378117878</v>
      </c>
      <c r="BA11" s="67">
        <f t="shared" ref="BA11:BA40" si="3">(243.5*LN((AY11/10)/6.112))/(17.67-LN((AY11/10)/6.112))*10</f>
        <v>236.31341591498779</v>
      </c>
      <c r="BC11">
        <f t="shared" ref="BC11:BC40" si="4">6.112*2.718^((17.67*(L11/10))/((L11/10)+243.5))</f>
        <v>34.41347897756426</v>
      </c>
      <c r="BD11">
        <v>1013.2</v>
      </c>
      <c r="BE11">
        <f t="shared" ref="BE11:BE40" si="5">6.112*2.718^((17.67*(M11/10))/((M11/10)+243.5))</f>
        <v>30.552572506268454</v>
      </c>
    </row>
    <row r="12" spans="1:57" x14ac:dyDescent="0.2">
      <c r="A12" s="13">
        <v>3</v>
      </c>
      <c r="B12" s="3">
        <v>1</v>
      </c>
      <c r="C12" s="17">
        <v>3</v>
      </c>
      <c r="D12" s="3">
        <v>4</v>
      </c>
      <c r="E12" s="18">
        <v>9</v>
      </c>
      <c r="F12" s="18">
        <v>5</v>
      </c>
      <c r="G12" s="18">
        <v>68</v>
      </c>
      <c r="H12" s="19">
        <v>1</v>
      </c>
      <c r="I12" s="18">
        <v>15</v>
      </c>
      <c r="J12" s="18">
        <v>0</v>
      </c>
      <c r="K12" s="20">
        <v>120</v>
      </c>
      <c r="L12" s="18">
        <v>267</v>
      </c>
      <c r="M12" s="18">
        <v>250</v>
      </c>
      <c r="N12" s="18">
        <v>304</v>
      </c>
      <c r="O12" s="18">
        <v>87</v>
      </c>
      <c r="P12" s="18">
        <v>243</v>
      </c>
      <c r="Q12" s="17">
        <v>3</v>
      </c>
      <c r="R12" s="17">
        <v>2</v>
      </c>
      <c r="S12" s="17">
        <v>0</v>
      </c>
      <c r="T12" s="17">
        <v>0</v>
      </c>
      <c r="U12" s="17">
        <v>3</v>
      </c>
      <c r="V12" s="3">
        <v>8</v>
      </c>
      <c r="W12" s="20">
        <v>54</v>
      </c>
      <c r="X12" s="3">
        <v>8</v>
      </c>
      <c r="Y12" s="3"/>
      <c r="Z12" s="3"/>
      <c r="AA12" s="20"/>
      <c r="AB12" s="3"/>
      <c r="AC12" s="3"/>
      <c r="AD12" s="20"/>
      <c r="AE12" s="3"/>
      <c r="AF12" s="3"/>
      <c r="AG12" s="20"/>
      <c r="AH12" s="107" t="s">
        <v>85</v>
      </c>
      <c r="AI12" s="107"/>
      <c r="AJ12" s="107"/>
      <c r="AK12" s="107"/>
      <c r="AL12" s="108"/>
      <c r="AN12" s="67">
        <f t="shared" si="2"/>
        <v>-0.99397910615994078</v>
      </c>
      <c r="AO12" s="67">
        <f t="shared" si="2"/>
        <v>-7.160605134117759E-2</v>
      </c>
      <c r="AP12" s="67">
        <f t="shared" si="2"/>
        <v>-0.68163796227804596</v>
      </c>
      <c r="AY12" s="67">
        <f t="shared" si="0"/>
        <v>304.99397910615994</v>
      </c>
      <c r="AZ12" s="67">
        <f t="shared" si="1"/>
        <v>87.071606051341178</v>
      </c>
      <c r="BA12" s="67">
        <f t="shared" si="3"/>
        <v>243.68163796227805</v>
      </c>
      <c r="BC12">
        <f t="shared" si="4"/>
        <v>35.027949171664794</v>
      </c>
      <c r="BD12">
        <v>1013.2</v>
      </c>
      <c r="BE12">
        <f t="shared" si="5"/>
        <v>31.668891609615997</v>
      </c>
    </row>
    <row r="13" spans="1:57" x14ac:dyDescent="0.2">
      <c r="A13" s="13">
        <v>4</v>
      </c>
      <c r="B13" s="3">
        <v>1</v>
      </c>
      <c r="C13" s="17">
        <v>1</v>
      </c>
      <c r="D13" s="3">
        <v>4</v>
      </c>
      <c r="E13" s="18">
        <v>8</v>
      </c>
      <c r="F13" s="18">
        <v>10</v>
      </c>
      <c r="G13" s="18">
        <v>75</v>
      </c>
      <c r="H13" s="19">
        <v>2</v>
      </c>
      <c r="I13" s="18"/>
      <c r="J13" s="18"/>
      <c r="K13" s="20">
        <v>134</v>
      </c>
      <c r="L13" s="18">
        <v>262</v>
      </c>
      <c r="M13" s="18">
        <v>240</v>
      </c>
      <c r="N13" s="18">
        <v>281</v>
      </c>
      <c r="O13" s="18">
        <v>83</v>
      </c>
      <c r="P13" s="18">
        <v>230</v>
      </c>
      <c r="Q13" s="17">
        <v>1</v>
      </c>
      <c r="R13" s="17">
        <v>2</v>
      </c>
      <c r="S13" s="17">
        <v>0</v>
      </c>
      <c r="T13" s="17">
        <v>0</v>
      </c>
      <c r="U13" s="17">
        <v>1</v>
      </c>
      <c r="V13" s="3">
        <v>8</v>
      </c>
      <c r="W13" s="20">
        <v>63</v>
      </c>
      <c r="X13" s="3">
        <v>8</v>
      </c>
      <c r="Y13" s="3"/>
      <c r="Z13" s="3"/>
      <c r="AA13" s="20"/>
      <c r="AB13" s="3"/>
      <c r="AC13" s="3"/>
      <c r="AD13" s="20"/>
      <c r="AE13" s="3"/>
      <c r="AF13" s="3"/>
      <c r="AG13" s="20"/>
      <c r="AH13" s="107"/>
      <c r="AI13" s="107"/>
      <c r="AJ13" s="107"/>
      <c r="AK13" s="107"/>
      <c r="AL13" s="108"/>
      <c r="AN13" s="67">
        <f t="shared" si="2"/>
        <v>-2.1586912166206389</v>
      </c>
      <c r="AO13" s="67">
        <f t="shared" si="2"/>
        <v>-0.2597120434179061</v>
      </c>
      <c r="AP13" s="67">
        <f t="shared" si="2"/>
        <v>-1.3505520676229139</v>
      </c>
      <c r="AY13" s="67">
        <f t="shared" si="0"/>
        <v>283.15869121662064</v>
      </c>
      <c r="AZ13" s="67">
        <f t="shared" si="1"/>
        <v>83.259712043417906</v>
      </c>
      <c r="BA13" s="67">
        <f t="shared" si="3"/>
        <v>231.35055206762291</v>
      </c>
      <c r="BC13">
        <f t="shared" si="4"/>
        <v>34.009088461531107</v>
      </c>
      <c r="BD13">
        <v>1013.2</v>
      </c>
      <c r="BE13">
        <f t="shared" si="5"/>
        <v>29.827639714302066</v>
      </c>
    </row>
    <row r="14" spans="1:57" x14ac:dyDescent="0.2">
      <c r="A14" s="13">
        <v>5</v>
      </c>
      <c r="B14" s="3">
        <v>1</v>
      </c>
      <c r="C14" s="17">
        <v>3</v>
      </c>
      <c r="D14" s="3">
        <v>4</v>
      </c>
      <c r="E14" s="18">
        <v>10</v>
      </c>
      <c r="F14" s="18">
        <v>11</v>
      </c>
      <c r="G14" s="18">
        <v>80</v>
      </c>
      <c r="H14" s="19">
        <v>2</v>
      </c>
      <c r="I14" s="18"/>
      <c r="J14" s="18"/>
      <c r="K14" s="20">
        <v>137</v>
      </c>
      <c r="L14" s="18">
        <v>268</v>
      </c>
      <c r="M14" s="18">
        <v>245</v>
      </c>
      <c r="N14" s="18">
        <v>290</v>
      </c>
      <c r="O14" s="18">
        <v>82</v>
      </c>
      <c r="P14" s="18">
        <v>235</v>
      </c>
      <c r="Q14" s="17">
        <v>2</v>
      </c>
      <c r="R14" s="17">
        <v>2</v>
      </c>
      <c r="S14" s="17">
        <v>0</v>
      </c>
      <c r="T14" s="17">
        <v>1</v>
      </c>
      <c r="U14" s="17">
        <v>2</v>
      </c>
      <c r="V14" s="3">
        <v>8</v>
      </c>
      <c r="W14" s="20">
        <v>54</v>
      </c>
      <c r="X14" s="3">
        <v>8</v>
      </c>
      <c r="Y14" s="3"/>
      <c r="Z14" s="3"/>
      <c r="AA14" s="20"/>
      <c r="AB14" s="3"/>
      <c r="AC14" s="3"/>
      <c r="AD14" s="20"/>
      <c r="AE14" s="3"/>
      <c r="AF14" s="3"/>
      <c r="AG14" s="20"/>
      <c r="AH14" s="107"/>
      <c r="AI14" s="107"/>
      <c r="AJ14" s="107"/>
      <c r="AK14" s="107"/>
      <c r="AL14" s="108"/>
      <c r="AN14" s="67">
        <f t="shared" si="2"/>
        <v>-1.5482602654706739</v>
      </c>
      <c r="AO14" s="67">
        <f t="shared" si="2"/>
        <v>-0.74418656868023447</v>
      </c>
      <c r="AP14" s="67">
        <f t="shared" si="2"/>
        <v>-1.1838053580768531</v>
      </c>
      <c r="AY14" s="67">
        <f t="shared" si="0"/>
        <v>291.54826026547067</v>
      </c>
      <c r="AZ14" s="67">
        <f t="shared" si="1"/>
        <v>82.744186568680234</v>
      </c>
      <c r="BA14" s="67">
        <f t="shared" si="3"/>
        <v>236.18380535807685</v>
      </c>
      <c r="BC14">
        <f t="shared" si="4"/>
        <v>35.234893514056914</v>
      </c>
      <c r="BD14">
        <v>1013.2</v>
      </c>
      <c r="BE14">
        <f t="shared" si="5"/>
        <v>30.736197835927069</v>
      </c>
    </row>
    <row r="15" spans="1:57" x14ac:dyDescent="0.2">
      <c r="A15" s="13">
        <v>6</v>
      </c>
      <c r="B15" s="3">
        <v>1</v>
      </c>
      <c r="C15" s="17">
        <v>2</v>
      </c>
      <c r="D15" s="3">
        <v>4</v>
      </c>
      <c r="E15" s="18">
        <v>10</v>
      </c>
      <c r="F15" s="18">
        <v>15</v>
      </c>
      <c r="G15" s="18">
        <v>78</v>
      </c>
      <c r="H15" s="19">
        <v>2</v>
      </c>
      <c r="I15" s="18"/>
      <c r="J15" s="18"/>
      <c r="K15" s="20">
        <v>135</v>
      </c>
      <c r="L15" s="18">
        <v>267</v>
      </c>
      <c r="M15" s="18">
        <v>246</v>
      </c>
      <c r="N15" s="18">
        <v>294</v>
      </c>
      <c r="O15" s="18">
        <v>84</v>
      </c>
      <c r="P15" s="18">
        <v>237</v>
      </c>
      <c r="Q15" s="17">
        <v>2</v>
      </c>
      <c r="R15" s="17">
        <v>2</v>
      </c>
      <c r="S15" s="17">
        <v>0</v>
      </c>
      <c r="T15" s="17">
        <v>0</v>
      </c>
      <c r="U15" s="17">
        <v>2</v>
      </c>
      <c r="V15" s="3">
        <v>8</v>
      </c>
      <c r="W15" s="20">
        <v>66</v>
      </c>
      <c r="X15" s="3">
        <v>8</v>
      </c>
      <c r="Y15" s="3"/>
      <c r="Z15" s="3"/>
      <c r="AA15" s="20"/>
      <c r="AB15" s="3"/>
      <c r="AC15" s="3"/>
      <c r="AD15" s="20"/>
      <c r="AE15" s="3"/>
      <c r="AF15" s="3"/>
      <c r="AG15" s="20"/>
      <c r="AH15" s="107"/>
      <c r="AI15" s="107"/>
      <c r="AJ15" s="107"/>
      <c r="AK15" s="107"/>
      <c r="AL15" s="108"/>
      <c r="AN15" s="67">
        <f t="shared" si="2"/>
        <v>-0.76765849884975523</v>
      </c>
      <c r="AO15" s="67">
        <f t="shared" si="2"/>
        <v>-0.15213150340430559</v>
      </c>
      <c r="AP15" s="67">
        <f t="shared" si="2"/>
        <v>-1.0062133126082813</v>
      </c>
      <c r="AY15" s="67">
        <f t="shared" si="0"/>
        <v>294.76765849884976</v>
      </c>
      <c r="AZ15" s="67">
        <f t="shared" si="1"/>
        <v>84.152131503404306</v>
      </c>
      <c r="BA15" s="67">
        <f t="shared" si="3"/>
        <v>238.00621331260828</v>
      </c>
      <c r="BC15">
        <f t="shared" si="4"/>
        <v>35.027949171664794</v>
      </c>
      <c r="BD15">
        <v>1013.2</v>
      </c>
      <c r="BE15">
        <f t="shared" si="5"/>
        <v>30.920788561092973</v>
      </c>
    </row>
    <row r="16" spans="1:57" x14ac:dyDescent="0.2">
      <c r="A16" s="13">
        <v>7</v>
      </c>
      <c r="B16" s="3">
        <v>1</v>
      </c>
      <c r="C16" s="17">
        <v>1</v>
      </c>
      <c r="D16" s="3">
        <v>4</v>
      </c>
      <c r="E16" s="18">
        <v>9</v>
      </c>
      <c r="F16" s="18">
        <v>12</v>
      </c>
      <c r="G16" s="18">
        <v>80</v>
      </c>
      <c r="H16" s="19">
        <v>2</v>
      </c>
      <c r="I16" s="18"/>
      <c r="J16" s="18"/>
      <c r="K16" s="20">
        <v>121</v>
      </c>
      <c r="L16" s="18">
        <v>266</v>
      </c>
      <c r="M16" s="18">
        <v>245</v>
      </c>
      <c r="N16" s="18">
        <v>291</v>
      </c>
      <c r="O16" s="18">
        <v>84</v>
      </c>
      <c r="P16" s="18">
        <v>236</v>
      </c>
      <c r="Q16" s="17">
        <v>1</v>
      </c>
      <c r="R16" s="17">
        <v>2</v>
      </c>
      <c r="S16" s="17">
        <v>0</v>
      </c>
      <c r="T16" s="17">
        <v>1</v>
      </c>
      <c r="U16" s="17">
        <v>1</v>
      </c>
      <c r="V16" s="3">
        <v>8</v>
      </c>
      <c r="W16" s="20">
        <v>66</v>
      </c>
      <c r="X16" s="3">
        <v>8</v>
      </c>
      <c r="Y16" s="3"/>
      <c r="Z16" s="3"/>
      <c r="AA16" s="20"/>
      <c r="AB16" s="3"/>
      <c r="AC16" s="3"/>
      <c r="AD16" s="20"/>
      <c r="AE16" s="3"/>
      <c r="AF16" s="3"/>
      <c r="AG16" s="20"/>
      <c r="AH16" s="107"/>
      <c r="AI16" s="107"/>
      <c r="AJ16" s="107"/>
      <c r="AK16" s="107"/>
      <c r="AL16" s="108"/>
      <c r="AN16" s="67">
        <f t="shared" si="2"/>
        <v>-1.9233661866707052</v>
      </c>
      <c r="AO16" s="67">
        <f t="shared" si="2"/>
        <v>-0.12003645346037217</v>
      </c>
      <c r="AP16" s="67">
        <f t="shared" si="2"/>
        <v>-0.96435842587442266</v>
      </c>
      <c r="AY16" s="67">
        <f t="shared" si="0"/>
        <v>292.92336618667071</v>
      </c>
      <c r="AZ16" s="67">
        <f t="shared" si="1"/>
        <v>84.120036453460372</v>
      </c>
      <c r="BA16" s="67">
        <f t="shared" si="3"/>
        <v>236.96435842587442</v>
      </c>
      <c r="BC16">
        <f t="shared" si="4"/>
        <v>34.822068384234633</v>
      </c>
      <c r="BD16">
        <v>1013.2</v>
      </c>
      <c r="BE16">
        <f t="shared" si="5"/>
        <v>30.736197835927069</v>
      </c>
    </row>
    <row r="17" spans="1:57" x14ac:dyDescent="0.2">
      <c r="A17" s="13">
        <v>8</v>
      </c>
      <c r="B17" s="3">
        <v>1</v>
      </c>
      <c r="C17" s="17">
        <v>3</v>
      </c>
      <c r="D17" s="3">
        <v>4</v>
      </c>
      <c r="E17" s="18">
        <v>9</v>
      </c>
      <c r="F17" s="18">
        <v>12</v>
      </c>
      <c r="G17" s="18">
        <v>73</v>
      </c>
      <c r="H17" s="19">
        <v>1</v>
      </c>
      <c r="I17" s="18">
        <v>6</v>
      </c>
      <c r="J17" s="18">
        <v>0</v>
      </c>
      <c r="K17" s="20">
        <v>115</v>
      </c>
      <c r="L17" s="18">
        <v>266</v>
      </c>
      <c r="M17" s="18">
        <v>242</v>
      </c>
      <c r="N17" s="18">
        <v>283</v>
      </c>
      <c r="O17" s="18">
        <v>81</v>
      </c>
      <c r="P17" s="18">
        <v>231</v>
      </c>
      <c r="Q17" s="17">
        <v>3</v>
      </c>
      <c r="R17" s="17">
        <v>1</v>
      </c>
      <c r="S17" s="17">
        <v>0</v>
      </c>
      <c r="T17" s="17">
        <v>0</v>
      </c>
      <c r="U17" s="17">
        <v>1</v>
      </c>
      <c r="V17" s="3">
        <v>8</v>
      </c>
      <c r="W17" s="20">
        <v>60</v>
      </c>
      <c r="X17" s="3">
        <v>8</v>
      </c>
      <c r="Y17" s="3"/>
      <c r="Z17" s="3"/>
      <c r="AA17" s="20"/>
      <c r="AB17" s="3"/>
      <c r="AC17" s="3"/>
      <c r="AD17" s="20"/>
      <c r="AE17" s="3"/>
      <c r="AF17" s="3"/>
      <c r="AG17" s="20"/>
      <c r="AH17" s="107" t="s">
        <v>85</v>
      </c>
      <c r="AI17" s="107"/>
      <c r="AJ17" s="107"/>
      <c r="AK17" s="107"/>
      <c r="AL17" s="108"/>
      <c r="AN17" s="67">
        <f t="shared" si="2"/>
        <v>-2.386275054367843</v>
      </c>
      <c r="AO17" s="67">
        <f t="shared" si="2"/>
        <v>-0.95557825725649082</v>
      </c>
      <c r="AP17" s="67">
        <f t="shared" si="2"/>
        <v>-1.645974408049824</v>
      </c>
      <c r="AY17" s="67">
        <f t="shared" si="0"/>
        <v>285.38627505436784</v>
      </c>
      <c r="AZ17" s="67">
        <f t="shared" si="1"/>
        <v>81.955578257256491</v>
      </c>
      <c r="BA17" s="67">
        <f t="shared" si="3"/>
        <v>232.64597440804982</v>
      </c>
      <c r="BC17">
        <f t="shared" si="4"/>
        <v>34.822068384234633</v>
      </c>
      <c r="BD17">
        <v>1013.2</v>
      </c>
      <c r="BE17">
        <f t="shared" si="5"/>
        <v>30.188200917340787</v>
      </c>
    </row>
    <row r="18" spans="1:57" x14ac:dyDescent="0.2">
      <c r="A18" s="13">
        <v>9</v>
      </c>
      <c r="B18" s="3">
        <v>1</v>
      </c>
      <c r="C18" s="17">
        <v>2</v>
      </c>
      <c r="D18" s="3">
        <v>4</v>
      </c>
      <c r="E18" s="18">
        <v>11</v>
      </c>
      <c r="F18" s="18">
        <v>14</v>
      </c>
      <c r="G18" s="18">
        <v>72</v>
      </c>
      <c r="H18" s="19">
        <v>1</v>
      </c>
      <c r="I18" s="18">
        <v>5</v>
      </c>
      <c r="J18" s="18">
        <v>0</v>
      </c>
      <c r="K18" s="20">
        <v>119</v>
      </c>
      <c r="L18" s="18">
        <v>268</v>
      </c>
      <c r="M18" s="18">
        <v>250</v>
      </c>
      <c r="N18" s="18">
        <v>304</v>
      </c>
      <c r="O18" s="18">
        <v>86</v>
      </c>
      <c r="P18" s="18">
        <v>242</v>
      </c>
      <c r="Q18" s="17">
        <v>2</v>
      </c>
      <c r="R18" s="17">
        <v>2</v>
      </c>
      <c r="S18" s="17">
        <v>0</v>
      </c>
      <c r="T18" s="17">
        <v>0</v>
      </c>
      <c r="U18" s="17">
        <v>2</v>
      </c>
      <c r="V18" s="3">
        <v>8</v>
      </c>
      <c r="W18" s="20">
        <v>60</v>
      </c>
      <c r="X18" s="3">
        <v>8</v>
      </c>
      <c r="Y18" s="3"/>
      <c r="Z18" s="3"/>
      <c r="AA18" s="20"/>
      <c r="AB18" s="3"/>
      <c r="AC18" s="3"/>
      <c r="AD18" s="20"/>
      <c r="AE18" s="3"/>
      <c r="AF18" s="3"/>
      <c r="AG18" s="20"/>
      <c r="AH18" s="96"/>
      <c r="AI18" s="96"/>
      <c r="AJ18" s="96"/>
      <c r="AK18" s="96"/>
      <c r="AL18" s="97"/>
      <c r="AN18" s="67">
        <f t="shared" si="2"/>
        <v>-0.30604163615998914</v>
      </c>
      <c r="AO18" s="67">
        <f t="shared" si="2"/>
        <v>-0.36496702189762686</v>
      </c>
      <c r="AP18" s="67">
        <f t="shared" si="2"/>
        <v>-1.305113160806485</v>
      </c>
      <c r="AY18" s="67">
        <f t="shared" si="0"/>
        <v>304.30604163615999</v>
      </c>
      <c r="AZ18" s="67">
        <f t="shared" si="1"/>
        <v>86.364967021897627</v>
      </c>
      <c r="BA18" s="67">
        <f t="shared" si="3"/>
        <v>243.30511316080648</v>
      </c>
      <c r="BC18">
        <f t="shared" si="4"/>
        <v>35.234893514056914</v>
      </c>
      <c r="BD18">
        <v>1013.2</v>
      </c>
      <c r="BE18">
        <f t="shared" si="5"/>
        <v>31.668891609615997</v>
      </c>
    </row>
    <row r="19" spans="1:57" x14ac:dyDescent="0.2">
      <c r="A19" s="13">
        <v>10</v>
      </c>
      <c r="B19" s="3">
        <v>1</v>
      </c>
      <c r="C19" s="17">
        <v>2</v>
      </c>
      <c r="D19" s="3">
        <v>4</v>
      </c>
      <c r="E19" s="18">
        <v>8</v>
      </c>
      <c r="F19" s="18">
        <v>9</v>
      </c>
      <c r="G19" s="18">
        <v>78</v>
      </c>
      <c r="H19" s="19">
        <v>2</v>
      </c>
      <c r="I19" s="18"/>
      <c r="J19" s="18"/>
      <c r="K19" s="20">
        <v>124</v>
      </c>
      <c r="L19" s="18">
        <v>265</v>
      </c>
      <c r="M19" s="18">
        <v>245</v>
      </c>
      <c r="N19" s="18">
        <v>292</v>
      </c>
      <c r="O19" s="18">
        <v>84</v>
      </c>
      <c r="P19" s="18">
        <v>236</v>
      </c>
      <c r="Q19" s="17">
        <v>1</v>
      </c>
      <c r="R19" s="17">
        <v>2</v>
      </c>
      <c r="S19" s="17">
        <v>0</v>
      </c>
      <c r="T19" s="17">
        <v>1</v>
      </c>
      <c r="U19" s="17">
        <v>1</v>
      </c>
      <c r="V19" s="3">
        <v>8</v>
      </c>
      <c r="W19" s="20">
        <v>66</v>
      </c>
      <c r="X19" s="17">
        <v>8</v>
      </c>
      <c r="Y19" s="3"/>
      <c r="Z19" s="3"/>
      <c r="AA19" s="20"/>
      <c r="AB19" s="3"/>
      <c r="AC19" s="3"/>
      <c r="AD19" s="20"/>
      <c r="AE19" s="3"/>
      <c r="AF19" s="3"/>
      <c r="AG19" s="20"/>
      <c r="AH19" s="107"/>
      <c r="AI19" s="107"/>
      <c r="AJ19" s="107"/>
      <c r="AK19" s="107"/>
      <c r="AL19" s="108"/>
      <c r="AN19" s="67">
        <f t="shared" si="2"/>
        <v>-1.6109191472706925</v>
      </c>
      <c r="AO19" s="67">
        <f t="shared" si="2"/>
        <v>-0.81637005629677617</v>
      </c>
      <c r="AP19" s="67">
        <f t="shared" si="2"/>
        <v>-1.3534322275399404</v>
      </c>
      <c r="AY19" s="67">
        <f t="shared" si="0"/>
        <v>293.61091914727069</v>
      </c>
      <c r="AZ19" s="67">
        <f t="shared" si="1"/>
        <v>84.816370056296776</v>
      </c>
      <c r="BA19" s="67">
        <f t="shared" si="3"/>
        <v>237.35343222753994</v>
      </c>
      <c r="BC19">
        <f t="shared" si="4"/>
        <v>34.617246523564582</v>
      </c>
      <c r="BD19">
        <v>1013.2</v>
      </c>
      <c r="BE19">
        <f t="shared" si="5"/>
        <v>30.736197835927069</v>
      </c>
    </row>
    <row r="20" spans="1:57" x14ac:dyDescent="0.2">
      <c r="A20" s="13">
        <v>11</v>
      </c>
      <c r="B20" s="3">
        <v>1</v>
      </c>
      <c r="C20" s="17">
        <v>3</v>
      </c>
      <c r="D20" s="3">
        <v>4</v>
      </c>
      <c r="E20" s="18">
        <v>0</v>
      </c>
      <c r="F20" s="18">
        <v>0</v>
      </c>
      <c r="G20" s="18">
        <v>78</v>
      </c>
      <c r="H20" s="19">
        <v>2</v>
      </c>
      <c r="I20" s="18"/>
      <c r="J20" s="18"/>
      <c r="K20" s="20">
        <v>96</v>
      </c>
      <c r="L20" s="18">
        <v>260</v>
      </c>
      <c r="M20" s="18">
        <v>240</v>
      </c>
      <c r="N20" s="18">
        <v>283</v>
      </c>
      <c r="O20" s="18">
        <v>84</v>
      </c>
      <c r="P20" s="18">
        <v>231</v>
      </c>
      <c r="Q20" s="17">
        <v>1</v>
      </c>
      <c r="R20" s="17">
        <v>2</v>
      </c>
      <c r="S20" s="17">
        <v>0</v>
      </c>
      <c r="T20" s="17">
        <v>1</v>
      </c>
      <c r="U20" s="17">
        <v>1</v>
      </c>
      <c r="V20" s="3">
        <v>8</v>
      </c>
      <c r="W20" s="20">
        <v>63</v>
      </c>
      <c r="X20" s="17">
        <v>8</v>
      </c>
      <c r="Y20" s="3"/>
      <c r="Z20" s="3"/>
      <c r="AA20" s="20"/>
      <c r="AB20" s="3"/>
      <c r="AC20" s="3"/>
      <c r="AD20" s="20"/>
      <c r="AE20" s="3"/>
      <c r="AF20" s="3"/>
      <c r="AG20" s="20"/>
      <c r="AH20" s="107"/>
      <c r="AI20" s="107"/>
      <c r="AJ20" s="107"/>
      <c r="AK20" s="107"/>
      <c r="AL20" s="108"/>
      <c r="AN20" s="67">
        <f t="shared" si="2"/>
        <v>-1.5330281190206847</v>
      </c>
      <c r="AO20" s="67">
        <f t="shared" si="2"/>
        <v>-0.66012412105094143</v>
      </c>
      <c r="AP20" s="67">
        <f t="shared" si="2"/>
        <v>-1.1508299243794795</v>
      </c>
      <c r="AY20" s="67">
        <f t="shared" si="0"/>
        <v>284.53302811902068</v>
      </c>
      <c r="AZ20" s="67">
        <f t="shared" si="1"/>
        <v>84.660124121050941</v>
      </c>
      <c r="BA20" s="67">
        <f t="shared" si="3"/>
        <v>232.15082992437948</v>
      </c>
      <c r="BC20">
        <f t="shared" si="4"/>
        <v>33.608860260136439</v>
      </c>
      <c r="BD20">
        <v>1013.2</v>
      </c>
      <c r="BE20">
        <f t="shared" si="5"/>
        <v>29.827639714302066</v>
      </c>
    </row>
    <row r="21" spans="1:57" x14ac:dyDescent="0.2">
      <c r="A21" s="13">
        <v>12</v>
      </c>
      <c r="B21" s="3">
        <v>1</v>
      </c>
      <c r="C21" s="17">
        <v>5</v>
      </c>
      <c r="D21" s="3">
        <v>4</v>
      </c>
      <c r="E21" s="18">
        <v>0</v>
      </c>
      <c r="F21" s="18">
        <v>0</v>
      </c>
      <c r="G21" s="18">
        <v>72</v>
      </c>
      <c r="H21" s="19">
        <v>1</v>
      </c>
      <c r="I21" s="18">
        <v>5</v>
      </c>
      <c r="J21" s="18">
        <v>11</v>
      </c>
      <c r="K21" s="20">
        <v>103</v>
      </c>
      <c r="L21" s="18">
        <v>246</v>
      </c>
      <c r="M21" s="18">
        <v>234</v>
      </c>
      <c r="N21" s="18">
        <v>280</v>
      </c>
      <c r="O21" s="18">
        <v>90</v>
      </c>
      <c r="P21" s="18">
        <v>229</v>
      </c>
      <c r="Q21" s="17">
        <v>2</v>
      </c>
      <c r="R21" s="17">
        <v>2</v>
      </c>
      <c r="S21" s="17">
        <v>0</v>
      </c>
      <c r="T21" s="17">
        <v>2</v>
      </c>
      <c r="U21" s="17">
        <v>2</v>
      </c>
      <c r="V21" s="3">
        <v>8</v>
      </c>
      <c r="W21" s="20">
        <v>60</v>
      </c>
      <c r="X21" s="17">
        <v>8</v>
      </c>
      <c r="Y21" s="17">
        <v>5</v>
      </c>
      <c r="Z21" s="17">
        <v>0</v>
      </c>
      <c r="AA21" s="20">
        <v>840</v>
      </c>
      <c r="AB21" s="3"/>
      <c r="AC21" s="3"/>
      <c r="AD21" s="20"/>
      <c r="AE21" s="3"/>
      <c r="AF21" s="3"/>
      <c r="AG21" s="20"/>
      <c r="AH21" s="107" t="s">
        <v>85</v>
      </c>
      <c r="AI21" s="107"/>
      <c r="AJ21" s="107"/>
      <c r="AK21" s="107"/>
      <c r="AL21" s="108"/>
      <c r="AN21" s="67">
        <f t="shared" si="2"/>
        <v>0.55567193702427176</v>
      </c>
      <c r="AO21" s="67">
        <f t="shared" si="2"/>
        <v>-0.37425663024490063</v>
      </c>
      <c r="AP21" s="67">
        <f t="shared" si="2"/>
        <v>-0.17052261966028937</v>
      </c>
      <c r="AY21" s="67">
        <f t="shared" si="0"/>
        <v>279.44432806297573</v>
      </c>
      <c r="AZ21" s="67">
        <f t="shared" si="1"/>
        <v>90.374256630244901</v>
      </c>
      <c r="BA21" s="67">
        <f t="shared" si="3"/>
        <v>229.17052261966029</v>
      </c>
      <c r="BC21">
        <f t="shared" si="4"/>
        <v>30.920788561092973</v>
      </c>
      <c r="BD21">
        <v>1013.2</v>
      </c>
      <c r="BE21">
        <f t="shared" si="5"/>
        <v>28.768481254201571</v>
      </c>
    </row>
    <row r="22" spans="1:57" x14ac:dyDescent="0.2">
      <c r="A22" s="13">
        <v>13</v>
      </c>
      <c r="B22" s="3">
        <v>1</v>
      </c>
      <c r="C22" s="17">
        <v>6</v>
      </c>
      <c r="D22" s="3">
        <v>4</v>
      </c>
      <c r="E22" s="18">
        <v>0</v>
      </c>
      <c r="F22" s="18">
        <v>0</v>
      </c>
      <c r="G22" s="18">
        <v>75</v>
      </c>
      <c r="H22" s="19">
        <v>2</v>
      </c>
      <c r="I22" s="18"/>
      <c r="J22" s="18"/>
      <c r="K22" s="20">
        <v>120</v>
      </c>
      <c r="L22" s="18">
        <v>262</v>
      </c>
      <c r="M22" s="18">
        <v>229</v>
      </c>
      <c r="N22" s="18">
        <v>254</v>
      </c>
      <c r="O22" s="18">
        <v>74</v>
      </c>
      <c r="P22" s="18">
        <v>213</v>
      </c>
      <c r="Q22" s="17">
        <v>1</v>
      </c>
      <c r="R22" s="17">
        <v>2</v>
      </c>
      <c r="S22" s="17">
        <v>0</v>
      </c>
      <c r="T22" s="17">
        <v>2</v>
      </c>
      <c r="U22" s="17">
        <v>1</v>
      </c>
      <c r="V22" s="3">
        <v>8</v>
      </c>
      <c r="W22" s="20">
        <v>60</v>
      </c>
      <c r="X22" s="17">
        <v>8</v>
      </c>
      <c r="Y22" s="17">
        <v>6</v>
      </c>
      <c r="Z22" s="17">
        <v>0</v>
      </c>
      <c r="AA22" s="20">
        <v>840</v>
      </c>
      <c r="AB22" s="3"/>
      <c r="AC22" s="3"/>
      <c r="AD22" s="20"/>
      <c r="AE22" s="3"/>
      <c r="AF22" s="3"/>
      <c r="AG22" s="20"/>
      <c r="AH22" s="107"/>
      <c r="AI22" s="107"/>
      <c r="AJ22" s="107"/>
      <c r="AK22" s="107"/>
      <c r="AL22" s="108"/>
      <c r="AN22" s="67">
        <f t="shared" si="2"/>
        <v>-2.4629939014021716</v>
      </c>
      <c r="AO22" s="67">
        <f t="shared" si="2"/>
        <v>-1.4101346148976006</v>
      </c>
      <c r="AP22" s="67">
        <f t="shared" si="2"/>
        <v>-2.0883769636628813</v>
      </c>
      <c r="AY22" s="67">
        <f t="shared" si="0"/>
        <v>256.46299390140217</v>
      </c>
      <c r="AZ22" s="67">
        <f t="shared" si="1"/>
        <v>75.410134614897601</v>
      </c>
      <c r="BA22" s="67">
        <f t="shared" si="3"/>
        <v>215.08837696366288</v>
      </c>
      <c r="BC22">
        <f t="shared" si="4"/>
        <v>34.009088461531107</v>
      </c>
      <c r="BD22">
        <v>1013.2</v>
      </c>
      <c r="BE22">
        <f t="shared" si="5"/>
        <v>27.911163740856217</v>
      </c>
    </row>
    <row r="23" spans="1:57" x14ac:dyDescent="0.2">
      <c r="A23" s="13">
        <v>14</v>
      </c>
      <c r="B23" s="3">
        <v>1</v>
      </c>
      <c r="C23" s="17">
        <v>2</v>
      </c>
      <c r="D23" s="3">
        <v>4</v>
      </c>
      <c r="E23" s="18">
        <v>10</v>
      </c>
      <c r="F23" s="18">
        <v>6</v>
      </c>
      <c r="G23" s="18">
        <v>75</v>
      </c>
      <c r="H23" s="19">
        <v>2</v>
      </c>
      <c r="I23" s="18"/>
      <c r="J23" s="18"/>
      <c r="K23" s="20">
        <v>129</v>
      </c>
      <c r="L23" s="18">
        <v>259</v>
      </c>
      <c r="M23" s="18">
        <v>238</v>
      </c>
      <c r="N23" s="18">
        <v>278</v>
      </c>
      <c r="O23" s="18">
        <v>83</v>
      </c>
      <c r="P23" s="18">
        <v>228</v>
      </c>
      <c r="Q23" s="17">
        <v>2</v>
      </c>
      <c r="R23" s="17">
        <v>2</v>
      </c>
      <c r="S23" s="17">
        <v>0</v>
      </c>
      <c r="T23" s="17">
        <v>1</v>
      </c>
      <c r="U23" s="17">
        <v>2</v>
      </c>
      <c r="V23" s="3">
        <v>8</v>
      </c>
      <c r="W23" s="20">
        <v>60</v>
      </c>
      <c r="X23" s="17">
        <v>8</v>
      </c>
      <c r="Y23" s="3"/>
      <c r="Z23" s="3"/>
      <c r="AA23" s="20"/>
      <c r="AB23" s="3"/>
      <c r="AC23" s="3"/>
      <c r="AD23" s="20"/>
      <c r="AE23" s="3"/>
      <c r="AF23" s="3"/>
      <c r="AG23" s="20"/>
      <c r="AH23" s="107"/>
      <c r="AI23" s="107"/>
      <c r="AJ23" s="107"/>
      <c r="AK23" s="107"/>
      <c r="AL23" s="108"/>
      <c r="AN23" s="67">
        <f t="shared" si="2"/>
        <v>-2.2812430026483526</v>
      </c>
      <c r="AO23" s="67">
        <f t="shared" si="2"/>
        <v>-0.89068022445552231</v>
      </c>
      <c r="AP23" s="67">
        <f t="shared" si="2"/>
        <v>-1.6639297696138442</v>
      </c>
      <c r="AY23" s="67">
        <f t="shared" si="0"/>
        <v>280.28124300264835</v>
      </c>
      <c r="AZ23" s="67">
        <f t="shared" si="1"/>
        <v>83.890680224455522</v>
      </c>
      <c r="BA23" s="67">
        <f t="shared" si="3"/>
        <v>229.66392976961384</v>
      </c>
      <c r="BC23">
        <f t="shared" si="4"/>
        <v>33.410295667258367</v>
      </c>
      <c r="BD23">
        <v>1013.2</v>
      </c>
      <c r="BE23">
        <f t="shared" si="5"/>
        <v>29.470855059888834</v>
      </c>
    </row>
    <row r="24" spans="1:57" x14ac:dyDescent="0.2">
      <c r="A24" s="13">
        <v>15</v>
      </c>
      <c r="B24" s="3">
        <v>1</v>
      </c>
      <c r="C24" s="17">
        <v>3</v>
      </c>
      <c r="D24" s="3">
        <v>4</v>
      </c>
      <c r="E24" s="18">
        <v>0</v>
      </c>
      <c r="F24" s="18">
        <v>0</v>
      </c>
      <c r="G24" s="18">
        <v>78</v>
      </c>
      <c r="H24" s="19">
        <v>2</v>
      </c>
      <c r="I24" s="18"/>
      <c r="J24" s="18"/>
      <c r="K24" s="20">
        <v>118</v>
      </c>
      <c r="L24" s="18">
        <v>257</v>
      </c>
      <c r="M24" s="18">
        <v>234</v>
      </c>
      <c r="N24" s="18">
        <v>270</v>
      </c>
      <c r="O24" s="18">
        <v>82</v>
      </c>
      <c r="P24" s="18">
        <v>223</v>
      </c>
      <c r="Q24" s="17">
        <v>1</v>
      </c>
      <c r="R24" s="17">
        <v>2</v>
      </c>
      <c r="S24" s="17">
        <v>0</v>
      </c>
      <c r="T24" s="17">
        <v>1</v>
      </c>
      <c r="U24" s="17">
        <v>1</v>
      </c>
      <c r="V24" s="3">
        <v>8</v>
      </c>
      <c r="W24" s="20">
        <v>60</v>
      </c>
      <c r="X24" s="17">
        <v>8</v>
      </c>
      <c r="Y24" s="17">
        <v>3</v>
      </c>
      <c r="Z24" s="17">
        <v>0</v>
      </c>
      <c r="AA24" s="20">
        <v>840</v>
      </c>
      <c r="AB24" s="3"/>
      <c r="AC24" s="3"/>
      <c r="AD24" s="20"/>
      <c r="AE24" s="3"/>
      <c r="AF24" s="3"/>
      <c r="AG24" s="20"/>
      <c r="AH24" s="107"/>
      <c r="AI24" s="107"/>
      <c r="AJ24" s="107"/>
      <c r="AK24" s="107"/>
      <c r="AL24" s="108"/>
      <c r="AN24" s="67">
        <f t="shared" si="2"/>
        <v>-1.8905506238556882</v>
      </c>
      <c r="AO24" s="67">
        <f t="shared" si="2"/>
        <v>-0.35054222157823745</v>
      </c>
      <c r="AP24" s="67">
        <f t="shared" si="2"/>
        <v>-1.6575975523299178</v>
      </c>
      <c r="AY24" s="67">
        <f t="shared" si="0"/>
        <v>271.89055062385569</v>
      </c>
      <c r="AZ24" s="67">
        <f t="shared" si="1"/>
        <v>82.350542221578237</v>
      </c>
      <c r="BA24" s="67">
        <f t="shared" si="3"/>
        <v>224.65759755232992</v>
      </c>
      <c r="BC24">
        <f t="shared" si="4"/>
        <v>33.016242915837466</v>
      </c>
      <c r="BD24">
        <v>1013.2</v>
      </c>
      <c r="BE24">
        <f t="shared" si="5"/>
        <v>28.768481254201571</v>
      </c>
    </row>
    <row r="25" spans="1:57" x14ac:dyDescent="0.2">
      <c r="A25" s="13">
        <v>16</v>
      </c>
      <c r="B25" s="3">
        <v>1</v>
      </c>
      <c r="C25" s="17">
        <v>7</v>
      </c>
      <c r="D25" s="3">
        <v>4</v>
      </c>
      <c r="E25" s="18">
        <v>0</v>
      </c>
      <c r="F25" s="18">
        <v>0</v>
      </c>
      <c r="G25" s="18">
        <v>74</v>
      </c>
      <c r="H25" s="19">
        <v>1</v>
      </c>
      <c r="I25" s="18">
        <v>6</v>
      </c>
      <c r="J25" s="18">
        <v>22</v>
      </c>
      <c r="K25" s="20">
        <v>121</v>
      </c>
      <c r="L25" s="18">
        <v>256</v>
      </c>
      <c r="M25" s="18">
        <v>235</v>
      </c>
      <c r="N25" s="18">
        <v>273</v>
      </c>
      <c r="O25" s="18">
        <v>83</v>
      </c>
      <c r="P25" s="18">
        <v>225</v>
      </c>
      <c r="Q25" s="17">
        <v>2</v>
      </c>
      <c r="R25" s="17">
        <v>8</v>
      </c>
      <c r="S25" s="17">
        <v>0</v>
      </c>
      <c r="T25" s="17">
        <v>1</v>
      </c>
      <c r="U25" s="17">
        <v>1</v>
      </c>
      <c r="V25" s="3">
        <v>8</v>
      </c>
      <c r="W25" s="20">
        <v>54</v>
      </c>
      <c r="X25" s="17">
        <v>8</v>
      </c>
      <c r="Y25" s="17">
        <v>4</v>
      </c>
      <c r="Z25" s="17">
        <v>0</v>
      </c>
      <c r="AA25" s="20">
        <v>840</v>
      </c>
      <c r="AB25" s="3"/>
      <c r="AC25" s="3"/>
      <c r="AD25" s="20"/>
      <c r="AE25" s="3"/>
      <c r="AF25" s="3"/>
      <c r="AG25" s="20"/>
      <c r="AH25" s="107" t="s">
        <v>85</v>
      </c>
      <c r="AI25" s="107"/>
      <c r="AJ25" s="107"/>
      <c r="AK25" s="107"/>
      <c r="AL25" s="108"/>
      <c r="AN25" s="67">
        <f t="shared" si="2"/>
        <v>-2.0043940418501052</v>
      </c>
      <c r="AO25" s="67">
        <f t="shared" si="2"/>
        <v>-0.7898065906638152</v>
      </c>
      <c r="AP25" s="67">
        <f t="shared" si="2"/>
        <v>-1.5310786080211756</v>
      </c>
      <c r="AY25" s="67">
        <f t="shared" si="0"/>
        <v>275.00439404185011</v>
      </c>
      <c r="AZ25" s="67">
        <f t="shared" si="1"/>
        <v>83.789806590663815</v>
      </c>
      <c r="BA25" s="67">
        <f t="shared" si="3"/>
        <v>226.53107860802118</v>
      </c>
      <c r="BC25">
        <f t="shared" si="4"/>
        <v>32.820745772253893</v>
      </c>
      <c r="BD25">
        <v>1013.2</v>
      </c>
      <c r="BE25">
        <f t="shared" si="5"/>
        <v>28.94268568196501</v>
      </c>
    </row>
    <row r="26" spans="1:57" x14ac:dyDescent="0.2">
      <c r="A26" s="13">
        <v>17</v>
      </c>
      <c r="B26" s="3">
        <v>1</v>
      </c>
      <c r="C26" s="17">
        <v>6</v>
      </c>
      <c r="D26" s="3">
        <v>4</v>
      </c>
      <c r="E26" s="18">
        <v>9</v>
      </c>
      <c r="F26" s="18">
        <v>8</v>
      </c>
      <c r="G26" s="18">
        <v>75</v>
      </c>
      <c r="H26" s="19">
        <v>2</v>
      </c>
      <c r="I26" s="18"/>
      <c r="J26" s="18"/>
      <c r="K26" s="20">
        <v>137</v>
      </c>
      <c r="L26" s="18">
        <v>259</v>
      </c>
      <c r="M26" s="18">
        <v>243</v>
      </c>
      <c r="N26" s="18">
        <v>291</v>
      </c>
      <c r="O26" s="18">
        <v>87</v>
      </c>
      <c r="P26" s="18">
        <v>236</v>
      </c>
      <c r="Q26" s="17">
        <v>2</v>
      </c>
      <c r="R26" s="17">
        <v>8</v>
      </c>
      <c r="S26" s="17">
        <v>0</v>
      </c>
      <c r="T26" s="17">
        <v>2</v>
      </c>
      <c r="U26" s="17">
        <v>1</v>
      </c>
      <c r="V26" s="3">
        <v>8</v>
      </c>
      <c r="W26" s="20">
        <v>57</v>
      </c>
      <c r="X26" s="17">
        <v>8</v>
      </c>
      <c r="Y26" s="17">
        <v>6</v>
      </c>
      <c r="Z26" s="17">
        <v>0</v>
      </c>
      <c r="AA26" s="20">
        <v>840</v>
      </c>
      <c r="AB26" s="3"/>
      <c r="AC26" s="3"/>
      <c r="AD26" s="20"/>
      <c r="AE26" s="3"/>
      <c r="AF26" s="3"/>
      <c r="AG26" s="20"/>
      <c r="AH26" s="107"/>
      <c r="AI26" s="107"/>
      <c r="AJ26" s="107"/>
      <c r="AK26" s="107"/>
      <c r="AL26" s="108"/>
      <c r="AN26" s="67">
        <f t="shared" si="2"/>
        <v>-1.7006963832781707</v>
      </c>
      <c r="AO26" s="67">
        <f t="shared" si="2"/>
        <v>-0.60793358381465623</v>
      </c>
      <c r="AP26" s="67">
        <f t="shared" si="2"/>
        <v>-0.83818214365442145</v>
      </c>
      <c r="AY26" s="67">
        <f t="shared" si="0"/>
        <v>292.70069638327817</v>
      </c>
      <c r="AZ26" s="67">
        <f t="shared" si="1"/>
        <v>87.607933583814656</v>
      </c>
      <c r="BA26" s="67">
        <f t="shared" si="3"/>
        <v>236.83818214365442</v>
      </c>
      <c r="BC26">
        <f t="shared" si="4"/>
        <v>33.410295667258367</v>
      </c>
      <c r="BD26">
        <v>1013.2</v>
      </c>
      <c r="BE26">
        <f t="shared" si="5"/>
        <v>30.369908289271816</v>
      </c>
    </row>
    <row r="27" spans="1:57" x14ac:dyDescent="0.2">
      <c r="A27" s="13">
        <v>18</v>
      </c>
      <c r="B27" s="3">
        <v>1</v>
      </c>
      <c r="C27" s="17">
        <v>7</v>
      </c>
      <c r="D27" s="3">
        <v>4</v>
      </c>
      <c r="E27" s="18">
        <v>0</v>
      </c>
      <c r="F27" s="18">
        <v>0</v>
      </c>
      <c r="G27" s="18">
        <v>70</v>
      </c>
      <c r="H27" s="19">
        <v>1</v>
      </c>
      <c r="I27" s="18">
        <v>5</v>
      </c>
      <c r="J27" s="18">
        <v>22</v>
      </c>
      <c r="K27" s="20">
        <v>147</v>
      </c>
      <c r="L27" s="18">
        <v>258</v>
      </c>
      <c r="M27" s="18">
        <v>247</v>
      </c>
      <c r="N27" s="18">
        <v>302</v>
      </c>
      <c r="O27" s="18">
        <v>91</v>
      </c>
      <c r="P27" s="18">
        <v>242</v>
      </c>
      <c r="Q27" s="17">
        <v>6</v>
      </c>
      <c r="R27" s="17">
        <v>8</v>
      </c>
      <c r="S27" s="17">
        <v>0</v>
      </c>
      <c r="T27" s="17">
        <v>2</v>
      </c>
      <c r="U27" s="17">
        <v>3</v>
      </c>
      <c r="V27" s="3">
        <v>8</v>
      </c>
      <c r="W27" s="20">
        <v>54</v>
      </c>
      <c r="X27" s="17">
        <v>8</v>
      </c>
      <c r="Y27" s="17">
        <v>5</v>
      </c>
      <c r="Z27" s="17">
        <v>6</v>
      </c>
      <c r="AA27" s="20">
        <v>105</v>
      </c>
      <c r="AB27" s="3"/>
      <c r="AC27" s="3"/>
      <c r="AD27" s="20"/>
      <c r="AE27" s="3"/>
      <c r="AF27" s="3"/>
      <c r="AG27" s="20"/>
      <c r="AH27" s="107" t="s">
        <v>85</v>
      </c>
      <c r="AI27" s="107"/>
      <c r="AJ27" s="107"/>
      <c r="AK27" s="107"/>
      <c r="AL27" s="108"/>
      <c r="AN27" s="67">
        <f t="shared" si="2"/>
        <v>-1.4987153910302027</v>
      </c>
      <c r="AO27" s="67">
        <f t="shared" si="2"/>
        <v>-0.38016027156903931</v>
      </c>
      <c r="AP27" s="67">
        <f t="shared" si="2"/>
        <v>-0.86229237058654462</v>
      </c>
      <c r="AY27" s="67">
        <f t="shared" si="0"/>
        <v>303.4987153910302</v>
      </c>
      <c r="AZ27" s="67">
        <f t="shared" si="1"/>
        <v>91.380160271569039</v>
      </c>
      <c r="BA27" s="67">
        <f t="shared" si="3"/>
        <v>242.86229237058654</v>
      </c>
      <c r="BC27">
        <f t="shared" si="4"/>
        <v>33.212758052631393</v>
      </c>
      <c r="BD27">
        <v>1013.2</v>
      </c>
      <c r="BE27">
        <f t="shared" si="5"/>
        <v>31.106348979899021</v>
      </c>
    </row>
    <row r="28" spans="1:57" x14ac:dyDescent="0.2">
      <c r="A28" s="13">
        <v>19</v>
      </c>
      <c r="B28" s="3">
        <v>1</v>
      </c>
      <c r="C28" s="17">
        <v>6</v>
      </c>
      <c r="D28" s="3">
        <v>4</v>
      </c>
      <c r="E28" s="18">
        <v>8</v>
      </c>
      <c r="F28" s="18">
        <v>10</v>
      </c>
      <c r="G28" s="18">
        <v>70</v>
      </c>
      <c r="H28" s="19">
        <v>1</v>
      </c>
      <c r="I28" s="18">
        <v>5</v>
      </c>
      <c r="J28" s="18">
        <v>22</v>
      </c>
      <c r="K28" s="20">
        <v>138</v>
      </c>
      <c r="L28" s="18">
        <v>260</v>
      </c>
      <c r="M28" s="18">
        <v>247</v>
      </c>
      <c r="N28" s="18">
        <v>300</v>
      </c>
      <c r="O28" s="18">
        <v>89</v>
      </c>
      <c r="P28" s="18">
        <v>241</v>
      </c>
      <c r="Q28" s="17">
        <v>3</v>
      </c>
      <c r="R28" s="17">
        <v>8</v>
      </c>
      <c r="S28" s="17">
        <v>0</v>
      </c>
      <c r="T28" s="17">
        <v>2</v>
      </c>
      <c r="U28" s="17">
        <v>1</v>
      </c>
      <c r="V28" s="3">
        <v>8</v>
      </c>
      <c r="W28" s="20">
        <v>54</v>
      </c>
      <c r="X28" s="17">
        <v>8</v>
      </c>
      <c r="Y28" s="17">
        <v>4</v>
      </c>
      <c r="Z28" s="17">
        <v>0</v>
      </c>
      <c r="AA28" s="20">
        <v>840</v>
      </c>
      <c r="AB28" s="3"/>
      <c r="AC28" s="3"/>
      <c r="AD28" s="20"/>
      <c r="AE28" s="3"/>
      <c r="AF28" s="3"/>
      <c r="AG28" s="20"/>
      <c r="AH28" s="107" t="s">
        <v>85</v>
      </c>
      <c r="AI28" s="107"/>
      <c r="AJ28" s="107"/>
      <c r="AK28" s="107"/>
      <c r="AL28" s="108"/>
      <c r="AN28" s="67">
        <f t="shared" si="2"/>
        <v>-2.1233018623101998</v>
      </c>
      <c r="AO28" s="67">
        <f t="shared" si="2"/>
        <v>-0.89394449078045568</v>
      </c>
      <c r="AP28" s="67">
        <f t="shared" si="2"/>
        <v>-1.105493302310208</v>
      </c>
      <c r="AY28" s="67">
        <f t="shared" si="0"/>
        <v>302.1233018623102</v>
      </c>
      <c r="AZ28" s="67">
        <f t="shared" si="1"/>
        <v>89.893944490780456</v>
      </c>
      <c r="BA28" s="67">
        <f t="shared" si="3"/>
        <v>242.10549330231021</v>
      </c>
      <c r="BC28">
        <f t="shared" si="4"/>
        <v>33.608860260136439</v>
      </c>
      <c r="BD28">
        <v>1013.2</v>
      </c>
      <c r="BE28">
        <f t="shared" si="5"/>
        <v>31.106348979899021</v>
      </c>
    </row>
    <row r="29" spans="1:57" x14ac:dyDescent="0.2">
      <c r="A29" s="13">
        <v>20</v>
      </c>
      <c r="B29" s="3">
        <v>1</v>
      </c>
      <c r="C29" s="17">
        <v>5</v>
      </c>
      <c r="D29" s="3">
        <v>4</v>
      </c>
      <c r="E29" s="18">
        <v>9</v>
      </c>
      <c r="F29" s="18">
        <v>12</v>
      </c>
      <c r="G29" s="18">
        <v>72</v>
      </c>
      <c r="H29" s="19">
        <v>1</v>
      </c>
      <c r="I29" s="18">
        <v>5</v>
      </c>
      <c r="J29" s="18">
        <v>22</v>
      </c>
      <c r="K29" s="20">
        <v>127</v>
      </c>
      <c r="L29" s="18">
        <v>270</v>
      </c>
      <c r="M29" s="18">
        <v>250</v>
      </c>
      <c r="N29" s="18">
        <v>300</v>
      </c>
      <c r="O29" s="18">
        <v>84</v>
      </c>
      <c r="P29" s="18">
        <v>241</v>
      </c>
      <c r="Q29" s="17">
        <v>2</v>
      </c>
      <c r="R29" s="17">
        <v>2</v>
      </c>
      <c r="S29" s="17">
        <v>0</v>
      </c>
      <c r="T29" s="17">
        <v>1</v>
      </c>
      <c r="U29" s="17">
        <v>2</v>
      </c>
      <c r="V29" s="3">
        <v>8</v>
      </c>
      <c r="W29" s="20">
        <v>54</v>
      </c>
      <c r="X29" s="17">
        <v>8</v>
      </c>
      <c r="Y29" s="17">
        <v>4</v>
      </c>
      <c r="Z29" s="17">
        <v>0</v>
      </c>
      <c r="AA29" s="20">
        <v>870</v>
      </c>
      <c r="AB29" s="3"/>
      <c r="AC29" s="3"/>
      <c r="AD29" s="20"/>
      <c r="AE29" s="3"/>
      <c r="AF29" s="3"/>
      <c r="AG29" s="20"/>
      <c r="AH29" s="107" t="s">
        <v>85</v>
      </c>
      <c r="AI29" s="107"/>
      <c r="AJ29" s="107"/>
      <c r="AK29" s="107"/>
      <c r="AL29" s="108"/>
      <c r="AN29" s="67">
        <f t="shared" si="2"/>
        <v>-2.9301666961599722</v>
      </c>
      <c r="AO29" s="67">
        <f t="shared" si="2"/>
        <v>-0.96865232864115569</v>
      </c>
      <c r="AP29" s="67">
        <f t="shared" si="2"/>
        <v>-1.5498224634573035</v>
      </c>
      <c r="AY29" s="67">
        <f t="shared" si="0"/>
        <v>302.93016669615997</v>
      </c>
      <c r="AZ29" s="67">
        <f t="shared" si="1"/>
        <v>84.968652328641156</v>
      </c>
      <c r="BA29" s="67">
        <f t="shared" si="3"/>
        <v>242.5498224634573</v>
      </c>
      <c r="BC29">
        <f t="shared" si="4"/>
        <v>35.651991457330503</v>
      </c>
      <c r="BD29">
        <v>1013.2</v>
      </c>
      <c r="BE29">
        <f t="shared" si="5"/>
        <v>31.668891609615997</v>
      </c>
    </row>
    <row r="30" spans="1:57" x14ac:dyDescent="0.2">
      <c r="A30" s="13">
        <v>21</v>
      </c>
      <c r="B30" s="3">
        <v>1</v>
      </c>
      <c r="C30" s="17">
        <v>5</v>
      </c>
      <c r="D30" s="3">
        <v>4</v>
      </c>
      <c r="E30" s="18">
        <v>8</v>
      </c>
      <c r="F30" s="18">
        <v>12</v>
      </c>
      <c r="G30" s="18">
        <v>68</v>
      </c>
      <c r="H30" s="19">
        <v>1</v>
      </c>
      <c r="I30" s="18">
        <v>5</v>
      </c>
      <c r="J30" s="18">
        <v>22</v>
      </c>
      <c r="K30" s="20">
        <v>120</v>
      </c>
      <c r="L30" s="18">
        <v>270</v>
      </c>
      <c r="M30" s="18">
        <v>247</v>
      </c>
      <c r="N30" s="18">
        <v>293</v>
      </c>
      <c r="O30" s="18">
        <v>82</v>
      </c>
      <c r="P30" s="18">
        <v>237</v>
      </c>
      <c r="Q30" s="17">
        <v>2</v>
      </c>
      <c r="R30" s="17">
        <v>2</v>
      </c>
      <c r="S30" s="17">
        <v>0</v>
      </c>
      <c r="T30" s="17">
        <v>1</v>
      </c>
      <c r="U30" s="17">
        <v>2</v>
      </c>
      <c r="V30" s="3">
        <v>8</v>
      </c>
      <c r="W30" s="20">
        <v>51</v>
      </c>
      <c r="X30" s="17">
        <v>8</v>
      </c>
      <c r="Y30" s="17">
        <v>5</v>
      </c>
      <c r="Z30" s="17">
        <v>0</v>
      </c>
      <c r="AA30" s="20">
        <v>900</v>
      </c>
      <c r="AB30" s="3"/>
      <c r="AC30" s="3"/>
      <c r="AD30" s="20"/>
      <c r="AE30" s="3"/>
      <c r="AF30" s="3"/>
      <c r="AG30" s="20"/>
      <c r="AH30" s="107" t="s">
        <v>85</v>
      </c>
      <c r="AI30" s="107"/>
      <c r="AJ30" s="107"/>
      <c r="AK30" s="107"/>
      <c r="AL30" s="108"/>
      <c r="AN30" s="67">
        <f t="shared" si="2"/>
        <v>-2.2462342187101854</v>
      </c>
      <c r="AO30" s="67">
        <f t="shared" si="2"/>
        <v>-0.81339194531973646</v>
      </c>
      <c r="AP30" s="67">
        <f t="shared" si="2"/>
        <v>-1.2756313741485314</v>
      </c>
      <c r="AY30" s="67">
        <f t="shared" si="0"/>
        <v>295.24623421871019</v>
      </c>
      <c r="AZ30" s="67">
        <f t="shared" si="1"/>
        <v>82.813391945319736</v>
      </c>
      <c r="BA30" s="67">
        <f t="shared" si="3"/>
        <v>238.27563137414853</v>
      </c>
      <c r="BC30">
        <f t="shared" si="4"/>
        <v>35.651991457330503</v>
      </c>
      <c r="BD30">
        <v>1013.2</v>
      </c>
      <c r="BE30">
        <f t="shared" si="5"/>
        <v>31.106348979899021</v>
      </c>
    </row>
    <row r="31" spans="1:57" x14ac:dyDescent="0.2">
      <c r="A31" s="13">
        <v>22</v>
      </c>
      <c r="B31" s="3">
        <v>1</v>
      </c>
      <c r="C31" s="17">
        <v>5</v>
      </c>
      <c r="D31" s="3">
        <v>4</v>
      </c>
      <c r="E31" s="18">
        <v>6</v>
      </c>
      <c r="F31" s="18">
        <v>5</v>
      </c>
      <c r="G31" s="18">
        <v>70</v>
      </c>
      <c r="H31" s="19">
        <v>1</v>
      </c>
      <c r="I31" s="18">
        <v>5</v>
      </c>
      <c r="J31" s="18">
        <v>22</v>
      </c>
      <c r="K31" s="20">
        <v>129</v>
      </c>
      <c r="L31" s="18">
        <v>270</v>
      </c>
      <c r="M31" s="18">
        <v>250</v>
      </c>
      <c r="N31" s="18">
        <v>300</v>
      </c>
      <c r="O31" s="18">
        <v>84</v>
      </c>
      <c r="P31" s="18">
        <v>241</v>
      </c>
      <c r="Q31" s="17">
        <v>4</v>
      </c>
      <c r="R31" s="17">
        <v>2</v>
      </c>
      <c r="S31" s="17">
        <v>0</v>
      </c>
      <c r="T31" s="17">
        <v>1</v>
      </c>
      <c r="U31" s="17">
        <v>4</v>
      </c>
      <c r="V31" s="3">
        <v>8</v>
      </c>
      <c r="W31" s="20">
        <v>60</v>
      </c>
      <c r="X31" s="17">
        <v>8</v>
      </c>
      <c r="Y31" s="3"/>
      <c r="Z31" s="3"/>
      <c r="AA31" s="20"/>
      <c r="AB31" s="3"/>
      <c r="AC31" s="3"/>
      <c r="AD31" s="20"/>
      <c r="AE31" s="3"/>
      <c r="AF31" s="3"/>
      <c r="AG31" s="20"/>
      <c r="AH31" s="107" t="s">
        <v>85</v>
      </c>
      <c r="AI31" s="107"/>
      <c r="AJ31" s="107"/>
      <c r="AK31" s="107"/>
      <c r="AL31" s="108"/>
      <c r="AN31" s="67">
        <f t="shared" si="2"/>
        <v>-2.9301666961599722</v>
      </c>
      <c r="AO31" s="67">
        <f t="shared" si="2"/>
        <v>-0.96865232864115569</v>
      </c>
      <c r="AP31" s="67">
        <f t="shared" si="2"/>
        <v>-1.5498224634573035</v>
      </c>
      <c r="AY31" s="67">
        <f t="shared" si="0"/>
        <v>302.93016669615997</v>
      </c>
      <c r="AZ31" s="67">
        <f t="shared" si="1"/>
        <v>84.968652328641156</v>
      </c>
      <c r="BA31" s="67">
        <f t="shared" si="3"/>
        <v>242.5498224634573</v>
      </c>
      <c r="BC31">
        <f t="shared" si="4"/>
        <v>35.651991457330503</v>
      </c>
      <c r="BD31">
        <v>1013.2</v>
      </c>
      <c r="BE31">
        <f t="shared" si="5"/>
        <v>31.668891609615997</v>
      </c>
    </row>
    <row r="32" spans="1:57" x14ac:dyDescent="0.2">
      <c r="A32" s="13">
        <v>23</v>
      </c>
      <c r="B32" s="3">
        <v>1</v>
      </c>
      <c r="C32" s="17">
        <v>1</v>
      </c>
      <c r="D32" s="3">
        <v>4</v>
      </c>
      <c r="E32" s="18">
        <v>7</v>
      </c>
      <c r="F32" s="18">
        <v>10</v>
      </c>
      <c r="G32" s="18">
        <v>72</v>
      </c>
      <c r="H32" s="19">
        <v>1</v>
      </c>
      <c r="I32" s="18">
        <v>5</v>
      </c>
      <c r="J32" s="18">
        <v>0</v>
      </c>
      <c r="K32" s="20">
        <v>125</v>
      </c>
      <c r="L32" s="18">
        <v>268</v>
      </c>
      <c r="M32" s="18">
        <v>242</v>
      </c>
      <c r="N32" s="18">
        <v>281</v>
      </c>
      <c r="O32" s="18">
        <v>80</v>
      </c>
      <c r="P32" s="18">
        <v>230</v>
      </c>
      <c r="Q32" s="17">
        <v>1</v>
      </c>
      <c r="R32" s="17">
        <v>8</v>
      </c>
      <c r="S32" s="17">
        <v>0</v>
      </c>
      <c r="T32" s="17">
        <v>0</v>
      </c>
      <c r="U32" s="17">
        <v>1</v>
      </c>
      <c r="V32" s="3">
        <v>8</v>
      </c>
      <c r="W32" s="20">
        <v>54</v>
      </c>
      <c r="X32" s="17">
        <v>8</v>
      </c>
      <c r="Y32" s="3"/>
      <c r="Z32" s="3"/>
      <c r="AA32" s="20"/>
      <c r="AB32" s="3"/>
      <c r="AC32" s="3"/>
      <c r="AD32" s="20"/>
      <c r="AE32" s="3"/>
      <c r="AF32" s="3"/>
      <c r="AG32" s="20"/>
      <c r="AH32" s="107" t="s">
        <v>85</v>
      </c>
      <c r="AI32" s="107"/>
      <c r="AJ32" s="107"/>
      <c r="AK32" s="107"/>
      <c r="AL32" s="108"/>
      <c r="AN32" s="67">
        <f t="shared" si="2"/>
        <v>-3.0116305444478826</v>
      </c>
      <c r="AO32" s="67">
        <f t="shared" si="2"/>
        <v>-0.60521892343503225</v>
      </c>
      <c r="AP32" s="67">
        <f t="shared" si="2"/>
        <v>-1.847619029232817</v>
      </c>
      <c r="AY32" s="67">
        <f t="shared" si="0"/>
        <v>284.01163054444788</v>
      </c>
      <c r="AZ32" s="67">
        <f t="shared" si="1"/>
        <v>80.605218923435032</v>
      </c>
      <c r="BA32" s="67">
        <f t="shared" si="3"/>
        <v>231.84761902923282</v>
      </c>
      <c r="BC32">
        <f t="shared" si="4"/>
        <v>35.234893514056914</v>
      </c>
      <c r="BD32">
        <v>1013.2</v>
      </c>
      <c r="BE32">
        <f t="shared" si="5"/>
        <v>30.188200917340787</v>
      </c>
    </row>
    <row r="33" spans="1:57" x14ac:dyDescent="0.2">
      <c r="A33" s="13">
        <v>24</v>
      </c>
      <c r="B33" s="3">
        <v>1</v>
      </c>
      <c r="C33" s="17">
        <v>6</v>
      </c>
      <c r="D33" s="3">
        <v>4</v>
      </c>
      <c r="E33" s="18">
        <v>6</v>
      </c>
      <c r="F33" s="18">
        <v>6</v>
      </c>
      <c r="G33" s="18">
        <v>72</v>
      </c>
      <c r="H33" s="19">
        <v>1</v>
      </c>
      <c r="I33" s="18">
        <v>15</v>
      </c>
      <c r="J33" s="18">
        <v>11</v>
      </c>
      <c r="K33" s="20">
        <v>118</v>
      </c>
      <c r="L33" s="18">
        <v>258</v>
      </c>
      <c r="M33" s="18">
        <v>242</v>
      </c>
      <c r="N33" s="18">
        <v>290</v>
      </c>
      <c r="O33" s="18">
        <v>87</v>
      </c>
      <c r="P33" s="18">
        <v>235</v>
      </c>
      <c r="Q33" s="17">
        <v>4</v>
      </c>
      <c r="R33" s="17">
        <v>8</v>
      </c>
      <c r="S33" s="17">
        <v>0</v>
      </c>
      <c r="T33" s="17">
        <v>2</v>
      </c>
      <c r="U33" s="17">
        <v>4</v>
      </c>
      <c r="V33" s="3">
        <v>8</v>
      </c>
      <c r="W33" s="20">
        <v>54</v>
      </c>
      <c r="X33" s="17">
        <v>8</v>
      </c>
      <c r="Y33" s="17">
        <v>5</v>
      </c>
      <c r="Z33" s="17">
        <v>0</v>
      </c>
      <c r="AA33" s="20">
        <v>840</v>
      </c>
      <c r="AB33" s="3"/>
      <c r="AC33" s="3"/>
      <c r="AD33" s="20"/>
      <c r="AE33" s="3"/>
      <c r="AF33" s="3"/>
      <c r="AG33" s="20"/>
      <c r="AH33" s="107" t="s">
        <v>142</v>
      </c>
      <c r="AI33" s="107"/>
      <c r="AJ33" s="107"/>
      <c r="AK33" s="107"/>
      <c r="AL33" s="108"/>
      <c r="AN33" s="67">
        <f t="shared" si="2"/>
        <v>-0.88485309404785539</v>
      </c>
      <c r="AO33" s="67">
        <f t="shared" si="2"/>
        <v>-0.58226360878859396</v>
      </c>
      <c r="AP33" s="67">
        <f t="shared" si="2"/>
        <v>-0.80608107843832499</v>
      </c>
      <c r="AY33" s="67">
        <f t="shared" si="0"/>
        <v>290.88485309404786</v>
      </c>
      <c r="AZ33" s="67">
        <f t="shared" si="1"/>
        <v>87.582263608788594</v>
      </c>
      <c r="BA33" s="67">
        <f t="shared" si="3"/>
        <v>235.80608107843832</v>
      </c>
      <c r="BC33">
        <f t="shared" si="4"/>
        <v>33.212758052631393</v>
      </c>
      <c r="BD33">
        <v>1013.2</v>
      </c>
      <c r="BE33">
        <f t="shared" si="5"/>
        <v>30.188200917340787</v>
      </c>
    </row>
    <row r="34" spans="1:57" x14ac:dyDescent="0.2">
      <c r="A34" s="13">
        <v>25</v>
      </c>
      <c r="B34" s="3">
        <v>1</v>
      </c>
      <c r="C34" s="17">
        <v>5</v>
      </c>
      <c r="D34" s="3">
        <v>4</v>
      </c>
      <c r="E34" s="18">
        <v>0</v>
      </c>
      <c r="F34" s="18">
        <v>0</v>
      </c>
      <c r="G34" s="18">
        <v>70</v>
      </c>
      <c r="H34" s="19">
        <v>1</v>
      </c>
      <c r="I34" s="18">
        <v>5</v>
      </c>
      <c r="J34" s="18">
        <v>22</v>
      </c>
      <c r="K34" s="20">
        <v>125</v>
      </c>
      <c r="L34" s="18">
        <v>260</v>
      </c>
      <c r="M34" s="18">
        <v>245</v>
      </c>
      <c r="N34" s="18">
        <v>296</v>
      </c>
      <c r="O34" s="18">
        <v>88</v>
      </c>
      <c r="P34" s="18">
        <v>238</v>
      </c>
      <c r="Q34" s="17">
        <v>5</v>
      </c>
      <c r="R34" s="17">
        <v>8</v>
      </c>
      <c r="S34" s="17">
        <v>0</v>
      </c>
      <c r="T34" s="17">
        <v>2</v>
      </c>
      <c r="U34" s="17">
        <v>3</v>
      </c>
      <c r="V34" s="3">
        <v>8</v>
      </c>
      <c r="W34" s="20">
        <v>54</v>
      </c>
      <c r="X34" s="17">
        <v>8</v>
      </c>
      <c r="Y34" s="17">
        <v>3</v>
      </c>
      <c r="Z34" s="17">
        <v>6</v>
      </c>
      <c r="AA34" s="20">
        <v>105</v>
      </c>
      <c r="AB34" s="3"/>
      <c r="AC34" s="3"/>
      <c r="AD34" s="20"/>
      <c r="AE34" s="3"/>
      <c r="AF34" s="3"/>
      <c r="AG34" s="20"/>
      <c r="AH34" s="107" t="s">
        <v>85</v>
      </c>
      <c r="AI34" s="107"/>
      <c r="AJ34" s="107"/>
      <c r="AK34" s="107"/>
      <c r="AL34" s="108"/>
      <c r="AN34" s="67">
        <f t="shared" si="2"/>
        <v>-1.0486839502706857</v>
      </c>
      <c r="AO34" s="67">
        <f t="shared" si="2"/>
        <v>-0.38403969997190757</v>
      </c>
      <c r="AP34" s="67">
        <f t="shared" si="2"/>
        <v>-1.2869143939119851</v>
      </c>
      <c r="AY34" s="67">
        <f t="shared" si="0"/>
        <v>297.04868395027069</v>
      </c>
      <c r="AZ34" s="67">
        <f t="shared" si="1"/>
        <v>88.384039699971908</v>
      </c>
      <c r="BA34" s="67">
        <f t="shared" si="3"/>
        <v>239.28691439391199</v>
      </c>
      <c r="BC34">
        <f t="shared" si="4"/>
        <v>33.608860260136439</v>
      </c>
      <c r="BD34">
        <v>1013.2</v>
      </c>
      <c r="BE34">
        <f t="shared" si="5"/>
        <v>30.736197835927069</v>
      </c>
    </row>
    <row r="35" spans="1:57" x14ac:dyDescent="0.2">
      <c r="A35" s="13">
        <v>26</v>
      </c>
      <c r="B35" s="3">
        <v>1</v>
      </c>
      <c r="C35" s="17">
        <v>5</v>
      </c>
      <c r="D35" s="3">
        <v>4</v>
      </c>
      <c r="E35" s="18">
        <v>6</v>
      </c>
      <c r="F35" s="18">
        <v>8</v>
      </c>
      <c r="G35" s="18">
        <v>78</v>
      </c>
      <c r="H35" s="19">
        <v>2</v>
      </c>
      <c r="I35" s="18"/>
      <c r="J35" s="18"/>
      <c r="K35" s="20">
        <v>131</v>
      </c>
      <c r="L35" s="18">
        <v>263</v>
      </c>
      <c r="M35" s="18">
        <v>251</v>
      </c>
      <c r="N35" s="18">
        <v>310</v>
      </c>
      <c r="O35" s="18">
        <v>91</v>
      </c>
      <c r="P35" s="18">
        <v>246</v>
      </c>
      <c r="Q35" s="17">
        <v>4</v>
      </c>
      <c r="R35" s="17">
        <v>8</v>
      </c>
      <c r="S35" s="17">
        <v>0</v>
      </c>
      <c r="T35" s="17">
        <v>2</v>
      </c>
      <c r="U35" s="17">
        <v>1</v>
      </c>
      <c r="V35" s="3">
        <v>8</v>
      </c>
      <c r="W35" s="20">
        <v>66</v>
      </c>
      <c r="X35" s="17">
        <v>8</v>
      </c>
      <c r="Y35" s="3"/>
      <c r="Z35" s="3"/>
      <c r="AA35" s="20"/>
      <c r="AB35" s="3"/>
      <c r="AC35" s="3"/>
      <c r="AD35" s="20"/>
      <c r="AE35" s="3"/>
      <c r="AF35" s="3"/>
      <c r="AG35" s="20"/>
      <c r="AH35" s="107"/>
      <c r="AI35" s="107"/>
      <c r="AJ35" s="107"/>
      <c r="AK35" s="107"/>
      <c r="AL35" s="108"/>
      <c r="AN35" s="67">
        <f t="shared" si="2"/>
        <v>-0.32756845166295534</v>
      </c>
      <c r="AO35" s="67">
        <f t="shared" si="2"/>
        <v>0.28948727885556025</v>
      </c>
      <c r="AP35" s="67">
        <f t="shared" si="2"/>
        <v>-0.57587434721995123</v>
      </c>
      <c r="AY35" s="67">
        <f t="shared" si="0"/>
        <v>310.32756845166296</v>
      </c>
      <c r="AZ35" s="67">
        <f t="shared" si="1"/>
        <v>90.71051272114444</v>
      </c>
      <c r="BA35" s="67">
        <f t="shared" si="3"/>
        <v>246.57587434721995</v>
      </c>
      <c r="BC35">
        <f t="shared" si="4"/>
        <v>34.210761150215198</v>
      </c>
      <c r="BD35">
        <v>1013.2</v>
      </c>
      <c r="BE35">
        <f t="shared" si="5"/>
        <v>31.858374091422295</v>
      </c>
    </row>
    <row r="36" spans="1:57" x14ac:dyDescent="0.2">
      <c r="A36" s="13">
        <v>27</v>
      </c>
      <c r="B36" s="3">
        <v>1</v>
      </c>
      <c r="C36" s="17">
        <v>7</v>
      </c>
      <c r="D36" s="3">
        <v>4</v>
      </c>
      <c r="E36" s="18">
        <v>9</v>
      </c>
      <c r="F36" s="18">
        <v>14</v>
      </c>
      <c r="G36" s="18">
        <v>40</v>
      </c>
      <c r="H36" s="19">
        <v>1</v>
      </c>
      <c r="I36" s="18">
        <v>80</v>
      </c>
      <c r="J36" s="18">
        <v>11</v>
      </c>
      <c r="K36" s="20">
        <v>136</v>
      </c>
      <c r="L36" s="18">
        <v>250</v>
      </c>
      <c r="M36" s="18">
        <v>244</v>
      </c>
      <c r="N36" s="18">
        <v>300</v>
      </c>
      <c r="O36" s="18">
        <v>95</v>
      </c>
      <c r="P36" s="18">
        <v>241</v>
      </c>
      <c r="Q36" s="17">
        <v>7</v>
      </c>
      <c r="R36" s="17">
        <v>8</v>
      </c>
      <c r="S36" s="17" t="s">
        <v>89</v>
      </c>
      <c r="T36" s="17" t="s">
        <v>89</v>
      </c>
      <c r="U36" s="17">
        <v>6</v>
      </c>
      <c r="V36" s="3">
        <v>8</v>
      </c>
      <c r="W36" s="20">
        <f>12*3</f>
        <v>36</v>
      </c>
      <c r="X36" s="17">
        <v>8</v>
      </c>
      <c r="Y36" s="17">
        <v>3</v>
      </c>
      <c r="Z36" s="17">
        <v>6</v>
      </c>
      <c r="AA36" s="20">
        <v>114</v>
      </c>
      <c r="AB36" s="3"/>
      <c r="AC36" s="3"/>
      <c r="AD36" s="20"/>
      <c r="AE36" s="3"/>
      <c r="AF36" s="3"/>
      <c r="AG36" s="20"/>
      <c r="AH36" s="107" t="s">
        <v>177</v>
      </c>
      <c r="AI36" s="107"/>
      <c r="AJ36" s="107"/>
      <c r="AK36" s="107"/>
      <c r="AL36" s="108"/>
      <c r="AN36" s="67">
        <f t="shared" si="2"/>
        <v>-1.4008687103645343</v>
      </c>
      <c r="AO36" s="67">
        <f t="shared" si="2"/>
        <v>-0.17253474663654345</v>
      </c>
      <c r="AP36" s="67">
        <f t="shared" si="2"/>
        <v>-0.70677702011531096</v>
      </c>
      <c r="AY36" s="67">
        <f t="shared" si="0"/>
        <v>301.40086871036453</v>
      </c>
      <c r="AZ36" s="67">
        <f t="shared" si="1"/>
        <v>95.172534746636543</v>
      </c>
      <c r="BA36" s="67">
        <f t="shared" si="3"/>
        <v>241.70677702011531</v>
      </c>
      <c r="BC36">
        <f t="shared" si="4"/>
        <v>31.668891609615997</v>
      </c>
      <c r="BD36">
        <v>1013.2</v>
      </c>
      <c r="BE36">
        <f t="shared" si="5"/>
        <v>30.552572506268454</v>
      </c>
    </row>
    <row r="37" spans="1:57" x14ac:dyDescent="0.2">
      <c r="A37" s="13">
        <v>28</v>
      </c>
      <c r="B37" s="3">
        <v>1</v>
      </c>
      <c r="C37" s="17">
        <v>7</v>
      </c>
      <c r="D37" s="3">
        <v>4</v>
      </c>
      <c r="E37" s="18">
        <v>10</v>
      </c>
      <c r="F37" s="18">
        <v>16</v>
      </c>
      <c r="G37" s="18">
        <v>68</v>
      </c>
      <c r="H37" s="19">
        <v>1</v>
      </c>
      <c r="I37" s="18">
        <v>6</v>
      </c>
      <c r="J37" s="18">
        <v>22</v>
      </c>
      <c r="K37" s="20">
        <v>141</v>
      </c>
      <c r="L37" s="18">
        <v>260</v>
      </c>
      <c r="M37" s="18">
        <v>245</v>
      </c>
      <c r="N37" s="18">
        <v>295</v>
      </c>
      <c r="O37" s="18">
        <v>88</v>
      </c>
      <c r="P37" s="18">
        <v>238</v>
      </c>
      <c r="Q37" s="17">
        <v>7</v>
      </c>
      <c r="R37" s="17">
        <v>8</v>
      </c>
      <c r="S37" s="17" t="s">
        <v>89</v>
      </c>
      <c r="T37" s="17" t="s">
        <v>89</v>
      </c>
      <c r="U37" s="17">
        <v>5</v>
      </c>
      <c r="V37" s="3">
        <v>8</v>
      </c>
      <c r="W37" s="20">
        <v>48</v>
      </c>
      <c r="X37" s="17">
        <v>8</v>
      </c>
      <c r="Y37" s="17">
        <v>4</v>
      </c>
      <c r="Z37" s="17">
        <v>6</v>
      </c>
      <c r="AA37" s="20">
        <v>114</v>
      </c>
      <c r="AB37" s="3"/>
      <c r="AC37" s="3"/>
      <c r="AD37" s="20"/>
      <c r="AE37" s="3"/>
      <c r="AF37" s="3"/>
      <c r="AG37" s="20"/>
      <c r="AH37" s="107" t="s">
        <v>85</v>
      </c>
      <c r="AI37" s="107"/>
      <c r="AJ37" s="107"/>
      <c r="AK37" s="107"/>
      <c r="AL37" s="108"/>
      <c r="AN37" s="67">
        <f t="shared" si="2"/>
        <v>-2.0486839502706857</v>
      </c>
      <c r="AO37" s="67">
        <f t="shared" si="2"/>
        <v>-0.38403969997190757</v>
      </c>
      <c r="AP37" s="67">
        <f t="shared" si="2"/>
        <v>-1.2869143939119851</v>
      </c>
      <c r="AY37" s="67">
        <f t="shared" si="0"/>
        <v>297.04868395027069</v>
      </c>
      <c r="AZ37" s="67">
        <f t="shared" si="1"/>
        <v>88.384039699971908</v>
      </c>
      <c r="BA37" s="67">
        <f t="shared" si="3"/>
        <v>239.28691439391199</v>
      </c>
      <c r="BC37">
        <f t="shared" si="4"/>
        <v>33.608860260136439</v>
      </c>
      <c r="BD37">
        <v>1013.2</v>
      </c>
      <c r="BE37">
        <f t="shared" si="5"/>
        <v>30.736197835927069</v>
      </c>
    </row>
    <row r="38" spans="1:57" x14ac:dyDescent="0.2">
      <c r="A38" s="13">
        <v>29</v>
      </c>
      <c r="B38" s="3">
        <v>1</v>
      </c>
      <c r="C38" s="17">
        <v>3</v>
      </c>
      <c r="D38" s="3">
        <v>4</v>
      </c>
      <c r="E38" s="18">
        <v>8</v>
      </c>
      <c r="F38" s="18">
        <v>11</v>
      </c>
      <c r="G38" s="18">
        <v>66</v>
      </c>
      <c r="H38" s="19">
        <v>1</v>
      </c>
      <c r="I38" s="18">
        <v>15</v>
      </c>
      <c r="J38" s="18">
        <v>0</v>
      </c>
      <c r="K38" s="20">
        <v>143</v>
      </c>
      <c r="L38" s="18">
        <v>267</v>
      </c>
      <c r="M38" s="18">
        <v>248</v>
      </c>
      <c r="N38" s="18">
        <v>299</v>
      </c>
      <c r="O38" s="18">
        <v>85</v>
      </c>
      <c r="P38" s="18">
        <v>240</v>
      </c>
      <c r="Q38" s="17">
        <v>3</v>
      </c>
      <c r="R38" s="17">
        <v>8</v>
      </c>
      <c r="S38" s="17">
        <v>0</v>
      </c>
      <c r="T38" s="17">
        <v>0</v>
      </c>
      <c r="U38" s="17">
        <v>3</v>
      </c>
      <c r="V38" s="3">
        <v>8</v>
      </c>
      <c r="W38" s="20">
        <v>57</v>
      </c>
      <c r="X38" s="17">
        <v>8</v>
      </c>
      <c r="Y38" s="3"/>
      <c r="Z38" s="3"/>
      <c r="AA38" s="20"/>
      <c r="AB38" s="3"/>
      <c r="AC38" s="3"/>
      <c r="AD38" s="20"/>
      <c r="AE38" s="3"/>
      <c r="AF38" s="3"/>
      <c r="AG38" s="20"/>
      <c r="AH38" s="107" t="s">
        <v>90</v>
      </c>
      <c r="AI38" s="107"/>
      <c r="AJ38" s="107"/>
      <c r="AK38" s="107"/>
      <c r="AL38" s="108"/>
      <c r="AN38" s="67">
        <f t="shared" si="2"/>
        <v>-0.86094439948510626</v>
      </c>
      <c r="AO38" s="67">
        <f t="shared" si="2"/>
        <v>-0.60619490736614523</v>
      </c>
      <c r="AP38" s="67">
        <f t="shared" si="2"/>
        <v>-0.85408066088760393</v>
      </c>
      <c r="AY38" s="67">
        <f t="shared" si="0"/>
        <v>299.86094439948511</v>
      </c>
      <c r="AZ38" s="67">
        <f t="shared" si="1"/>
        <v>85.606194907366145</v>
      </c>
      <c r="BA38" s="67">
        <f t="shared" si="3"/>
        <v>240.8540806608876</v>
      </c>
      <c r="BC38">
        <f t="shared" si="4"/>
        <v>35.027949171664794</v>
      </c>
      <c r="BD38">
        <v>1013.2</v>
      </c>
      <c r="BE38">
        <f t="shared" si="5"/>
        <v>31.29288340580451</v>
      </c>
    </row>
    <row r="39" spans="1:57" x14ac:dyDescent="0.2">
      <c r="A39" s="13">
        <v>30</v>
      </c>
      <c r="B39" s="3">
        <v>1</v>
      </c>
      <c r="C39" s="17">
        <v>7</v>
      </c>
      <c r="D39" s="3">
        <v>4</v>
      </c>
      <c r="E39" s="18">
        <v>7</v>
      </c>
      <c r="F39" s="18">
        <v>5</v>
      </c>
      <c r="G39" s="18">
        <v>58</v>
      </c>
      <c r="H39" s="19">
        <v>1</v>
      </c>
      <c r="I39" s="18">
        <v>80</v>
      </c>
      <c r="J39" s="18">
        <v>22</v>
      </c>
      <c r="K39" s="20">
        <v>135</v>
      </c>
      <c r="L39" s="18">
        <v>246</v>
      </c>
      <c r="M39" s="18">
        <v>240</v>
      </c>
      <c r="N39" s="18">
        <v>294</v>
      </c>
      <c r="O39" s="18">
        <v>94</v>
      </c>
      <c r="P39" s="18">
        <v>237</v>
      </c>
      <c r="Q39" s="17">
        <v>7</v>
      </c>
      <c r="R39" s="17">
        <v>8</v>
      </c>
      <c r="S39" s="17" t="s">
        <v>89</v>
      </c>
      <c r="T39" s="17" t="s">
        <v>89</v>
      </c>
      <c r="U39" s="17">
        <v>3</v>
      </c>
      <c r="V39" s="3">
        <v>8</v>
      </c>
      <c r="W39" s="20">
        <v>54</v>
      </c>
      <c r="X39" s="17">
        <v>8</v>
      </c>
      <c r="Y39" s="17">
        <v>6</v>
      </c>
      <c r="Z39" s="17">
        <v>6</v>
      </c>
      <c r="AA39" s="20">
        <v>105</v>
      </c>
      <c r="AB39" s="3"/>
      <c r="AC39" s="3"/>
      <c r="AD39" s="20"/>
      <c r="AE39" s="3"/>
      <c r="AF39" s="3"/>
      <c r="AG39" s="20"/>
      <c r="AH39" s="107" t="s">
        <v>212</v>
      </c>
      <c r="AI39" s="107"/>
      <c r="AJ39" s="107"/>
      <c r="AK39" s="107"/>
      <c r="AL39" s="108"/>
      <c r="AN39" s="67">
        <f t="shared" si="2"/>
        <v>-0.15338643582066425</v>
      </c>
      <c r="AO39" s="67">
        <f t="shared" si="2"/>
        <v>-1.1312693253716617</v>
      </c>
      <c r="AP39" s="67">
        <f t="shared" si="2"/>
        <v>-0.65984194472068225</v>
      </c>
      <c r="AY39" s="67">
        <f t="shared" si="0"/>
        <v>294.15338643582066</v>
      </c>
      <c r="AZ39" s="67">
        <f t="shared" si="1"/>
        <v>95.131269325371662</v>
      </c>
      <c r="BA39" s="67">
        <f t="shared" si="3"/>
        <v>237.65984194472068</v>
      </c>
      <c r="BC39">
        <f t="shared" si="4"/>
        <v>30.920788561092973</v>
      </c>
      <c r="BD39">
        <v>1013.2</v>
      </c>
      <c r="BE39">
        <f t="shared" si="5"/>
        <v>29.827639714302066</v>
      </c>
    </row>
    <row r="40" spans="1:57" x14ac:dyDescent="0.2">
      <c r="A40" s="13"/>
      <c r="B40" s="3"/>
      <c r="C40" s="17"/>
      <c r="D40" s="3"/>
      <c r="E40" s="18"/>
      <c r="F40" s="18"/>
      <c r="G40" s="18"/>
      <c r="H40" s="19"/>
      <c r="I40" s="18"/>
      <c r="J40" s="18"/>
      <c r="K40" s="20"/>
      <c r="L40" s="18"/>
      <c r="M40" s="18"/>
      <c r="N40" s="18"/>
      <c r="O40" s="18"/>
      <c r="P40" s="18"/>
      <c r="Q40" s="17"/>
      <c r="R40" s="17"/>
      <c r="S40" s="17"/>
      <c r="T40" s="17"/>
      <c r="U40" s="17"/>
      <c r="V40" s="3"/>
      <c r="W40" s="20"/>
      <c r="X40" s="17"/>
      <c r="Y40" s="3"/>
      <c r="Z40" s="3"/>
      <c r="AA40" s="20"/>
      <c r="AB40" s="3"/>
      <c r="AC40" s="3"/>
      <c r="AD40" s="20"/>
      <c r="AE40" s="3"/>
      <c r="AF40" s="3"/>
      <c r="AG40" s="20"/>
      <c r="AH40" s="107"/>
      <c r="AI40" s="107"/>
      <c r="AJ40" s="107"/>
      <c r="AK40" s="107"/>
      <c r="AL40" s="108"/>
      <c r="AN40" s="67"/>
      <c r="AO40" s="67"/>
      <c r="AP40" s="67"/>
      <c r="AY40" s="67">
        <f t="shared" si="0"/>
        <v>61.120000000000005</v>
      </c>
      <c r="AZ40" s="67">
        <f t="shared" si="1"/>
        <v>100</v>
      </c>
      <c r="BA40" s="67">
        <f t="shared" si="3"/>
        <v>0</v>
      </c>
      <c r="BC40">
        <f t="shared" si="4"/>
        <v>6.1120000000000001</v>
      </c>
      <c r="BD40">
        <v>1013.2</v>
      </c>
      <c r="BE40">
        <f t="shared" si="5"/>
        <v>6.1120000000000001</v>
      </c>
    </row>
    <row r="41" spans="1:57" x14ac:dyDescent="0.2">
      <c r="A41" s="18"/>
      <c r="B41" s="3"/>
      <c r="C41" s="17"/>
      <c r="D41" s="3"/>
      <c r="E41" s="18"/>
      <c r="F41" s="18"/>
      <c r="G41" s="18"/>
      <c r="H41" s="19"/>
      <c r="I41" s="18"/>
      <c r="J41" s="18"/>
      <c r="K41" s="20"/>
      <c r="L41" s="18"/>
      <c r="M41" s="18"/>
      <c r="N41" s="18"/>
      <c r="O41" s="18"/>
      <c r="P41" s="18"/>
      <c r="Q41" s="17"/>
      <c r="R41" s="17"/>
      <c r="S41" s="17"/>
      <c r="T41" s="17"/>
      <c r="U41" s="17"/>
      <c r="V41" s="3"/>
      <c r="W41" s="20"/>
      <c r="X41" s="3"/>
      <c r="Y41" s="3"/>
      <c r="Z41" s="3"/>
      <c r="AA41" s="20"/>
      <c r="AB41" s="3"/>
      <c r="AC41" s="3"/>
      <c r="AD41" s="20"/>
      <c r="AE41" s="3"/>
      <c r="AF41" s="3"/>
      <c r="AG41" s="20"/>
      <c r="AH41" s="109" t="s">
        <v>235</v>
      </c>
      <c r="AI41" s="107"/>
      <c r="AJ41" s="107"/>
      <c r="AK41" s="107"/>
      <c r="AL41" s="108"/>
      <c r="AN41" s="67"/>
      <c r="AO41" s="67"/>
      <c r="AP41" s="67"/>
    </row>
    <row r="42" spans="1:57" x14ac:dyDescent="0.2">
      <c r="A42" s="13" t="s">
        <v>9</v>
      </c>
      <c r="B42" s="1"/>
      <c r="C42" s="21">
        <f>SUM(C10:C40)</f>
        <v>126</v>
      </c>
      <c r="D42" s="1"/>
      <c r="E42" s="13"/>
      <c r="F42" s="13">
        <f>SUM(F10:F40)</f>
        <v>226</v>
      </c>
      <c r="G42" s="13"/>
      <c r="H42" s="2"/>
      <c r="I42" s="13"/>
      <c r="J42" s="13"/>
      <c r="K42" s="22">
        <f>SUM(K10:K40)</f>
        <v>3811</v>
      </c>
      <c r="L42" s="13">
        <f>SUM(L10:L40)</f>
        <v>7856</v>
      </c>
      <c r="M42" s="13">
        <f>SUM(M10:M40)</f>
        <v>7304</v>
      </c>
      <c r="N42" s="13">
        <f>SUM(N10:N40)</f>
        <v>8713</v>
      </c>
      <c r="O42" s="13">
        <f>SUM(O10:O40)</f>
        <v>2562</v>
      </c>
      <c r="P42" s="13">
        <f t="shared" ref="P42" si="6">SUM(P10:P40)</f>
        <v>7055</v>
      </c>
      <c r="Q42" s="21">
        <f>SUM(Q10:Q40)</f>
        <v>84</v>
      </c>
      <c r="R42" s="21"/>
      <c r="S42" s="21"/>
      <c r="T42" s="21"/>
      <c r="U42" s="21"/>
      <c r="V42" s="1"/>
      <c r="W42" s="22"/>
      <c r="X42" s="1"/>
      <c r="Y42" s="1"/>
      <c r="Z42" s="1"/>
      <c r="AA42" s="22"/>
      <c r="AB42" s="1"/>
      <c r="AC42" s="1"/>
      <c r="AD42" s="22"/>
      <c r="AE42" s="1"/>
      <c r="AF42" s="1"/>
      <c r="AG42" s="22"/>
      <c r="AH42" s="116"/>
      <c r="AI42" s="116"/>
      <c r="AJ42" s="116"/>
      <c r="AK42" s="116"/>
      <c r="AL42" s="117"/>
      <c r="AN42" s="67"/>
      <c r="AO42" s="67"/>
      <c r="AP42" s="67"/>
    </row>
    <row r="43" spans="1:57" ht="13.5" thickBot="1" x14ac:dyDescent="0.25">
      <c r="A43" s="23" t="s">
        <v>10</v>
      </c>
      <c r="B43" s="24"/>
      <c r="C43" s="25">
        <f>AVERAGE(C10:C40)</f>
        <v>4.2</v>
      </c>
      <c r="D43" s="24"/>
      <c r="E43" s="23">
        <f>MODE(E10:E40)</f>
        <v>9</v>
      </c>
      <c r="F43" s="23">
        <f>AVERAGE(F10:F40)</f>
        <v>7.5333333333333332</v>
      </c>
      <c r="G43" s="23"/>
      <c r="H43" s="26"/>
      <c r="I43" s="23"/>
      <c r="J43" s="23"/>
      <c r="K43" s="27">
        <f>AVERAGE(K10:K40)</f>
        <v>127.03333333333333</v>
      </c>
      <c r="L43" s="23">
        <f t="shared" ref="L43:Q43" si="7">AVERAGE(L10:L40)</f>
        <v>261.86666666666667</v>
      </c>
      <c r="M43" s="23">
        <f t="shared" si="7"/>
        <v>243.46666666666667</v>
      </c>
      <c r="N43" s="23">
        <f t="shared" si="7"/>
        <v>290.43333333333334</v>
      </c>
      <c r="O43" s="23">
        <f t="shared" si="7"/>
        <v>85.4</v>
      </c>
      <c r="P43" s="23">
        <f>AVERAGE(P10:P40)</f>
        <v>235.16666666666666</v>
      </c>
      <c r="Q43" s="25">
        <f t="shared" si="7"/>
        <v>2.8</v>
      </c>
      <c r="R43" s="25"/>
      <c r="S43" s="25"/>
      <c r="T43" s="25"/>
      <c r="U43" s="25"/>
      <c r="V43" s="24"/>
      <c r="W43" s="27"/>
      <c r="X43" s="24"/>
      <c r="Y43" s="24"/>
      <c r="Z43" s="24"/>
      <c r="AA43" s="27"/>
      <c r="AB43" s="24"/>
      <c r="AC43" s="24"/>
      <c r="AD43" s="27"/>
      <c r="AE43" s="24"/>
      <c r="AF43" s="24"/>
      <c r="AG43" s="27"/>
      <c r="AH43" s="111"/>
      <c r="AI43" s="111"/>
      <c r="AJ43" s="111"/>
      <c r="AK43" s="111"/>
      <c r="AL43" s="112"/>
      <c r="AN43" s="67">
        <f>AVERAGE(AN10:AN40)</f>
        <v>-1.6028127207305449</v>
      </c>
      <c r="AO43" s="67">
        <f t="shared" ref="AO43:AP43" si="8">AVERAGE(AO10:AO40)</f>
        <v>-0.57361787714774692</v>
      </c>
      <c r="AP43" s="67">
        <f t="shared" si="8"/>
        <v>-1.1812332849103229</v>
      </c>
    </row>
    <row r="44" spans="1:57" x14ac:dyDescent="0.2">
      <c r="E44" s="11"/>
      <c r="G44" s="11"/>
      <c r="K44" s="4"/>
      <c r="M44" s="11"/>
      <c r="P44" s="11"/>
      <c r="Q44" s="11"/>
      <c r="W44" s="4"/>
      <c r="AA44" s="4"/>
      <c r="AD44" s="4"/>
    </row>
    <row r="45" spans="1:57" x14ac:dyDescent="0.2">
      <c r="E45" s="11"/>
      <c r="G45" s="11"/>
      <c r="K45" s="4"/>
      <c r="M45" s="11"/>
      <c r="P45" s="11"/>
      <c r="Q45" s="11"/>
      <c r="W45" s="4"/>
      <c r="AA45" s="4"/>
    </row>
    <row r="46" spans="1:57" x14ac:dyDescent="0.2">
      <c r="E46" s="11"/>
      <c r="G46" s="11"/>
      <c r="M46" s="11"/>
      <c r="P46" s="11"/>
      <c r="Q46" s="11"/>
      <c r="W46" s="4"/>
      <c r="AA46" s="4"/>
    </row>
    <row r="47" spans="1:57" x14ac:dyDescent="0.2">
      <c r="E47" s="11"/>
      <c r="G47" s="11"/>
      <c r="M47" s="11"/>
      <c r="P47" s="11"/>
      <c r="Q47" s="11"/>
    </row>
    <row r="48" spans="1:57" x14ac:dyDescent="0.2">
      <c r="E48" s="11"/>
      <c r="G48" s="11"/>
      <c r="M48" s="11"/>
      <c r="P48" s="11"/>
      <c r="Q48" s="11"/>
    </row>
    <row r="49" spans="5:17" x14ac:dyDescent="0.2">
      <c r="E49" s="11"/>
      <c r="G49" s="11"/>
      <c r="M49" s="11"/>
      <c r="P49" s="11"/>
      <c r="Q49" s="11"/>
    </row>
  </sheetData>
  <mergeCells count="72">
    <mergeCell ref="AH41:AL41"/>
    <mergeCell ref="AH42:AL42"/>
    <mergeCell ref="AH43:AL43"/>
    <mergeCell ref="AH36:AL36"/>
    <mergeCell ref="AH37:AL37"/>
    <mergeCell ref="AH38:AL38"/>
    <mergeCell ref="AH39:AL39"/>
    <mergeCell ref="AH40:AL40"/>
    <mergeCell ref="AH31:AL31"/>
    <mergeCell ref="AH32:AL32"/>
    <mergeCell ref="AH33:AL33"/>
    <mergeCell ref="AH34:AL34"/>
    <mergeCell ref="AH35:AL35"/>
    <mergeCell ref="AH26:AL26"/>
    <mergeCell ref="AH27:AL27"/>
    <mergeCell ref="AH28:AL28"/>
    <mergeCell ref="AH29:AL29"/>
    <mergeCell ref="AH30:AL30"/>
    <mergeCell ref="AH21:AL21"/>
    <mergeCell ref="AH22:AL22"/>
    <mergeCell ref="AH23:AL23"/>
    <mergeCell ref="AH24:AL24"/>
    <mergeCell ref="AH25:AL25"/>
    <mergeCell ref="AH16:AL16"/>
    <mergeCell ref="AH17:AL17"/>
    <mergeCell ref="AH18:AL18"/>
    <mergeCell ref="AH19:AL19"/>
    <mergeCell ref="AH20:AL20"/>
    <mergeCell ref="AH11:AL11"/>
    <mergeCell ref="AH12:AL12"/>
    <mergeCell ref="AH13:AL13"/>
    <mergeCell ref="AH14:AL14"/>
    <mergeCell ref="AH15:AL15"/>
    <mergeCell ref="U8:W8"/>
    <mergeCell ref="X8:AA8"/>
    <mergeCell ref="AB8:AD8"/>
    <mergeCell ref="AE8:AG8"/>
    <mergeCell ref="AH10:AL10"/>
    <mergeCell ref="AH7:AL9"/>
    <mergeCell ref="P8:P9"/>
    <mergeCell ref="Q8:Q9"/>
    <mergeCell ref="R8:R9"/>
    <mergeCell ref="S8:S9"/>
    <mergeCell ref="T8:T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3:T3"/>
    <mergeCell ref="E7:F7"/>
    <mergeCell ref="L7:P7"/>
    <mergeCell ref="Q7:T7"/>
    <mergeCell ref="U7:AG7"/>
    <mergeCell ref="AN7:AP7"/>
    <mergeCell ref="AY7:BA7"/>
    <mergeCell ref="AN8:AN9"/>
    <mergeCell ref="AO8:AO9"/>
    <mergeCell ref="AP8:AP9"/>
    <mergeCell ref="AY8:AY9"/>
    <mergeCell ref="AZ8:AZ9"/>
    <mergeCell ref="BA8:BA9"/>
  </mergeCells>
  <phoneticPr fontId="2" type="noConversion"/>
  <dataValidations count="5">
    <dataValidation type="whole" allowBlank="1" showInputMessage="1" showErrorMessage="1" sqref="C10:C40" xr:uid="{00000000-0002-0000-1300-000000000000}">
      <formula1>0</formula1>
      <formula2>9</formula2>
    </dataValidation>
    <dataValidation type="whole" allowBlank="1" showInputMessage="1" showErrorMessage="1" sqref="Y10:Y40" xr:uid="{00000000-0002-0000-1300-000001000000}">
      <formula1>3</formula1>
      <formula2>9</formula2>
    </dataValidation>
    <dataValidation type="whole" allowBlank="1" showInputMessage="1" showErrorMessage="1" sqref="AB10:AB40" xr:uid="{00000000-0002-0000-1300-000002000000}">
      <formula1>5</formula1>
      <formula2>9</formula2>
    </dataValidation>
    <dataValidation type="whole" allowBlank="1" showInputMessage="1" showErrorMessage="1" sqref="D10:D40" xr:uid="{00000000-0002-0000-1300-000003000000}">
      <formula1>0</formula1>
      <formula2>4</formula2>
    </dataValidation>
    <dataValidation type="whole" allowBlank="1" showInputMessage="1" showErrorMessage="1" sqref="AE10:AE40" xr:uid="{00000000-0002-0000-1300-000004000000}">
      <formula1>1</formula1>
      <formula2>9</formula2>
    </dataValidation>
  </dataValidations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E49"/>
  <sheetViews>
    <sheetView tabSelected="1" workbookViewId="0">
      <pane xSplit="2" ySplit="9" topLeftCell="C10" activePane="bottomRight" state="frozen"/>
      <selection activeCell="AM2" sqref="AM2"/>
      <selection pane="topRight" activeCell="AM2" sqref="AM2"/>
      <selection pane="bottomLeft" activeCell="AM2" sqref="AM2"/>
      <selection pane="bottomRight" activeCell="L33" sqref="L33"/>
    </sheetView>
  </sheetViews>
  <sheetFormatPr defaultRowHeight="12.75" x14ac:dyDescent="0.2"/>
  <cols>
    <col min="1" max="1" width="4.28515625" bestFit="1" customWidth="1"/>
    <col min="2" max="2" width="5.140625" bestFit="1" customWidth="1"/>
    <col min="3" max="3" width="4" bestFit="1" customWidth="1"/>
    <col min="4" max="5" width="3" bestFit="1" customWidth="1"/>
    <col min="6" max="6" width="4" bestFit="1" customWidth="1"/>
    <col min="7" max="10" width="3" bestFit="1" customWidth="1"/>
    <col min="11" max="11" width="8.5703125" bestFit="1" customWidth="1"/>
    <col min="12" max="16" width="5" bestFit="1" customWidth="1"/>
    <col min="17" max="17" width="3" bestFit="1" customWidth="1"/>
    <col min="18" max="18" width="4" bestFit="1" customWidth="1"/>
    <col min="19" max="22" width="3" bestFit="1" customWidth="1"/>
    <col min="23" max="23" width="5.28515625" bestFit="1" customWidth="1"/>
    <col min="24" max="26" width="3" bestFit="1" customWidth="1"/>
    <col min="27" max="27" width="5.28515625" bestFit="1" customWidth="1"/>
    <col min="28" max="29" width="3" bestFit="1" customWidth="1"/>
    <col min="30" max="30" width="5.28515625" bestFit="1" customWidth="1"/>
    <col min="31" max="32" width="3" bestFit="1" customWidth="1"/>
    <col min="33" max="33" width="5.28515625" bestFit="1" customWidth="1"/>
    <col min="34" max="34" width="5.42578125" customWidth="1"/>
    <col min="40" max="42" width="4.7109375" customWidth="1"/>
    <col min="50" max="58" width="0" hidden="1" customWidth="1"/>
  </cols>
  <sheetData>
    <row r="1" spans="1:5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  <c r="P1" s="1"/>
      <c r="Q1" s="1"/>
      <c r="R1" s="1"/>
    </row>
    <row r="2" spans="1:57" ht="36.75" customHeight="1" x14ac:dyDescent="0.2">
      <c r="A2" s="1"/>
      <c r="B2" s="1"/>
      <c r="C2" s="1"/>
      <c r="D2" s="1"/>
      <c r="E2" s="1"/>
      <c r="F2" s="1"/>
      <c r="G2" s="1"/>
      <c r="H2" s="1"/>
      <c r="I2" s="2"/>
      <c r="J2" s="2"/>
      <c r="K2" s="1"/>
      <c r="L2" s="1"/>
      <c r="M2" s="1"/>
      <c r="O2" s="2"/>
      <c r="P2" s="1"/>
      <c r="Q2" s="1"/>
      <c r="R2" s="1"/>
    </row>
    <row r="3" spans="1:5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80"/>
      <c r="Q3" s="80"/>
      <c r="R3" s="80"/>
      <c r="S3" s="80"/>
      <c r="T3" s="80"/>
    </row>
    <row r="4" spans="1:5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7" spans="1:57" ht="14.25" x14ac:dyDescent="0.25">
      <c r="A7" s="7"/>
      <c r="B7" s="7"/>
      <c r="C7" s="7"/>
      <c r="D7" s="7"/>
      <c r="E7" s="81" t="s">
        <v>20</v>
      </c>
      <c r="F7" s="81"/>
      <c r="G7" s="7"/>
      <c r="H7" s="7"/>
      <c r="I7" s="7"/>
      <c r="J7" s="7"/>
      <c r="K7" s="7"/>
      <c r="L7" s="82" t="s">
        <v>11</v>
      </c>
      <c r="M7" s="82"/>
      <c r="N7" s="82"/>
      <c r="O7" s="82"/>
      <c r="P7" s="82"/>
      <c r="Q7" s="83" t="s">
        <v>29</v>
      </c>
      <c r="R7" s="83"/>
      <c r="S7" s="83"/>
      <c r="T7" s="83"/>
      <c r="U7" s="84" t="s">
        <v>33</v>
      </c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98" t="s">
        <v>8</v>
      </c>
      <c r="AI7" s="99"/>
      <c r="AJ7" s="99"/>
      <c r="AK7" s="99"/>
      <c r="AL7" s="100"/>
      <c r="AN7" s="73" t="s">
        <v>80</v>
      </c>
      <c r="AO7" s="74"/>
      <c r="AP7" s="75"/>
      <c r="AY7" s="76" t="s">
        <v>81</v>
      </c>
      <c r="AZ7" s="77"/>
      <c r="BA7" s="78"/>
    </row>
    <row r="8" spans="1:57" ht="16.5" customHeight="1" x14ac:dyDescent="0.2">
      <c r="A8" s="85" t="s">
        <v>18</v>
      </c>
      <c r="B8" s="89" t="s">
        <v>19</v>
      </c>
      <c r="C8" s="90" t="s">
        <v>23</v>
      </c>
      <c r="D8" s="88" t="s">
        <v>24</v>
      </c>
      <c r="E8" s="91" t="s">
        <v>25</v>
      </c>
      <c r="F8" s="86" t="s">
        <v>26</v>
      </c>
      <c r="G8" s="88" t="s">
        <v>27</v>
      </c>
      <c r="H8" s="88" t="s">
        <v>0</v>
      </c>
      <c r="I8" s="88" t="s">
        <v>21</v>
      </c>
      <c r="J8" s="88" t="s">
        <v>22</v>
      </c>
      <c r="K8" s="85" t="s">
        <v>28</v>
      </c>
      <c r="L8" s="79" t="s">
        <v>1</v>
      </c>
      <c r="M8" s="79" t="s">
        <v>2</v>
      </c>
      <c r="N8" s="79" t="s">
        <v>3</v>
      </c>
      <c r="O8" s="79" t="s">
        <v>4</v>
      </c>
      <c r="P8" s="79" t="s">
        <v>5</v>
      </c>
      <c r="Q8" s="92" t="s">
        <v>34</v>
      </c>
      <c r="R8" s="92" t="s">
        <v>30</v>
      </c>
      <c r="S8" s="92" t="s">
        <v>31</v>
      </c>
      <c r="T8" s="92" t="s">
        <v>32</v>
      </c>
      <c r="U8" s="93" t="s">
        <v>38</v>
      </c>
      <c r="V8" s="93"/>
      <c r="W8" s="93"/>
      <c r="X8" s="93" t="s">
        <v>39</v>
      </c>
      <c r="Y8" s="93"/>
      <c r="Z8" s="93"/>
      <c r="AA8" s="93"/>
      <c r="AB8" s="93" t="s">
        <v>40</v>
      </c>
      <c r="AC8" s="93"/>
      <c r="AD8" s="93"/>
      <c r="AE8" s="93" t="s">
        <v>41</v>
      </c>
      <c r="AF8" s="94"/>
      <c r="AG8" s="95"/>
      <c r="AH8" s="101"/>
      <c r="AI8" s="102"/>
      <c r="AJ8" s="102"/>
      <c r="AK8" s="102"/>
      <c r="AL8" s="103"/>
      <c r="AN8" s="79" t="s">
        <v>3</v>
      </c>
      <c r="AO8" s="79" t="s">
        <v>4</v>
      </c>
      <c r="AP8" s="79" t="s">
        <v>5</v>
      </c>
      <c r="AY8" s="79" t="s">
        <v>3</v>
      </c>
      <c r="AZ8" s="79" t="s">
        <v>4</v>
      </c>
      <c r="BA8" s="79" t="s">
        <v>5</v>
      </c>
    </row>
    <row r="9" spans="1:57" s="3" customFormat="1" ht="72" customHeight="1" x14ac:dyDescent="0.2">
      <c r="A9" s="85"/>
      <c r="B9" s="89"/>
      <c r="C9" s="90"/>
      <c r="D9" s="88"/>
      <c r="E9" s="91"/>
      <c r="F9" s="87"/>
      <c r="G9" s="88"/>
      <c r="H9" s="88"/>
      <c r="I9" s="88"/>
      <c r="J9" s="88"/>
      <c r="K9" s="85"/>
      <c r="L9" s="79"/>
      <c r="M9" s="79"/>
      <c r="N9" s="79"/>
      <c r="O9" s="79"/>
      <c r="P9" s="79"/>
      <c r="Q9" s="92"/>
      <c r="R9" s="92"/>
      <c r="S9" s="92"/>
      <c r="T9" s="92"/>
      <c r="U9" s="8" t="s">
        <v>16</v>
      </c>
      <c r="V9" s="8" t="s">
        <v>6</v>
      </c>
      <c r="W9" s="9" t="s">
        <v>7</v>
      </c>
      <c r="X9" s="8" t="s">
        <v>17</v>
      </c>
      <c r="Y9" s="8" t="s">
        <v>16</v>
      </c>
      <c r="Z9" s="8" t="s">
        <v>6</v>
      </c>
      <c r="AA9" s="9" t="s">
        <v>7</v>
      </c>
      <c r="AB9" s="8" t="s">
        <v>16</v>
      </c>
      <c r="AC9" s="8" t="s">
        <v>6</v>
      </c>
      <c r="AD9" s="9" t="s">
        <v>7</v>
      </c>
      <c r="AE9" s="8" t="s">
        <v>16</v>
      </c>
      <c r="AF9" s="8" t="s">
        <v>6</v>
      </c>
      <c r="AG9" s="9" t="s">
        <v>7</v>
      </c>
      <c r="AH9" s="104"/>
      <c r="AI9" s="105"/>
      <c r="AJ9" s="105"/>
      <c r="AK9" s="105"/>
      <c r="AL9" s="106"/>
      <c r="AN9" s="79"/>
      <c r="AO9" s="79"/>
      <c r="AP9" s="79"/>
      <c r="AY9" s="79"/>
      <c r="AZ9" s="79"/>
      <c r="BA9" s="79"/>
      <c r="BC9" s="3" t="s">
        <v>82</v>
      </c>
      <c r="BD9" s="3" t="s">
        <v>83</v>
      </c>
      <c r="BE9" s="3" t="s">
        <v>84</v>
      </c>
    </row>
    <row r="10" spans="1:57" x14ac:dyDescent="0.2">
      <c r="A10" s="13">
        <v>1</v>
      </c>
      <c r="B10" s="3">
        <v>0</v>
      </c>
      <c r="C10" s="17">
        <v>6</v>
      </c>
      <c r="D10" s="3">
        <v>4</v>
      </c>
      <c r="E10" s="18">
        <v>9</v>
      </c>
      <c r="F10" s="18">
        <v>8</v>
      </c>
      <c r="G10" s="18">
        <v>75</v>
      </c>
      <c r="H10" s="19">
        <v>2</v>
      </c>
      <c r="I10" s="18"/>
      <c r="J10" s="18"/>
      <c r="K10" s="20">
        <v>143</v>
      </c>
      <c r="L10" s="18">
        <v>267</v>
      </c>
      <c r="M10" s="18">
        <v>250</v>
      </c>
      <c r="N10" s="18">
        <v>304</v>
      </c>
      <c r="O10" s="18">
        <v>87</v>
      </c>
      <c r="P10" s="18">
        <v>243</v>
      </c>
      <c r="Q10" s="17">
        <v>1</v>
      </c>
      <c r="R10" s="17">
        <v>2</v>
      </c>
      <c r="S10" s="17">
        <v>0</v>
      </c>
      <c r="T10" s="17">
        <v>1</v>
      </c>
      <c r="U10" s="17">
        <v>1</v>
      </c>
      <c r="V10" s="3">
        <v>8</v>
      </c>
      <c r="W10" s="20">
        <v>60</v>
      </c>
      <c r="X10" s="3">
        <v>8</v>
      </c>
      <c r="Y10" s="3">
        <v>6</v>
      </c>
      <c r="Z10" s="3">
        <v>0</v>
      </c>
      <c r="AA10" s="20">
        <v>840</v>
      </c>
      <c r="AB10" s="3"/>
      <c r="AC10" s="3"/>
      <c r="AD10" s="20"/>
      <c r="AE10" s="3"/>
      <c r="AF10" s="3"/>
      <c r="AG10" s="20"/>
      <c r="AH10" s="96"/>
      <c r="AI10" s="96"/>
      <c r="AJ10" s="96"/>
      <c r="AK10" s="96"/>
      <c r="AL10" s="97"/>
      <c r="AN10" s="67">
        <f>N10-AY10</f>
        <v>-0.99397910615994078</v>
      </c>
      <c r="AO10" s="67">
        <f>O10-AZ10</f>
        <v>-7.160605134117759E-2</v>
      </c>
      <c r="AP10" s="67">
        <f>P10-BA10</f>
        <v>-0.68163796227804596</v>
      </c>
      <c r="AY10" s="67">
        <f t="shared" ref="AY10:AY40" si="0">10*(BE10-BD10*((L10/10)-(M10/10))*0.00066*(1+(0.00115*(M10/10))))</f>
        <v>304.99397910615994</v>
      </c>
      <c r="AZ10" s="67">
        <f t="shared" ref="AZ10:AZ40" si="1">((AY10/10)*100)/BC10</f>
        <v>87.071606051341178</v>
      </c>
      <c r="BA10" s="67">
        <f>(243.5*LN((AY10/10)/6.112))/(17.67-LN((AY10/10)/6.112))*10</f>
        <v>243.68163796227805</v>
      </c>
      <c r="BC10">
        <f>6.112*2.718^((17.67*(L10/10))/((L10/10)+243.5))</f>
        <v>35.027949171664794</v>
      </c>
      <c r="BD10">
        <v>1013.2</v>
      </c>
      <c r="BE10">
        <f>6.112*2.718^((17.67*(M10/10))/((M10/10)+243.5))</f>
        <v>31.668891609615997</v>
      </c>
    </row>
    <row r="11" spans="1:57" x14ac:dyDescent="0.2">
      <c r="A11" s="13">
        <v>2</v>
      </c>
      <c r="B11" s="3">
        <v>0</v>
      </c>
      <c r="C11" s="17">
        <v>3</v>
      </c>
      <c r="D11" s="3">
        <v>4</v>
      </c>
      <c r="E11" s="18">
        <v>8</v>
      </c>
      <c r="F11" s="18">
        <v>12</v>
      </c>
      <c r="G11" s="18">
        <v>78</v>
      </c>
      <c r="H11" s="19">
        <v>2</v>
      </c>
      <c r="I11" s="18"/>
      <c r="J11" s="18"/>
      <c r="K11" s="20">
        <v>137</v>
      </c>
      <c r="L11" s="18">
        <v>267</v>
      </c>
      <c r="M11" s="18">
        <v>245</v>
      </c>
      <c r="N11" s="18">
        <v>290</v>
      </c>
      <c r="O11" s="18">
        <v>83</v>
      </c>
      <c r="P11" s="18">
        <v>235</v>
      </c>
      <c r="Q11" s="17">
        <v>2</v>
      </c>
      <c r="R11" s="17">
        <v>2</v>
      </c>
      <c r="S11" s="17">
        <v>0</v>
      </c>
      <c r="T11" s="17">
        <v>1</v>
      </c>
      <c r="U11" s="17">
        <v>2</v>
      </c>
      <c r="V11" s="3">
        <v>8</v>
      </c>
      <c r="W11" s="20">
        <v>60</v>
      </c>
      <c r="X11" s="3">
        <v>8</v>
      </c>
      <c r="Y11" s="3"/>
      <c r="Z11" s="3"/>
      <c r="AA11" s="20"/>
      <c r="AB11" s="3"/>
      <c r="AC11" s="3"/>
      <c r="AD11" s="20"/>
      <c r="AE11" s="3"/>
      <c r="AF11" s="3"/>
      <c r="AG11" s="20"/>
      <c r="AH11" s="107"/>
      <c r="AI11" s="107"/>
      <c r="AJ11" s="107"/>
      <c r="AK11" s="107"/>
      <c r="AL11" s="108"/>
      <c r="AN11" s="67">
        <f t="shared" ref="AN11:AP39" si="2">N11-AY11</f>
        <v>-2.2358132260706611</v>
      </c>
      <c r="AO11" s="67">
        <f t="shared" si="2"/>
        <v>-0.42932433579908036</v>
      </c>
      <c r="AP11" s="67">
        <f t="shared" si="2"/>
        <v>-1.5744839872939735</v>
      </c>
      <c r="AY11" s="67">
        <f t="shared" si="0"/>
        <v>292.23581322607066</v>
      </c>
      <c r="AZ11" s="67">
        <f t="shared" si="1"/>
        <v>83.42932433579908</v>
      </c>
      <c r="BA11" s="67">
        <f t="shared" ref="BA11:BA40" si="3">(243.5*LN((AY11/10)/6.112))/(17.67-LN((AY11/10)/6.112))*10</f>
        <v>236.57448398729397</v>
      </c>
      <c r="BC11">
        <f t="shared" ref="BC11:BC40" si="4">6.112*2.718^((17.67*(L11/10))/((L11/10)+243.5))</f>
        <v>35.027949171664794</v>
      </c>
      <c r="BD11">
        <v>1013.2</v>
      </c>
      <c r="BE11">
        <f t="shared" ref="BE11:BE40" si="5">6.112*2.718^((17.67*(M11/10))/((M11/10)+243.5))</f>
        <v>30.736197835927069</v>
      </c>
    </row>
    <row r="12" spans="1:57" x14ac:dyDescent="0.2">
      <c r="A12" s="13">
        <v>3</v>
      </c>
      <c r="B12" s="3">
        <v>0</v>
      </c>
      <c r="C12" s="17">
        <v>2</v>
      </c>
      <c r="D12" s="3">
        <v>4</v>
      </c>
      <c r="E12" s="18">
        <v>10</v>
      </c>
      <c r="F12" s="18">
        <v>6</v>
      </c>
      <c r="G12" s="18">
        <v>74</v>
      </c>
      <c r="H12" s="19">
        <v>1</v>
      </c>
      <c r="I12" s="18">
        <v>6</v>
      </c>
      <c r="J12" s="18">
        <v>0</v>
      </c>
      <c r="K12" s="20">
        <v>127</v>
      </c>
      <c r="L12" s="18">
        <v>267</v>
      </c>
      <c r="M12" s="18">
        <v>248</v>
      </c>
      <c r="N12" s="18">
        <v>299</v>
      </c>
      <c r="O12" s="18">
        <v>85</v>
      </c>
      <c r="P12" s="18">
        <v>240</v>
      </c>
      <c r="Q12" s="17">
        <v>2</v>
      </c>
      <c r="R12" s="17">
        <v>2</v>
      </c>
      <c r="S12" s="17">
        <v>0</v>
      </c>
      <c r="T12" s="17">
        <v>1</v>
      </c>
      <c r="U12" s="17">
        <v>2</v>
      </c>
      <c r="V12" s="3">
        <v>8</v>
      </c>
      <c r="W12" s="20">
        <v>54</v>
      </c>
      <c r="X12" s="3">
        <v>8</v>
      </c>
      <c r="Y12" s="3"/>
      <c r="Z12" s="3"/>
      <c r="AA12" s="20"/>
      <c r="AB12" s="3"/>
      <c r="AC12" s="3"/>
      <c r="AD12" s="20"/>
      <c r="AE12" s="3"/>
      <c r="AF12" s="3"/>
      <c r="AG12" s="20"/>
      <c r="AH12" s="107" t="s">
        <v>85</v>
      </c>
      <c r="AI12" s="107"/>
      <c r="AJ12" s="107"/>
      <c r="AK12" s="107"/>
      <c r="AL12" s="108"/>
      <c r="AN12" s="67">
        <f t="shared" si="2"/>
        <v>-0.86094439948510626</v>
      </c>
      <c r="AO12" s="67">
        <f t="shared" si="2"/>
        <v>-0.60619490736614523</v>
      </c>
      <c r="AP12" s="67">
        <f t="shared" si="2"/>
        <v>-0.85408066088760393</v>
      </c>
      <c r="AY12" s="67">
        <f t="shared" si="0"/>
        <v>299.86094439948511</v>
      </c>
      <c r="AZ12" s="67">
        <f t="shared" si="1"/>
        <v>85.606194907366145</v>
      </c>
      <c r="BA12" s="67">
        <f t="shared" si="3"/>
        <v>240.8540806608876</v>
      </c>
      <c r="BC12">
        <f t="shared" si="4"/>
        <v>35.027949171664794</v>
      </c>
      <c r="BD12">
        <v>1013.2</v>
      </c>
      <c r="BE12">
        <f t="shared" si="5"/>
        <v>31.29288340580451</v>
      </c>
    </row>
    <row r="13" spans="1:57" x14ac:dyDescent="0.2">
      <c r="A13" s="13">
        <v>4</v>
      </c>
      <c r="B13" s="3">
        <v>0</v>
      </c>
      <c r="C13" s="17">
        <v>1</v>
      </c>
      <c r="D13" s="3">
        <v>4</v>
      </c>
      <c r="E13" s="18">
        <v>6</v>
      </c>
      <c r="F13" s="18">
        <v>5</v>
      </c>
      <c r="G13" s="18">
        <v>75</v>
      </c>
      <c r="H13" s="19">
        <v>2</v>
      </c>
      <c r="I13" s="18"/>
      <c r="J13" s="18"/>
      <c r="K13" s="20">
        <v>137</v>
      </c>
      <c r="L13" s="18">
        <v>262</v>
      </c>
      <c r="M13" s="18">
        <v>240</v>
      </c>
      <c r="N13" s="18">
        <v>281</v>
      </c>
      <c r="O13" s="18">
        <v>83</v>
      </c>
      <c r="P13" s="18">
        <v>230</v>
      </c>
      <c r="Q13" s="17">
        <v>1</v>
      </c>
      <c r="R13" s="17">
        <v>2</v>
      </c>
      <c r="S13" s="17">
        <v>0</v>
      </c>
      <c r="T13" s="17">
        <v>0</v>
      </c>
      <c r="U13" s="17">
        <v>1</v>
      </c>
      <c r="V13" s="3">
        <v>8</v>
      </c>
      <c r="W13" s="20">
        <v>63</v>
      </c>
      <c r="X13" s="3">
        <v>8</v>
      </c>
      <c r="Y13" s="3"/>
      <c r="Z13" s="3"/>
      <c r="AA13" s="20"/>
      <c r="AB13" s="3"/>
      <c r="AC13" s="3"/>
      <c r="AD13" s="20"/>
      <c r="AE13" s="3"/>
      <c r="AF13" s="3"/>
      <c r="AG13" s="20"/>
      <c r="AH13" s="107"/>
      <c r="AI13" s="107"/>
      <c r="AJ13" s="107"/>
      <c r="AK13" s="107"/>
      <c r="AL13" s="108"/>
      <c r="AN13" s="67">
        <f t="shared" si="2"/>
        <v>-2.1586912166206389</v>
      </c>
      <c r="AO13" s="67">
        <f t="shared" si="2"/>
        <v>-0.2597120434179061</v>
      </c>
      <c r="AP13" s="67">
        <f t="shared" si="2"/>
        <v>-1.3505520676229139</v>
      </c>
      <c r="AY13" s="67">
        <f t="shared" si="0"/>
        <v>283.15869121662064</v>
      </c>
      <c r="AZ13" s="67">
        <f t="shared" si="1"/>
        <v>83.259712043417906</v>
      </c>
      <c r="BA13" s="67">
        <f t="shared" si="3"/>
        <v>231.35055206762291</v>
      </c>
      <c r="BC13">
        <f t="shared" si="4"/>
        <v>34.009088461531107</v>
      </c>
      <c r="BD13">
        <v>1013.2</v>
      </c>
      <c r="BE13">
        <f t="shared" si="5"/>
        <v>29.827639714302066</v>
      </c>
    </row>
    <row r="14" spans="1:57" x14ac:dyDescent="0.2">
      <c r="A14" s="13">
        <v>5</v>
      </c>
      <c r="B14" s="3">
        <v>0</v>
      </c>
      <c r="C14" s="17">
        <v>3</v>
      </c>
      <c r="D14" s="3">
        <v>4</v>
      </c>
      <c r="E14" s="18">
        <v>8</v>
      </c>
      <c r="F14" s="18">
        <v>7</v>
      </c>
      <c r="G14" s="18">
        <v>80</v>
      </c>
      <c r="H14" s="19">
        <v>2</v>
      </c>
      <c r="I14" s="18"/>
      <c r="J14" s="18"/>
      <c r="K14" s="20">
        <v>148</v>
      </c>
      <c r="L14" s="18">
        <v>268</v>
      </c>
      <c r="M14" s="18">
        <v>245</v>
      </c>
      <c r="N14" s="18">
        <v>290</v>
      </c>
      <c r="O14" s="18">
        <v>82</v>
      </c>
      <c r="P14" s="18">
        <v>235</v>
      </c>
      <c r="Q14" s="17">
        <v>3</v>
      </c>
      <c r="R14" s="17">
        <v>2</v>
      </c>
      <c r="S14" s="17">
        <v>0</v>
      </c>
      <c r="T14" s="17">
        <v>1</v>
      </c>
      <c r="U14" s="17">
        <v>3</v>
      </c>
      <c r="V14" s="3">
        <v>8</v>
      </c>
      <c r="W14" s="20">
        <v>60</v>
      </c>
      <c r="X14" s="3">
        <v>8</v>
      </c>
      <c r="Y14" s="3"/>
      <c r="Z14" s="3"/>
      <c r="AA14" s="20"/>
      <c r="AB14" s="3"/>
      <c r="AC14" s="3"/>
      <c r="AD14" s="20"/>
      <c r="AE14" s="3"/>
      <c r="AF14" s="3"/>
      <c r="AG14" s="20"/>
      <c r="AH14" s="107"/>
      <c r="AI14" s="107"/>
      <c r="AJ14" s="107"/>
      <c r="AK14" s="107"/>
      <c r="AL14" s="108"/>
      <c r="AN14" s="67">
        <f t="shared" si="2"/>
        <v>-1.5482602654706739</v>
      </c>
      <c r="AO14" s="67">
        <f t="shared" si="2"/>
        <v>-0.74418656868023447</v>
      </c>
      <c r="AP14" s="67">
        <f t="shared" si="2"/>
        <v>-1.1838053580768531</v>
      </c>
      <c r="AY14" s="67">
        <f t="shared" si="0"/>
        <v>291.54826026547067</v>
      </c>
      <c r="AZ14" s="67">
        <f t="shared" si="1"/>
        <v>82.744186568680234</v>
      </c>
      <c r="BA14" s="67">
        <f t="shared" si="3"/>
        <v>236.18380535807685</v>
      </c>
      <c r="BC14">
        <f t="shared" si="4"/>
        <v>35.234893514056914</v>
      </c>
      <c r="BD14">
        <v>1013.2</v>
      </c>
      <c r="BE14">
        <f t="shared" si="5"/>
        <v>30.736197835927069</v>
      </c>
    </row>
    <row r="15" spans="1:57" x14ac:dyDescent="0.2">
      <c r="A15" s="13">
        <v>6</v>
      </c>
      <c r="B15" s="3">
        <v>0</v>
      </c>
      <c r="C15" s="17">
        <v>1</v>
      </c>
      <c r="D15" s="3">
        <v>4</v>
      </c>
      <c r="E15" s="18">
        <v>10</v>
      </c>
      <c r="F15" s="18">
        <v>15</v>
      </c>
      <c r="G15" s="18">
        <v>78</v>
      </c>
      <c r="H15" s="19">
        <v>2</v>
      </c>
      <c r="I15" s="18"/>
      <c r="J15" s="18"/>
      <c r="K15" s="20">
        <v>146</v>
      </c>
      <c r="L15" s="18">
        <v>269</v>
      </c>
      <c r="M15" s="18">
        <v>249</v>
      </c>
      <c r="N15" s="18">
        <v>299</v>
      </c>
      <c r="O15" s="18">
        <v>84</v>
      </c>
      <c r="P15" s="18">
        <v>240</v>
      </c>
      <c r="Q15" s="17">
        <v>1</v>
      </c>
      <c r="R15" s="17">
        <v>2</v>
      </c>
      <c r="S15" s="17">
        <v>0</v>
      </c>
      <c r="T15" s="17">
        <v>0</v>
      </c>
      <c r="U15" s="17">
        <v>1</v>
      </c>
      <c r="V15" s="3">
        <v>8</v>
      </c>
      <c r="W15" s="20">
        <v>66</v>
      </c>
      <c r="X15" s="3">
        <v>8</v>
      </c>
      <c r="Y15" s="3"/>
      <c r="Z15" s="3"/>
      <c r="AA15" s="20"/>
      <c r="AB15" s="3"/>
      <c r="AC15" s="3"/>
      <c r="AD15" s="20"/>
      <c r="AE15" s="3"/>
      <c r="AF15" s="3"/>
      <c r="AG15" s="20"/>
      <c r="AH15" s="107"/>
      <c r="AI15" s="107"/>
      <c r="AJ15" s="107"/>
      <c r="AK15" s="107"/>
      <c r="AL15" s="108"/>
      <c r="AN15" s="67">
        <f t="shared" si="2"/>
        <v>-2.0467503139395831</v>
      </c>
      <c r="AO15" s="67">
        <f t="shared" si="2"/>
        <v>-0.93850640810531161</v>
      </c>
      <c r="AP15" s="67">
        <f t="shared" si="2"/>
        <v>-1.5110307194237578</v>
      </c>
      <c r="AY15" s="67">
        <f t="shared" si="0"/>
        <v>301.04675031393958</v>
      </c>
      <c r="AZ15" s="67">
        <f t="shared" si="1"/>
        <v>84.938506408105312</v>
      </c>
      <c r="BA15" s="67">
        <f t="shared" si="3"/>
        <v>241.51103071942376</v>
      </c>
      <c r="BC15">
        <f t="shared" si="4"/>
        <v>35.442906055764126</v>
      </c>
      <c r="BD15">
        <v>1013.2</v>
      </c>
      <c r="BE15">
        <f t="shared" si="5"/>
        <v>31.480396167633955</v>
      </c>
    </row>
    <row r="16" spans="1:57" x14ac:dyDescent="0.2">
      <c r="A16" s="13">
        <v>7</v>
      </c>
      <c r="B16" s="3">
        <v>0</v>
      </c>
      <c r="C16" s="17">
        <v>1</v>
      </c>
      <c r="D16" s="3">
        <v>4</v>
      </c>
      <c r="E16" s="18">
        <v>9</v>
      </c>
      <c r="F16" s="18">
        <v>12</v>
      </c>
      <c r="G16" s="18">
        <v>80</v>
      </c>
      <c r="H16" s="19">
        <v>2</v>
      </c>
      <c r="I16" s="18"/>
      <c r="J16" s="18"/>
      <c r="K16" s="20">
        <v>130</v>
      </c>
      <c r="L16" s="18">
        <v>265</v>
      </c>
      <c r="M16" s="18">
        <v>245</v>
      </c>
      <c r="N16" s="18">
        <v>291</v>
      </c>
      <c r="O16" s="18">
        <v>84</v>
      </c>
      <c r="P16" s="18">
        <v>236</v>
      </c>
      <c r="Q16" s="17">
        <v>1</v>
      </c>
      <c r="R16" s="17">
        <v>1</v>
      </c>
      <c r="S16" s="17">
        <v>0</v>
      </c>
      <c r="T16" s="17">
        <v>1</v>
      </c>
      <c r="U16" s="17">
        <v>1</v>
      </c>
      <c r="V16" s="3">
        <v>8</v>
      </c>
      <c r="W16" s="20">
        <v>66</v>
      </c>
      <c r="X16" s="3">
        <v>8</v>
      </c>
      <c r="Y16" s="3"/>
      <c r="Z16" s="3"/>
      <c r="AA16" s="20"/>
      <c r="AB16" s="3"/>
      <c r="AC16" s="3"/>
      <c r="AD16" s="20"/>
      <c r="AE16" s="3"/>
      <c r="AF16" s="3"/>
      <c r="AG16" s="20"/>
      <c r="AH16" s="107"/>
      <c r="AI16" s="107"/>
      <c r="AJ16" s="107"/>
      <c r="AK16" s="107"/>
      <c r="AL16" s="108"/>
      <c r="AN16" s="67">
        <f t="shared" si="2"/>
        <v>-2.6109191472706925</v>
      </c>
      <c r="AO16" s="67">
        <f t="shared" si="2"/>
        <v>-0.81637005629677617</v>
      </c>
      <c r="AP16" s="67">
        <f t="shared" si="2"/>
        <v>-1.3534322275399404</v>
      </c>
      <c r="AY16" s="67">
        <f t="shared" si="0"/>
        <v>293.61091914727069</v>
      </c>
      <c r="AZ16" s="67">
        <f t="shared" si="1"/>
        <v>84.816370056296776</v>
      </c>
      <c r="BA16" s="67">
        <f t="shared" si="3"/>
        <v>237.35343222753994</v>
      </c>
      <c r="BC16">
        <f t="shared" si="4"/>
        <v>34.617246523564582</v>
      </c>
      <c r="BD16">
        <v>1013.2</v>
      </c>
      <c r="BE16">
        <f t="shared" si="5"/>
        <v>30.736197835927069</v>
      </c>
    </row>
    <row r="17" spans="1:57" x14ac:dyDescent="0.2">
      <c r="A17" s="13">
        <v>8</v>
      </c>
      <c r="B17" s="3">
        <v>0</v>
      </c>
      <c r="C17" s="17">
        <v>3</v>
      </c>
      <c r="D17" s="3">
        <v>4</v>
      </c>
      <c r="E17" s="18">
        <v>9</v>
      </c>
      <c r="F17" s="18">
        <v>10</v>
      </c>
      <c r="G17" s="18">
        <v>73</v>
      </c>
      <c r="H17" s="19">
        <v>1</v>
      </c>
      <c r="I17" s="18">
        <v>6</v>
      </c>
      <c r="J17" s="18">
        <v>0</v>
      </c>
      <c r="K17" s="20">
        <v>119</v>
      </c>
      <c r="L17" s="18">
        <v>267</v>
      </c>
      <c r="M17" s="18">
        <v>242</v>
      </c>
      <c r="N17" s="18">
        <v>283</v>
      </c>
      <c r="O17" s="18">
        <v>81</v>
      </c>
      <c r="P17" s="18">
        <v>231</v>
      </c>
      <c r="Q17" s="17">
        <v>3</v>
      </c>
      <c r="R17" s="17">
        <v>1</v>
      </c>
      <c r="S17" s="17">
        <v>0</v>
      </c>
      <c r="T17" s="17">
        <v>1</v>
      </c>
      <c r="U17" s="17">
        <v>3</v>
      </c>
      <c r="V17" s="3">
        <v>8</v>
      </c>
      <c r="W17" s="20">
        <v>60</v>
      </c>
      <c r="X17" s="3">
        <v>8</v>
      </c>
      <c r="Y17" s="3"/>
      <c r="Z17" s="3"/>
      <c r="AA17" s="20"/>
      <c r="AB17" s="3"/>
      <c r="AC17" s="3"/>
      <c r="AD17" s="20"/>
      <c r="AE17" s="3"/>
      <c r="AF17" s="3"/>
      <c r="AG17" s="20"/>
      <c r="AH17" s="107" t="s">
        <v>85</v>
      </c>
      <c r="AI17" s="107"/>
      <c r="AJ17" s="107"/>
      <c r="AK17" s="107"/>
      <c r="AL17" s="108"/>
      <c r="AN17" s="67">
        <f t="shared" si="2"/>
        <v>-1.6989527994078344</v>
      </c>
      <c r="AO17" s="67">
        <f t="shared" si="2"/>
        <v>-0.27765385411423438</v>
      </c>
      <c r="AP17" s="67">
        <f t="shared" si="2"/>
        <v>-1.2472188274429072</v>
      </c>
      <c r="AY17" s="67">
        <f t="shared" si="0"/>
        <v>284.69895279940783</v>
      </c>
      <c r="AZ17" s="67">
        <f t="shared" si="1"/>
        <v>81.277653854114234</v>
      </c>
      <c r="BA17" s="67">
        <f t="shared" si="3"/>
        <v>232.24721882744291</v>
      </c>
      <c r="BC17">
        <f t="shared" si="4"/>
        <v>35.027949171664794</v>
      </c>
      <c r="BD17">
        <v>1013.2</v>
      </c>
      <c r="BE17">
        <f t="shared" si="5"/>
        <v>30.188200917340787</v>
      </c>
    </row>
    <row r="18" spans="1:57" x14ac:dyDescent="0.2">
      <c r="A18" s="13">
        <v>9</v>
      </c>
      <c r="B18" s="3">
        <v>0</v>
      </c>
      <c r="C18" s="17">
        <v>1</v>
      </c>
      <c r="D18" s="3">
        <v>4</v>
      </c>
      <c r="E18" s="18">
        <v>11</v>
      </c>
      <c r="F18" s="18">
        <v>15</v>
      </c>
      <c r="G18" s="18">
        <v>72</v>
      </c>
      <c r="H18" s="19">
        <v>1</v>
      </c>
      <c r="I18" s="18">
        <v>5</v>
      </c>
      <c r="J18" s="18">
        <v>0</v>
      </c>
      <c r="K18" s="20">
        <v>123</v>
      </c>
      <c r="L18" s="18">
        <v>270</v>
      </c>
      <c r="M18" s="18">
        <v>247</v>
      </c>
      <c r="N18" s="18">
        <v>293</v>
      </c>
      <c r="O18" s="18">
        <v>82</v>
      </c>
      <c r="P18" s="18">
        <v>237</v>
      </c>
      <c r="Q18" s="17">
        <v>1</v>
      </c>
      <c r="R18" s="17">
        <v>2</v>
      </c>
      <c r="S18" s="17">
        <v>0</v>
      </c>
      <c r="T18" s="17">
        <v>0</v>
      </c>
      <c r="U18" s="17">
        <v>1</v>
      </c>
      <c r="V18" s="3">
        <v>8</v>
      </c>
      <c r="W18" s="20">
        <v>60</v>
      </c>
      <c r="X18" s="3">
        <v>8</v>
      </c>
      <c r="Y18" s="3"/>
      <c r="Z18" s="3"/>
      <c r="AA18" s="20"/>
      <c r="AB18" s="3"/>
      <c r="AC18" s="3"/>
      <c r="AD18" s="20"/>
      <c r="AE18" s="3"/>
      <c r="AF18" s="3"/>
      <c r="AG18" s="20"/>
      <c r="AH18" s="107" t="s">
        <v>85</v>
      </c>
      <c r="AI18" s="107"/>
      <c r="AJ18" s="107"/>
      <c r="AK18" s="107"/>
      <c r="AL18" s="108"/>
      <c r="AN18" s="67">
        <f t="shared" si="2"/>
        <v>-2.2462342187101854</v>
      </c>
      <c r="AO18" s="67">
        <f t="shared" si="2"/>
        <v>-0.81339194531973646</v>
      </c>
      <c r="AP18" s="67">
        <f t="shared" si="2"/>
        <v>-1.2756313741485314</v>
      </c>
      <c r="AY18" s="67">
        <f t="shared" si="0"/>
        <v>295.24623421871019</v>
      </c>
      <c r="AZ18" s="67">
        <f t="shared" si="1"/>
        <v>82.813391945319736</v>
      </c>
      <c r="BA18" s="67">
        <f t="shared" si="3"/>
        <v>238.27563137414853</v>
      </c>
      <c r="BC18">
        <f t="shared" si="4"/>
        <v>35.651991457330503</v>
      </c>
      <c r="BD18">
        <v>1013.2</v>
      </c>
      <c r="BE18">
        <f t="shared" si="5"/>
        <v>31.106348979899021</v>
      </c>
    </row>
    <row r="19" spans="1:57" x14ac:dyDescent="0.2">
      <c r="A19" s="13">
        <v>10</v>
      </c>
      <c r="B19" s="3">
        <v>0</v>
      </c>
      <c r="C19" s="17">
        <v>2</v>
      </c>
      <c r="D19" s="3">
        <v>4</v>
      </c>
      <c r="E19" s="18">
        <v>8</v>
      </c>
      <c r="F19" s="18">
        <v>11</v>
      </c>
      <c r="G19" s="18">
        <v>78</v>
      </c>
      <c r="H19" s="19">
        <v>2</v>
      </c>
      <c r="I19" s="18"/>
      <c r="J19" s="18"/>
      <c r="K19" s="20">
        <v>127</v>
      </c>
      <c r="L19" s="18">
        <v>267</v>
      </c>
      <c r="M19" s="18">
        <v>248</v>
      </c>
      <c r="N19" s="18">
        <v>299</v>
      </c>
      <c r="O19" s="18">
        <v>85</v>
      </c>
      <c r="P19" s="18">
        <v>240</v>
      </c>
      <c r="Q19" s="17">
        <v>1</v>
      </c>
      <c r="R19" s="17">
        <v>2</v>
      </c>
      <c r="S19" s="17">
        <v>0</v>
      </c>
      <c r="T19" s="17">
        <v>1</v>
      </c>
      <c r="U19" s="17">
        <v>1</v>
      </c>
      <c r="V19" s="3">
        <v>8</v>
      </c>
      <c r="W19" s="20">
        <v>66</v>
      </c>
      <c r="X19" s="17">
        <v>8</v>
      </c>
      <c r="Y19" s="3"/>
      <c r="Z19" s="3"/>
      <c r="AA19" s="20"/>
      <c r="AB19" s="3"/>
      <c r="AC19" s="3"/>
      <c r="AD19" s="20"/>
      <c r="AE19" s="3"/>
      <c r="AF19" s="3"/>
      <c r="AG19" s="20"/>
      <c r="AH19" s="107"/>
      <c r="AI19" s="107"/>
      <c r="AJ19" s="107"/>
      <c r="AK19" s="107"/>
      <c r="AL19" s="108"/>
      <c r="AN19" s="67">
        <f t="shared" si="2"/>
        <v>-0.86094439948510626</v>
      </c>
      <c r="AO19" s="67">
        <f t="shared" si="2"/>
        <v>-0.60619490736614523</v>
      </c>
      <c r="AP19" s="67">
        <f t="shared" si="2"/>
        <v>-0.85408066088760393</v>
      </c>
      <c r="AY19" s="67">
        <f t="shared" si="0"/>
        <v>299.86094439948511</v>
      </c>
      <c r="AZ19" s="67">
        <f t="shared" si="1"/>
        <v>85.606194907366145</v>
      </c>
      <c r="BA19" s="67">
        <f t="shared" si="3"/>
        <v>240.8540806608876</v>
      </c>
      <c r="BC19">
        <f t="shared" si="4"/>
        <v>35.027949171664794</v>
      </c>
      <c r="BD19">
        <v>1013.2</v>
      </c>
      <c r="BE19">
        <f t="shared" si="5"/>
        <v>31.29288340580451</v>
      </c>
    </row>
    <row r="20" spans="1:57" x14ac:dyDescent="0.2">
      <c r="A20" s="13">
        <v>11</v>
      </c>
      <c r="B20" s="3">
        <v>0</v>
      </c>
      <c r="C20" s="17">
        <v>3</v>
      </c>
      <c r="D20" s="3">
        <v>4</v>
      </c>
      <c r="E20" s="18">
        <v>8</v>
      </c>
      <c r="F20" s="18">
        <v>5</v>
      </c>
      <c r="G20" s="18">
        <v>78</v>
      </c>
      <c r="H20" s="19">
        <v>2</v>
      </c>
      <c r="I20" s="18"/>
      <c r="J20" s="18"/>
      <c r="K20" s="20">
        <v>102</v>
      </c>
      <c r="L20" s="18">
        <v>261</v>
      </c>
      <c r="M20" s="18">
        <v>242</v>
      </c>
      <c r="N20" s="18">
        <v>286</v>
      </c>
      <c r="O20" s="18">
        <v>84</v>
      </c>
      <c r="P20" s="18">
        <v>233</v>
      </c>
      <c r="Q20" s="17">
        <v>1</v>
      </c>
      <c r="R20" s="17">
        <v>2</v>
      </c>
      <c r="S20" s="17">
        <v>0</v>
      </c>
      <c r="T20" s="17">
        <v>1</v>
      </c>
      <c r="U20" s="17">
        <v>1</v>
      </c>
      <c r="V20" s="3">
        <v>8</v>
      </c>
      <c r="W20" s="20">
        <v>63</v>
      </c>
      <c r="X20" s="17">
        <v>8</v>
      </c>
      <c r="Y20" s="3"/>
      <c r="Z20" s="3"/>
      <c r="AA20" s="20"/>
      <c r="AB20" s="3"/>
      <c r="AC20" s="3"/>
      <c r="AD20" s="20"/>
      <c r="AE20" s="3"/>
      <c r="AF20" s="3"/>
      <c r="AG20" s="20"/>
      <c r="AH20" s="107"/>
      <c r="AI20" s="107"/>
      <c r="AJ20" s="107"/>
      <c r="AK20" s="107"/>
      <c r="AL20" s="108"/>
      <c r="AN20" s="67">
        <f t="shared" si="2"/>
        <v>-2.8228863291678863</v>
      </c>
      <c r="AO20" s="67">
        <f t="shared" si="2"/>
        <v>-1.4291847460726643</v>
      </c>
      <c r="AP20" s="67">
        <f t="shared" si="2"/>
        <v>-1.6272221063975962</v>
      </c>
      <c r="AY20" s="67">
        <f t="shared" si="0"/>
        <v>288.82288632916789</v>
      </c>
      <c r="AZ20" s="67">
        <f t="shared" si="1"/>
        <v>85.429184746072664</v>
      </c>
      <c r="BA20" s="67">
        <f t="shared" si="3"/>
        <v>234.6272221063976</v>
      </c>
      <c r="BC20">
        <f t="shared" si="4"/>
        <v>33.808456347518359</v>
      </c>
      <c r="BD20">
        <v>1013.2</v>
      </c>
      <c r="BE20">
        <f t="shared" si="5"/>
        <v>30.188200917340787</v>
      </c>
    </row>
    <row r="21" spans="1:57" x14ac:dyDescent="0.2">
      <c r="A21" s="13">
        <v>12</v>
      </c>
      <c r="B21" s="3">
        <v>0</v>
      </c>
      <c r="C21" s="17">
        <v>3</v>
      </c>
      <c r="D21" s="3">
        <v>4</v>
      </c>
      <c r="E21" s="18">
        <v>0</v>
      </c>
      <c r="F21" s="18">
        <v>0</v>
      </c>
      <c r="G21" s="18">
        <v>72</v>
      </c>
      <c r="H21" s="19">
        <v>1</v>
      </c>
      <c r="I21" s="18">
        <v>5</v>
      </c>
      <c r="J21" s="18">
        <v>0</v>
      </c>
      <c r="K21" s="20">
        <v>113</v>
      </c>
      <c r="L21" s="18">
        <v>248</v>
      </c>
      <c r="M21" s="18">
        <v>232</v>
      </c>
      <c r="N21" s="18">
        <v>271</v>
      </c>
      <c r="O21" s="18">
        <v>87</v>
      </c>
      <c r="P21" s="18">
        <v>224</v>
      </c>
      <c r="Q21" s="17">
        <v>1</v>
      </c>
      <c r="R21" s="17">
        <v>2</v>
      </c>
      <c r="S21" s="17">
        <v>0</v>
      </c>
      <c r="T21" s="17">
        <v>2</v>
      </c>
      <c r="U21" s="17">
        <v>1</v>
      </c>
      <c r="V21" s="3">
        <v>8</v>
      </c>
      <c r="W21" s="20">
        <v>60</v>
      </c>
      <c r="X21" s="17">
        <v>8</v>
      </c>
      <c r="Y21" s="17">
        <v>3</v>
      </c>
      <c r="Z21" s="17">
        <v>0</v>
      </c>
      <c r="AA21" s="20">
        <v>870</v>
      </c>
      <c r="AB21" s="3"/>
      <c r="AC21" s="3"/>
      <c r="AD21" s="20"/>
      <c r="AE21" s="3"/>
      <c r="AF21" s="3"/>
      <c r="AG21" s="20"/>
      <c r="AH21" s="107" t="s">
        <v>85</v>
      </c>
      <c r="AI21" s="107"/>
      <c r="AJ21" s="107"/>
      <c r="AK21" s="107"/>
      <c r="AL21" s="108"/>
      <c r="AN21" s="67">
        <f t="shared" si="2"/>
        <v>-2.2434045316840638</v>
      </c>
      <c r="AO21" s="67">
        <f t="shared" si="2"/>
        <v>-0.31806557685260373</v>
      </c>
      <c r="AP21" s="67">
        <f t="shared" si="2"/>
        <v>-1.4738561403579524</v>
      </c>
      <c r="AY21" s="67">
        <f t="shared" si="0"/>
        <v>273.24340453168406</v>
      </c>
      <c r="AZ21" s="67">
        <f t="shared" si="1"/>
        <v>87.318065576852604</v>
      </c>
      <c r="BA21" s="67">
        <f t="shared" si="3"/>
        <v>225.47385614035795</v>
      </c>
      <c r="BC21">
        <f t="shared" si="4"/>
        <v>31.29288340580451</v>
      </c>
      <c r="BD21">
        <v>1013.2</v>
      </c>
      <c r="BE21">
        <f t="shared" si="5"/>
        <v>28.422825631024409</v>
      </c>
    </row>
    <row r="22" spans="1:57" x14ac:dyDescent="0.2">
      <c r="A22" s="13">
        <v>13</v>
      </c>
      <c r="B22" s="3">
        <v>0</v>
      </c>
      <c r="C22" s="17">
        <v>6</v>
      </c>
      <c r="D22" s="3">
        <v>4</v>
      </c>
      <c r="E22" s="18">
        <v>0</v>
      </c>
      <c r="F22" s="18">
        <v>0</v>
      </c>
      <c r="G22" s="18">
        <v>75</v>
      </c>
      <c r="H22" s="19">
        <v>2</v>
      </c>
      <c r="I22" s="18"/>
      <c r="J22" s="18"/>
      <c r="K22" s="20">
        <v>126</v>
      </c>
      <c r="L22" s="18">
        <v>263</v>
      </c>
      <c r="M22" s="18">
        <v>232</v>
      </c>
      <c r="N22" s="18">
        <v>260</v>
      </c>
      <c r="O22" s="18">
        <v>76</v>
      </c>
      <c r="P22" s="18">
        <v>217</v>
      </c>
      <c r="Q22" s="17">
        <v>2</v>
      </c>
      <c r="R22" s="17">
        <v>2</v>
      </c>
      <c r="S22" s="17">
        <v>0</v>
      </c>
      <c r="T22" s="17">
        <v>2</v>
      </c>
      <c r="U22" s="17">
        <v>2</v>
      </c>
      <c r="V22" s="3">
        <v>8</v>
      </c>
      <c r="W22" s="20">
        <v>63</v>
      </c>
      <c r="X22" s="17">
        <v>8</v>
      </c>
      <c r="Y22" s="17">
        <v>6</v>
      </c>
      <c r="Z22" s="17">
        <v>0</v>
      </c>
      <c r="AA22" s="20">
        <v>840</v>
      </c>
      <c r="AB22" s="3"/>
      <c r="AC22" s="3"/>
      <c r="AD22" s="20"/>
      <c r="AE22" s="3"/>
      <c r="AF22" s="3"/>
      <c r="AG22" s="20"/>
      <c r="AH22" s="107"/>
      <c r="AI22" s="107"/>
      <c r="AJ22" s="107"/>
      <c r="AK22" s="107"/>
      <c r="AL22" s="108"/>
      <c r="AN22" s="67">
        <f t="shared" si="2"/>
        <v>-2.945105989284059</v>
      </c>
      <c r="AO22" s="67">
        <f t="shared" si="2"/>
        <v>-0.86034953584481855</v>
      </c>
      <c r="AP22" s="67">
        <f t="shared" si="2"/>
        <v>-2.1688804889277549</v>
      </c>
      <c r="AY22" s="67">
        <f t="shared" si="0"/>
        <v>262.94510598928406</v>
      </c>
      <c r="AZ22" s="67">
        <f t="shared" si="1"/>
        <v>76.860349535844819</v>
      </c>
      <c r="BA22" s="67">
        <f t="shared" si="3"/>
        <v>219.16888048892775</v>
      </c>
      <c r="BC22">
        <f t="shared" si="4"/>
        <v>34.210761150215198</v>
      </c>
      <c r="BD22">
        <v>1013.2</v>
      </c>
      <c r="BE22">
        <f t="shared" si="5"/>
        <v>28.422825631024409</v>
      </c>
    </row>
    <row r="23" spans="1:57" x14ac:dyDescent="0.2">
      <c r="A23" s="13">
        <v>14</v>
      </c>
      <c r="B23" s="3">
        <v>0</v>
      </c>
      <c r="C23" s="17">
        <v>4</v>
      </c>
      <c r="D23" s="3">
        <v>4</v>
      </c>
      <c r="E23" s="18">
        <v>8</v>
      </c>
      <c r="F23" s="18">
        <v>5</v>
      </c>
      <c r="G23" s="18">
        <v>75</v>
      </c>
      <c r="H23" s="19">
        <v>2</v>
      </c>
      <c r="I23" s="18"/>
      <c r="J23" s="18"/>
      <c r="K23" s="20">
        <v>133</v>
      </c>
      <c r="L23" s="18">
        <v>260</v>
      </c>
      <c r="M23" s="18">
        <v>240</v>
      </c>
      <c r="N23" s="18">
        <v>283</v>
      </c>
      <c r="O23" s="18">
        <v>84</v>
      </c>
      <c r="P23" s="18">
        <v>231</v>
      </c>
      <c r="Q23" s="17">
        <v>3</v>
      </c>
      <c r="R23" s="17">
        <v>2</v>
      </c>
      <c r="S23" s="17">
        <v>0</v>
      </c>
      <c r="T23" s="17">
        <v>1</v>
      </c>
      <c r="U23" s="17">
        <v>3</v>
      </c>
      <c r="V23" s="3">
        <v>8</v>
      </c>
      <c r="W23" s="20">
        <v>60</v>
      </c>
      <c r="X23" s="17">
        <v>8</v>
      </c>
      <c r="Y23" s="3"/>
      <c r="Z23" s="3"/>
      <c r="AA23" s="20"/>
      <c r="AB23" s="3"/>
      <c r="AC23" s="3"/>
      <c r="AD23" s="20"/>
      <c r="AE23" s="3"/>
      <c r="AF23" s="3"/>
      <c r="AG23" s="20"/>
      <c r="AH23" s="107"/>
      <c r="AI23" s="107"/>
      <c r="AJ23" s="107"/>
      <c r="AK23" s="107"/>
      <c r="AL23" s="108"/>
      <c r="AN23" s="67">
        <f t="shared" si="2"/>
        <v>-1.5330281190206847</v>
      </c>
      <c r="AO23" s="67">
        <f t="shared" si="2"/>
        <v>-0.66012412105094143</v>
      </c>
      <c r="AP23" s="67">
        <f t="shared" si="2"/>
        <v>-1.1508299243794795</v>
      </c>
      <c r="AY23" s="67">
        <f t="shared" si="0"/>
        <v>284.53302811902068</v>
      </c>
      <c r="AZ23" s="67">
        <f t="shared" si="1"/>
        <v>84.660124121050941</v>
      </c>
      <c r="BA23" s="67">
        <f t="shared" si="3"/>
        <v>232.15082992437948</v>
      </c>
      <c r="BC23">
        <f t="shared" si="4"/>
        <v>33.608860260136439</v>
      </c>
      <c r="BD23">
        <v>1013.2</v>
      </c>
      <c r="BE23">
        <f t="shared" si="5"/>
        <v>29.827639714302066</v>
      </c>
    </row>
    <row r="24" spans="1:57" x14ac:dyDescent="0.2">
      <c r="A24" s="13">
        <v>15</v>
      </c>
      <c r="B24" s="3">
        <v>0</v>
      </c>
      <c r="C24" s="17">
        <v>4</v>
      </c>
      <c r="D24" s="3">
        <v>4</v>
      </c>
      <c r="E24" s="18">
        <v>8</v>
      </c>
      <c r="F24" s="18">
        <v>7</v>
      </c>
      <c r="G24" s="18">
        <v>78</v>
      </c>
      <c r="H24" s="19">
        <v>2</v>
      </c>
      <c r="I24" s="18"/>
      <c r="J24" s="18"/>
      <c r="K24" s="20">
        <v>123</v>
      </c>
      <c r="L24" s="18">
        <v>260</v>
      </c>
      <c r="M24" s="18">
        <v>232</v>
      </c>
      <c r="N24" s="18">
        <v>261</v>
      </c>
      <c r="O24" s="18">
        <v>78</v>
      </c>
      <c r="P24" s="18">
        <v>218</v>
      </c>
      <c r="Q24" s="17">
        <v>1</v>
      </c>
      <c r="R24" s="17">
        <v>2</v>
      </c>
      <c r="S24" s="17">
        <v>0</v>
      </c>
      <c r="T24" s="17">
        <v>1</v>
      </c>
      <c r="U24" s="17">
        <v>1</v>
      </c>
      <c r="V24" s="3">
        <v>8</v>
      </c>
      <c r="W24" s="20">
        <v>63</v>
      </c>
      <c r="X24" s="17">
        <v>8</v>
      </c>
      <c r="Y24" s="17">
        <v>4</v>
      </c>
      <c r="Z24" s="17">
        <v>0</v>
      </c>
      <c r="AA24" s="20">
        <v>840</v>
      </c>
      <c r="AB24" s="3"/>
      <c r="AC24" s="3"/>
      <c r="AD24" s="20"/>
      <c r="AE24" s="3"/>
      <c r="AF24" s="3"/>
      <c r="AG24" s="20"/>
      <c r="AH24" s="107"/>
      <c r="AI24" s="107"/>
      <c r="AJ24" s="107"/>
      <c r="AK24" s="107"/>
      <c r="AL24" s="108"/>
      <c r="AN24" s="67">
        <f t="shared" si="2"/>
        <v>-4.0047656977641282</v>
      </c>
      <c r="AO24" s="67">
        <f t="shared" si="2"/>
        <v>-0.84967346306801517</v>
      </c>
      <c r="AP24" s="67">
        <f t="shared" si="2"/>
        <v>-2.4469829066567854</v>
      </c>
      <c r="AY24" s="67">
        <f t="shared" si="0"/>
        <v>265.00476569776413</v>
      </c>
      <c r="AZ24" s="67">
        <f t="shared" si="1"/>
        <v>78.849673463068015</v>
      </c>
      <c r="BA24" s="67">
        <f t="shared" si="3"/>
        <v>220.44698290665679</v>
      </c>
      <c r="BC24">
        <f t="shared" si="4"/>
        <v>33.608860260136439</v>
      </c>
      <c r="BD24">
        <v>1013.2</v>
      </c>
      <c r="BE24">
        <f t="shared" si="5"/>
        <v>28.422825631024409</v>
      </c>
    </row>
    <row r="25" spans="1:57" x14ac:dyDescent="0.2">
      <c r="A25" s="13">
        <v>16</v>
      </c>
      <c r="B25" s="3">
        <v>0</v>
      </c>
      <c r="C25" s="17">
        <v>5</v>
      </c>
      <c r="D25" s="3">
        <v>4</v>
      </c>
      <c r="E25" s="18">
        <v>8</v>
      </c>
      <c r="F25" s="18">
        <v>2</v>
      </c>
      <c r="G25" s="18">
        <v>74</v>
      </c>
      <c r="H25" s="19">
        <v>1</v>
      </c>
      <c r="I25" s="18">
        <v>6</v>
      </c>
      <c r="J25" s="18">
        <v>11</v>
      </c>
      <c r="K25" s="20">
        <v>127</v>
      </c>
      <c r="L25" s="18">
        <v>257</v>
      </c>
      <c r="M25" s="18">
        <v>235</v>
      </c>
      <c r="N25" s="18">
        <v>273</v>
      </c>
      <c r="O25" s="18">
        <v>83</v>
      </c>
      <c r="P25" s="18">
        <v>225</v>
      </c>
      <c r="Q25" s="17">
        <v>4</v>
      </c>
      <c r="R25" s="17">
        <v>8</v>
      </c>
      <c r="S25" s="17">
        <v>0</v>
      </c>
      <c r="T25" s="17">
        <v>1</v>
      </c>
      <c r="U25" s="17">
        <v>1</v>
      </c>
      <c r="V25" s="3">
        <v>8</v>
      </c>
      <c r="W25" s="20">
        <v>54</v>
      </c>
      <c r="X25" s="17">
        <v>8</v>
      </c>
      <c r="Y25" s="17">
        <v>3</v>
      </c>
      <c r="Z25" s="17">
        <v>6</v>
      </c>
      <c r="AA25" s="20">
        <v>120</v>
      </c>
      <c r="AB25" s="3"/>
      <c r="AC25" s="3"/>
      <c r="AD25" s="20"/>
      <c r="AE25" s="3"/>
      <c r="AF25" s="3"/>
      <c r="AG25" s="20"/>
      <c r="AH25" s="107" t="s">
        <v>85</v>
      </c>
      <c r="AI25" s="107"/>
      <c r="AJ25" s="107"/>
      <c r="AK25" s="107"/>
      <c r="AL25" s="108"/>
      <c r="AN25" s="67">
        <f t="shared" si="2"/>
        <v>-1.3176101000501035</v>
      </c>
      <c r="AO25" s="67">
        <f t="shared" si="2"/>
        <v>-8.565296158016622E-2</v>
      </c>
      <c r="AP25" s="67">
        <f t="shared" si="2"/>
        <v>-1.1194706550895432</v>
      </c>
      <c r="AY25" s="67">
        <f t="shared" si="0"/>
        <v>274.3176101000501</v>
      </c>
      <c r="AZ25" s="67">
        <f t="shared" si="1"/>
        <v>83.085652961580166</v>
      </c>
      <c r="BA25" s="67">
        <f t="shared" si="3"/>
        <v>226.11947065508954</v>
      </c>
      <c r="BC25">
        <f t="shared" si="4"/>
        <v>33.016242915837466</v>
      </c>
      <c r="BD25">
        <v>1013.2</v>
      </c>
      <c r="BE25">
        <f t="shared" si="5"/>
        <v>28.94268568196501</v>
      </c>
    </row>
    <row r="26" spans="1:57" x14ac:dyDescent="0.2">
      <c r="A26" s="13">
        <v>17</v>
      </c>
      <c r="B26" s="3">
        <v>0</v>
      </c>
      <c r="C26" s="17">
        <v>6</v>
      </c>
      <c r="D26" s="3">
        <v>4</v>
      </c>
      <c r="E26" s="18">
        <v>8</v>
      </c>
      <c r="F26" s="18">
        <v>12</v>
      </c>
      <c r="G26" s="18">
        <v>75</v>
      </c>
      <c r="H26" s="19">
        <v>2</v>
      </c>
      <c r="I26" s="18"/>
      <c r="J26" s="18"/>
      <c r="K26" s="20">
        <v>144</v>
      </c>
      <c r="L26" s="18">
        <v>264</v>
      </c>
      <c r="M26" s="18">
        <v>245</v>
      </c>
      <c r="N26" s="18">
        <v>294</v>
      </c>
      <c r="O26" s="18">
        <v>85</v>
      </c>
      <c r="P26" s="18">
        <v>237</v>
      </c>
      <c r="Q26" s="17">
        <v>2</v>
      </c>
      <c r="R26" s="17">
        <v>8</v>
      </c>
      <c r="S26" s="17">
        <v>0</v>
      </c>
      <c r="T26" s="17">
        <v>2</v>
      </c>
      <c r="U26" s="17">
        <v>2</v>
      </c>
      <c r="V26" s="3">
        <v>8</v>
      </c>
      <c r="W26" s="20">
        <v>54</v>
      </c>
      <c r="X26" s="17">
        <v>8</v>
      </c>
      <c r="Y26" s="17">
        <v>6</v>
      </c>
      <c r="Z26" s="17">
        <v>0</v>
      </c>
      <c r="AA26" s="20">
        <v>840</v>
      </c>
      <c r="AB26" s="3"/>
      <c r="AC26" s="3"/>
      <c r="AD26" s="20"/>
      <c r="AE26" s="3"/>
      <c r="AF26" s="3"/>
      <c r="AG26" s="20"/>
      <c r="AH26" s="107"/>
      <c r="AI26" s="107"/>
      <c r="AJ26" s="107"/>
      <c r="AK26" s="107"/>
      <c r="AL26" s="108"/>
      <c r="AN26" s="67">
        <f t="shared" si="2"/>
        <v>-0.29847210787067979</v>
      </c>
      <c r="AO26" s="67">
        <f t="shared" si="2"/>
        <v>-0.51837269917913886</v>
      </c>
      <c r="AP26" s="67">
        <f t="shared" si="2"/>
        <v>-0.74170892200345406</v>
      </c>
      <c r="AY26" s="67">
        <f t="shared" si="0"/>
        <v>294.29847210787068</v>
      </c>
      <c r="AZ26" s="67">
        <f t="shared" si="1"/>
        <v>85.518372699179139</v>
      </c>
      <c r="BA26" s="67">
        <f t="shared" si="3"/>
        <v>237.74170892200345</v>
      </c>
      <c r="BC26">
        <f t="shared" si="4"/>
        <v>34.41347897756426</v>
      </c>
      <c r="BD26">
        <v>1013.2</v>
      </c>
      <c r="BE26">
        <f t="shared" si="5"/>
        <v>30.736197835927069</v>
      </c>
    </row>
    <row r="27" spans="1:57" x14ac:dyDescent="0.2">
      <c r="A27" s="13">
        <v>18</v>
      </c>
      <c r="B27" s="3">
        <v>0</v>
      </c>
      <c r="C27" s="17">
        <v>7</v>
      </c>
      <c r="D27" s="3">
        <v>4</v>
      </c>
      <c r="E27" s="18">
        <v>0</v>
      </c>
      <c r="F27" s="18">
        <v>0</v>
      </c>
      <c r="G27" s="18">
        <v>70</v>
      </c>
      <c r="H27" s="19">
        <v>1</v>
      </c>
      <c r="I27" s="18">
        <v>5</v>
      </c>
      <c r="J27" s="18">
        <v>22</v>
      </c>
      <c r="K27" s="20">
        <v>150</v>
      </c>
      <c r="L27" s="18">
        <v>258</v>
      </c>
      <c r="M27" s="18">
        <v>245</v>
      </c>
      <c r="N27" s="18">
        <v>300</v>
      </c>
      <c r="O27" s="18">
        <v>93</v>
      </c>
      <c r="P27" s="18">
        <v>241</v>
      </c>
      <c r="Q27" s="17">
        <v>6</v>
      </c>
      <c r="R27" s="17">
        <v>8</v>
      </c>
      <c r="S27" s="17">
        <v>0</v>
      </c>
      <c r="T27" s="17">
        <v>2</v>
      </c>
      <c r="U27" s="17">
        <v>3</v>
      </c>
      <c r="V27" s="3">
        <v>8</v>
      </c>
      <c r="W27" s="20">
        <v>51</v>
      </c>
      <c r="X27" s="17">
        <v>8</v>
      </c>
      <c r="Y27" s="17">
        <v>5</v>
      </c>
      <c r="Z27" s="17">
        <v>6</v>
      </c>
      <c r="AA27" s="20">
        <f>35*3</f>
        <v>105</v>
      </c>
      <c r="AB27" s="3"/>
      <c r="AC27" s="3"/>
      <c r="AD27" s="20"/>
      <c r="AE27" s="3"/>
      <c r="AF27" s="3"/>
      <c r="AG27" s="20"/>
      <c r="AH27" s="107" t="s">
        <v>85</v>
      </c>
      <c r="AI27" s="107"/>
      <c r="AJ27" s="107"/>
      <c r="AK27" s="107"/>
      <c r="AL27" s="108"/>
      <c r="AN27" s="67">
        <f t="shared" si="2"/>
        <v>1.5762101285293397</v>
      </c>
      <c r="AO27" s="67">
        <f t="shared" si="2"/>
        <v>3.147844572689138</v>
      </c>
      <c r="AP27" s="67">
        <f t="shared" si="2"/>
        <v>0.94517546927480112</v>
      </c>
      <c r="AY27" s="67">
        <f t="shared" si="0"/>
        <v>298.42378987147066</v>
      </c>
      <c r="AZ27" s="67">
        <f t="shared" si="1"/>
        <v>89.852155427310862</v>
      </c>
      <c r="BA27" s="67">
        <f t="shared" si="3"/>
        <v>240.0548245307252</v>
      </c>
      <c r="BC27">
        <f t="shared" si="4"/>
        <v>33.212758052631393</v>
      </c>
      <c r="BD27">
        <v>1013.2</v>
      </c>
      <c r="BE27">
        <f t="shared" si="5"/>
        <v>30.736197835927069</v>
      </c>
    </row>
    <row r="28" spans="1:57" x14ac:dyDescent="0.2">
      <c r="A28" s="13">
        <v>19</v>
      </c>
      <c r="B28" s="3">
        <v>0</v>
      </c>
      <c r="C28" s="17">
        <v>7</v>
      </c>
      <c r="D28" s="3">
        <v>4</v>
      </c>
      <c r="E28" s="18">
        <v>8</v>
      </c>
      <c r="F28" s="18">
        <v>9</v>
      </c>
      <c r="G28" s="18">
        <v>70</v>
      </c>
      <c r="H28" s="19">
        <v>1</v>
      </c>
      <c r="I28" s="18">
        <v>5</v>
      </c>
      <c r="J28" s="18">
        <v>11</v>
      </c>
      <c r="K28" s="20">
        <v>146</v>
      </c>
      <c r="L28" s="18">
        <v>257</v>
      </c>
      <c r="M28" s="18">
        <v>240</v>
      </c>
      <c r="N28" s="18">
        <v>285</v>
      </c>
      <c r="O28" s="18">
        <v>86</v>
      </c>
      <c r="P28" s="18">
        <v>232</v>
      </c>
      <c r="Q28" s="17">
        <v>1</v>
      </c>
      <c r="R28" s="17">
        <v>8</v>
      </c>
      <c r="S28" s="17">
        <v>0</v>
      </c>
      <c r="T28" s="17">
        <v>2</v>
      </c>
      <c r="U28" s="17">
        <v>1</v>
      </c>
      <c r="V28" s="3">
        <v>8</v>
      </c>
      <c r="W28" s="20">
        <v>54</v>
      </c>
      <c r="X28" s="17">
        <v>8</v>
      </c>
      <c r="Y28" s="17">
        <v>6</v>
      </c>
      <c r="Z28" s="17">
        <v>0</v>
      </c>
      <c r="AA28" s="20">
        <v>840</v>
      </c>
      <c r="AB28" s="3"/>
      <c r="AC28" s="3"/>
      <c r="AD28" s="20"/>
      <c r="AE28" s="3"/>
      <c r="AF28" s="3"/>
      <c r="AG28" s="20"/>
      <c r="AH28" s="107" t="s">
        <v>85</v>
      </c>
      <c r="AI28" s="107"/>
      <c r="AJ28" s="107"/>
      <c r="AK28" s="107"/>
      <c r="AL28" s="108"/>
      <c r="AN28" s="67">
        <f t="shared" si="2"/>
        <v>-1.5945334726206397</v>
      </c>
      <c r="AO28" s="67">
        <f t="shared" si="2"/>
        <v>-0.8041025149911718</v>
      </c>
      <c r="AP28" s="67">
        <f t="shared" si="2"/>
        <v>-1.3449204660800831</v>
      </c>
      <c r="AY28" s="67">
        <f t="shared" si="0"/>
        <v>286.59453347262064</v>
      </c>
      <c r="AZ28" s="67">
        <f t="shared" si="1"/>
        <v>86.804102514991172</v>
      </c>
      <c r="BA28" s="67">
        <f t="shared" si="3"/>
        <v>233.34492046608008</v>
      </c>
      <c r="BC28">
        <f t="shared" si="4"/>
        <v>33.016242915837466</v>
      </c>
      <c r="BD28">
        <v>1013.2</v>
      </c>
      <c r="BE28">
        <f t="shared" si="5"/>
        <v>29.827639714302066</v>
      </c>
    </row>
    <row r="29" spans="1:57" x14ac:dyDescent="0.2">
      <c r="A29" s="13">
        <v>20</v>
      </c>
      <c r="B29" s="3">
        <v>0</v>
      </c>
      <c r="C29" s="17">
        <v>5</v>
      </c>
      <c r="D29" s="3">
        <v>4</v>
      </c>
      <c r="E29" s="18">
        <v>8</v>
      </c>
      <c r="F29" s="18">
        <v>8</v>
      </c>
      <c r="G29" s="18">
        <v>72</v>
      </c>
      <c r="H29" s="19">
        <v>1</v>
      </c>
      <c r="I29" s="18">
        <v>5</v>
      </c>
      <c r="J29" s="18">
        <v>22</v>
      </c>
      <c r="K29" s="20">
        <v>132</v>
      </c>
      <c r="L29" s="18">
        <v>270</v>
      </c>
      <c r="M29" s="18">
        <v>250</v>
      </c>
      <c r="N29" s="18">
        <v>300</v>
      </c>
      <c r="O29" s="18">
        <v>84</v>
      </c>
      <c r="P29" s="18">
        <v>241</v>
      </c>
      <c r="Q29" s="17">
        <v>2</v>
      </c>
      <c r="R29" s="17">
        <v>2</v>
      </c>
      <c r="S29" s="17">
        <v>0</v>
      </c>
      <c r="T29" s="17">
        <v>1</v>
      </c>
      <c r="U29" s="17">
        <v>2</v>
      </c>
      <c r="V29" s="3">
        <v>8</v>
      </c>
      <c r="W29" s="20">
        <v>54</v>
      </c>
      <c r="X29" s="17">
        <v>8</v>
      </c>
      <c r="Y29" s="17">
        <v>4</v>
      </c>
      <c r="Z29" s="17">
        <v>0</v>
      </c>
      <c r="AA29" s="20">
        <v>870</v>
      </c>
      <c r="AB29" s="3"/>
      <c r="AC29" s="3"/>
      <c r="AD29" s="20"/>
      <c r="AE29" s="3"/>
      <c r="AF29" s="3"/>
      <c r="AG29" s="20"/>
      <c r="AH29" s="107" t="s">
        <v>85</v>
      </c>
      <c r="AI29" s="107"/>
      <c r="AJ29" s="107"/>
      <c r="AK29" s="107"/>
      <c r="AL29" s="108"/>
      <c r="AN29" s="67">
        <f t="shared" si="2"/>
        <v>-2.9301666961599722</v>
      </c>
      <c r="AO29" s="67">
        <f t="shared" si="2"/>
        <v>-0.96865232864115569</v>
      </c>
      <c r="AP29" s="67">
        <f t="shared" si="2"/>
        <v>-1.5498224634573035</v>
      </c>
      <c r="AY29" s="67">
        <f t="shared" si="0"/>
        <v>302.93016669615997</v>
      </c>
      <c r="AZ29" s="67">
        <f t="shared" si="1"/>
        <v>84.968652328641156</v>
      </c>
      <c r="BA29" s="67">
        <f t="shared" si="3"/>
        <v>242.5498224634573</v>
      </c>
      <c r="BC29">
        <f t="shared" si="4"/>
        <v>35.651991457330503</v>
      </c>
      <c r="BD29">
        <v>1013.2</v>
      </c>
      <c r="BE29">
        <f t="shared" si="5"/>
        <v>31.668891609615997</v>
      </c>
    </row>
    <row r="30" spans="1:57" x14ac:dyDescent="0.2">
      <c r="A30" s="13">
        <v>21</v>
      </c>
      <c r="B30" s="3">
        <v>0</v>
      </c>
      <c r="C30" s="17">
        <v>5</v>
      </c>
      <c r="D30" s="3">
        <v>4</v>
      </c>
      <c r="E30" s="18">
        <v>8</v>
      </c>
      <c r="F30" s="18">
        <v>13</v>
      </c>
      <c r="G30" s="18">
        <v>68</v>
      </c>
      <c r="H30" s="19">
        <v>1</v>
      </c>
      <c r="I30" s="18">
        <v>5</v>
      </c>
      <c r="J30" s="18">
        <v>22</v>
      </c>
      <c r="K30" s="20">
        <v>125</v>
      </c>
      <c r="L30" s="18">
        <v>270</v>
      </c>
      <c r="M30" s="18">
        <v>247</v>
      </c>
      <c r="N30" s="18">
        <v>293</v>
      </c>
      <c r="O30" s="18">
        <v>82</v>
      </c>
      <c r="P30" s="18">
        <v>237</v>
      </c>
      <c r="Q30" s="17">
        <v>2</v>
      </c>
      <c r="R30" s="17">
        <v>2</v>
      </c>
      <c r="S30" s="17">
        <v>0</v>
      </c>
      <c r="T30" s="17">
        <v>1</v>
      </c>
      <c r="U30" s="17">
        <v>2</v>
      </c>
      <c r="V30" s="3">
        <v>8</v>
      </c>
      <c r="W30" s="20">
        <v>51</v>
      </c>
      <c r="X30" s="17">
        <v>8</v>
      </c>
      <c r="Y30" s="17">
        <v>5</v>
      </c>
      <c r="Z30" s="17">
        <v>0</v>
      </c>
      <c r="AA30" s="20">
        <v>900</v>
      </c>
      <c r="AB30" s="3"/>
      <c r="AC30" s="3"/>
      <c r="AD30" s="20"/>
      <c r="AE30" s="3"/>
      <c r="AF30" s="3"/>
      <c r="AG30" s="20"/>
      <c r="AH30" s="107" t="s">
        <v>85</v>
      </c>
      <c r="AI30" s="107"/>
      <c r="AJ30" s="107"/>
      <c r="AK30" s="107"/>
      <c r="AL30" s="108"/>
      <c r="AN30" s="67">
        <f t="shared" si="2"/>
        <v>-2.2462342187101854</v>
      </c>
      <c r="AO30" s="67">
        <f t="shared" si="2"/>
        <v>-0.81339194531973646</v>
      </c>
      <c r="AP30" s="67">
        <f t="shared" si="2"/>
        <v>-1.2756313741485314</v>
      </c>
      <c r="AY30" s="67">
        <f t="shared" si="0"/>
        <v>295.24623421871019</v>
      </c>
      <c r="AZ30" s="67">
        <f t="shared" si="1"/>
        <v>82.813391945319736</v>
      </c>
      <c r="BA30" s="67">
        <f t="shared" si="3"/>
        <v>238.27563137414853</v>
      </c>
      <c r="BC30">
        <f t="shared" si="4"/>
        <v>35.651991457330503</v>
      </c>
      <c r="BD30">
        <v>1013.2</v>
      </c>
      <c r="BE30">
        <f t="shared" si="5"/>
        <v>31.106348979899021</v>
      </c>
    </row>
    <row r="31" spans="1:57" x14ac:dyDescent="0.2">
      <c r="A31" s="13">
        <v>22</v>
      </c>
      <c r="B31" s="3">
        <v>0</v>
      </c>
      <c r="C31" s="17">
        <v>6</v>
      </c>
      <c r="D31" s="3">
        <v>4</v>
      </c>
      <c r="E31" s="18">
        <v>6</v>
      </c>
      <c r="F31" s="18">
        <v>7</v>
      </c>
      <c r="G31" s="18">
        <v>68</v>
      </c>
      <c r="H31" s="19">
        <v>1</v>
      </c>
      <c r="I31" s="18">
        <v>15</v>
      </c>
      <c r="J31" s="18">
        <v>22</v>
      </c>
      <c r="K31" s="20">
        <v>132</v>
      </c>
      <c r="L31" s="18">
        <v>270</v>
      </c>
      <c r="M31" s="18">
        <v>250</v>
      </c>
      <c r="N31" s="18">
        <v>300</v>
      </c>
      <c r="O31" s="18">
        <v>84</v>
      </c>
      <c r="P31" s="18">
        <v>241</v>
      </c>
      <c r="Q31" s="17">
        <v>5</v>
      </c>
      <c r="R31" s="17">
        <v>2</v>
      </c>
      <c r="S31" s="17">
        <v>0</v>
      </c>
      <c r="T31" s="17">
        <v>1</v>
      </c>
      <c r="U31" s="17">
        <v>5</v>
      </c>
      <c r="V31" s="3">
        <v>8</v>
      </c>
      <c r="W31" s="20">
        <v>54</v>
      </c>
      <c r="X31" s="17">
        <v>8</v>
      </c>
      <c r="Y31" s="3"/>
      <c r="Z31" s="3"/>
      <c r="AA31" s="20"/>
      <c r="AB31" s="3"/>
      <c r="AC31" s="3"/>
      <c r="AD31" s="20"/>
      <c r="AE31" s="3"/>
      <c r="AF31" s="3"/>
      <c r="AG31" s="20"/>
      <c r="AH31" s="107" t="s">
        <v>109</v>
      </c>
      <c r="AI31" s="107"/>
      <c r="AJ31" s="107"/>
      <c r="AK31" s="107"/>
      <c r="AL31" s="108"/>
      <c r="AN31" s="67">
        <f t="shared" si="2"/>
        <v>-2.9301666961599722</v>
      </c>
      <c r="AO31" s="67">
        <f t="shared" si="2"/>
        <v>-0.96865232864115569</v>
      </c>
      <c r="AP31" s="67">
        <f t="shared" si="2"/>
        <v>-1.5498224634573035</v>
      </c>
      <c r="AY31" s="67">
        <f t="shared" si="0"/>
        <v>302.93016669615997</v>
      </c>
      <c r="AZ31" s="67">
        <f t="shared" si="1"/>
        <v>84.968652328641156</v>
      </c>
      <c r="BA31" s="67">
        <f t="shared" si="3"/>
        <v>242.5498224634573</v>
      </c>
      <c r="BC31">
        <f t="shared" si="4"/>
        <v>35.651991457330503</v>
      </c>
      <c r="BD31">
        <v>1013.2</v>
      </c>
      <c r="BE31">
        <f t="shared" si="5"/>
        <v>31.668891609615997</v>
      </c>
    </row>
    <row r="32" spans="1:57" x14ac:dyDescent="0.2">
      <c r="A32" s="13">
        <v>23</v>
      </c>
      <c r="B32" s="3">
        <v>0</v>
      </c>
      <c r="C32" s="17">
        <v>1</v>
      </c>
      <c r="D32" s="3">
        <v>4</v>
      </c>
      <c r="E32" s="18">
        <v>6</v>
      </c>
      <c r="F32" s="18">
        <v>10</v>
      </c>
      <c r="G32" s="18">
        <v>72</v>
      </c>
      <c r="H32" s="19">
        <v>1</v>
      </c>
      <c r="I32" s="18">
        <v>5</v>
      </c>
      <c r="J32" s="18">
        <v>0</v>
      </c>
      <c r="K32" s="20">
        <v>130</v>
      </c>
      <c r="L32" s="18">
        <v>264</v>
      </c>
      <c r="M32" s="18">
        <v>238</v>
      </c>
      <c r="N32" s="18">
        <v>274</v>
      </c>
      <c r="O32" s="18">
        <v>80</v>
      </c>
      <c r="P32" s="18">
        <v>226</v>
      </c>
      <c r="Q32" s="17">
        <v>1</v>
      </c>
      <c r="R32" s="17">
        <v>8</v>
      </c>
      <c r="S32" s="17">
        <v>0</v>
      </c>
      <c r="T32" s="17">
        <v>0</v>
      </c>
      <c r="U32" s="17">
        <v>1</v>
      </c>
      <c r="V32" s="3">
        <v>8</v>
      </c>
      <c r="W32" s="20">
        <v>57</v>
      </c>
      <c r="X32" s="17">
        <v>8</v>
      </c>
      <c r="Y32" s="3"/>
      <c r="Z32" s="3"/>
      <c r="AA32" s="20"/>
      <c r="AB32" s="3"/>
      <c r="AC32" s="3"/>
      <c r="AD32" s="20"/>
      <c r="AE32" s="3"/>
      <c r="AF32" s="3"/>
      <c r="AG32" s="20"/>
      <c r="AH32" s="107" t="s">
        <v>85</v>
      </c>
      <c r="AI32" s="107"/>
      <c r="AJ32" s="107"/>
      <c r="AK32" s="107"/>
      <c r="AL32" s="108"/>
      <c r="AN32" s="67">
        <f t="shared" si="2"/>
        <v>-2.8461697654483373</v>
      </c>
      <c r="AO32" s="67">
        <f t="shared" si="2"/>
        <v>-0.44701610840833439</v>
      </c>
      <c r="AP32" s="67">
        <f t="shared" si="2"/>
        <v>-1.6304736819997743</v>
      </c>
      <c r="AY32" s="67">
        <f t="shared" si="0"/>
        <v>276.84616976544834</v>
      </c>
      <c r="AZ32" s="67">
        <f t="shared" si="1"/>
        <v>80.447016108408334</v>
      </c>
      <c r="BA32" s="67">
        <f t="shared" si="3"/>
        <v>227.63047368199977</v>
      </c>
      <c r="BC32">
        <f t="shared" si="4"/>
        <v>34.41347897756426</v>
      </c>
      <c r="BD32">
        <v>1013.2</v>
      </c>
      <c r="BE32">
        <f t="shared" si="5"/>
        <v>29.470855059888834</v>
      </c>
    </row>
    <row r="33" spans="1:57" x14ac:dyDescent="0.2">
      <c r="A33" s="13">
        <v>24</v>
      </c>
      <c r="B33" s="3">
        <v>0</v>
      </c>
      <c r="C33" s="17">
        <v>4</v>
      </c>
      <c r="D33" s="3">
        <v>4</v>
      </c>
      <c r="E33" s="18">
        <v>0</v>
      </c>
      <c r="F33" s="18">
        <v>0</v>
      </c>
      <c r="G33" s="18">
        <v>78</v>
      </c>
      <c r="H33" s="19">
        <v>2</v>
      </c>
      <c r="I33" s="18"/>
      <c r="J33" s="18"/>
      <c r="K33" s="20">
        <v>122</v>
      </c>
      <c r="L33" s="18">
        <v>258</v>
      </c>
      <c r="M33" s="18">
        <v>240</v>
      </c>
      <c r="N33" s="18">
        <v>285</v>
      </c>
      <c r="O33" s="18">
        <v>86</v>
      </c>
      <c r="P33" s="18">
        <v>232</v>
      </c>
      <c r="Q33" s="17">
        <v>1</v>
      </c>
      <c r="R33" s="17">
        <v>8</v>
      </c>
      <c r="S33" s="17">
        <v>0</v>
      </c>
      <c r="T33" s="17">
        <v>2</v>
      </c>
      <c r="U33" s="17">
        <v>1</v>
      </c>
      <c r="V33" s="3">
        <v>8</v>
      </c>
      <c r="W33" s="20">
        <v>54</v>
      </c>
      <c r="X33" s="17">
        <v>8</v>
      </c>
      <c r="Y33" s="17">
        <v>4</v>
      </c>
      <c r="Z33" s="17">
        <v>0</v>
      </c>
      <c r="AA33" s="20">
        <v>840</v>
      </c>
      <c r="AB33" s="3"/>
      <c r="AC33" s="3"/>
      <c r="AD33" s="20"/>
      <c r="AE33" s="3"/>
      <c r="AF33" s="3"/>
      <c r="AG33" s="20"/>
      <c r="AH33" s="107"/>
      <c r="AI33" s="107"/>
      <c r="AJ33" s="107"/>
      <c r="AK33" s="107"/>
      <c r="AL33" s="108"/>
      <c r="AN33" s="67">
        <f t="shared" si="2"/>
        <v>-0.90736502142067366</v>
      </c>
      <c r="AO33" s="67">
        <f t="shared" si="2"/>
        <v>-8.3596119404091951E-2</v>
      </c>
      <c r="AP33" s="67">
        <f t="shared" si="2"/>
        <v>-0.94772868416913525</v>
      </c>
      <c r="AY33" s="67">
        <f t="shared" si="0"/>
        <v>285.90736502142067</v>
      </c>
      <c r="AZ33" s="67">
        <f t="shared" si="1"/>
        <v>86.083596119404092</v>
      </c>
      <c r="BA33" s="67">
        <f t="shared" si="3"/>
        <v>232.94772868416914</v>
      </c>
      <c r="BC33">
        <f t="shared" si="4"/>
        <v>33.212758052631393</v>
      </c>
      <c r="BD33">
        <v>1013.2</v>
      </c>
      <c r="BE33">
        <f t="shared" si="5"/>
        <v>29.827639714302066</v>
      </c>
    </row>
    <row r="34" spans="1:57" x14ac:dyDescent="0.2">
      <c r="A34" s="13">
        <v>25</v>
      </c>
      <c r="B34" s="3">
        <v>0</v>
      </c>
      <c r="C34" s="17">
        <v>7</v>
      </c>
      <c r="D34" s="3">
        <v>4</v>
      </c>
      <c r="E34" s="18">
        <v>7</v>
      </c>
      <c r="F34" s="18">
        <v>5</v>
      </c>
      <c r="G34" s="18">
        <v>70</v>
      </c>
      <c r="H34" s="19">
        <v>1</v>
      </c>
      <c r="I34" s="18">
        <v>5</v>
      </c>
      <c r="J34" s="18">
        <v>22</v>
      </c>
      <c r="K34" s="20">
        <v>131</v>
      </c>
      <c r="L34" s="18">
        <v>256</v>
      </c>
      <c r="M34" s="18">
        <v>240</v>
      </c>
      <c r="N34" s="18">
        <v>286</v>
      </c>
      <c r="O34" s="18">
        <v>87</v>
      </c>
      <c r="P34" s="18">
        <v>233</v>
      </c>
      <c r="Q34" s="17">
        <v>7</v>
      </c>
      <c r="R34" s="17">
        <v>8</v>
      </c>
      <c r="S34" s="17" t="s">
        <v>89</v>
      </c>
      <c r="T34" s="17" t="s">
        <v>89</v>
      </c>
      <c r="U34" s="17">
        <v>4</v>
      </c>
      <c r="V34" s="3">
        <v>8</v>
      </c>
      <c r="W34" s="20">
        <v>54</v>
      </c>
      <c r="X34" s="17">
        <v>8</v>
      </c>
      <c r="Y34" s="17">
        <v>5</v>
      </c>
      <c r="Z34" s="17">
        <v>6</v>
      </c>
      <c r="AA34" s="20">
        <v>105</v>
      </c>
      <c r="AB34" s="3"/>
      <c r="AC34" s="3"/>
      <c r="AD34" s="20"/>
      <c r="AE34" s="3"/>
      <c r="AF34" s="3"/>
      <c r="AG34" s="20"/>
      <c r="AH34" s="107" t="s">
        <v>85</v>
      </c>
      <c r="AI34" s="107"/>
      <c r="AJ34" s="107"/>
      <c r="AK34" s="107"/>
      <c r="AL34" s="108"/>
      <c r="AN34" s="67">
        <f t="shared" si="2"/>
        <v>-1.2817019238206626</v>
      </c>
      <c r="AO34" s="67">
        <f t="shared" si="2"/>
        <v>-0.53052228529304557</v>
      </c>
      <c r="AP34" s="67">
        <f t="shared" si="2"/>
        <v>-0.74127889685672699</v>
      </c>
      <c r="AY34" s="67">
        <f t="shared" si="0"/>
        <v>287.28170192382066</v>
      </c>
      <c r="AZ34" s="67">
        <f t="shared" si="1"/>
        <v>87.530522285293046</v>
      </c>
      <c r="BA34" s="67">
        <f t="shared" si="3"/>
        <v>233.74127889685673</v>
      </c>
      <c r="BC34">
        <f t="shared" si="4"/>
        <v>32.820745772253893</v>
      </c>
      <c r="BD34">
        <v>1013.2</v>
      </c>
      <c r="BE34">
        <f t="shared" si="5"/>
        <v>29.827639714302066</v>
      </c>
    </row>
    <row r="35" spans="1:57" x14ac:dyDescent="0.2">
      <c r="A35" s="13">
        <v>26</v>
      </c>
      <c r="B35" s="3">
        <v>0</v>
      </c>
      <c r="C35" s="17">
        <v>5</v>
      </c>
      <c r="D35" s="3">
        <v>4</v>
      </c>
      <c r="E35" s="18">
        <v>6</v>
      </c>
      <c r="F35" s="18">
        <v>10</v>
      </c>
      <c r="G35" s="18">
        <v>78</v>
      </c>
      <c r="H35" s="19">
        <v>2</v>
      </c>
      <c r="I35" s="18"/>
      <c r="J35" s="18"/>
      <c r="K35" s="20">
        <v>135</v>
      </c>
      <c r="L35" s="18">
        <v>265</v>
      </c>
      <c r="M35" s="18">
        <v>250</v>
      </c>
      <c r="N35" s="18">
        <v>304</v>
      </c>
      <c r="O35" s="18">
        <v>88</v>
      </c>
      <c r="P35" s="18">
        <v>243</v>
      </c>
      <c r="Q35" s="17">
        <v>5</v>
      </c>
      <c r="R35" s="17">
        <v>8</v>
      </c>
      <c r="S35" s="17">
        <v>0</v>
      </c>
      <c r="T35" s="17">
        <v>2</v>
      </c>
      <c r="U35" s="17">
        <v>1</v>
      </c>
      <c r="V35" s="3">
        <v>8</v>
      </c>
      <c r="W35" s="20">
        <v>66</v>
      </c>
      <c r="X35" s="17">
        <v>8</v>
      </c>
      <c r="Y35" s="17">
        <v>4</v>
      </c>
      <c r="Z35" s="17">
        <v>6</v>
      </c>
      <c r="AA35" s="20">
        <f>45*3</f>
        <v>135</v>
      </c>
      <c r="AB35" s="3"/>
      <c r="AC35" s="3"/>
      <c r="AD35" s="20"/>
      <c r="AE35" s="3"/>
      <c r="AF35" s="3"/>
      <c r="AG35" s="20"/>
      <c r="AH35" s="107"/>
      <c r="AI35" s="107"/>
      <c r="AJ35" s="107"/>
      <c r="AK35" s="107"/>
      <c r="AL35" s="108"/>
      <c r="AN35" s="67">
        <f t="shared" si="2"/>
        <v>-2.3698540461599578</v>
      </c>
      <c r="AO35" s="67">
        <f t="shared" si="2"/>
        <v>-0.50208633364542266</v>
      </c>
      <c r="AP35" s="67">
        <f t="shared" si="2"/>
        <v>-1.4324623081531058</v>
      </c>
      <c r="AY35" s="67">
        <f t="shared" si="0"/>
        <v>306.36985404615996</v>
      </c>
      <c r="AZ35" s="67">
        <f t="shared" si="1"/>
        <v>88.502086333645423</v>
      </c>
      <c r="BA35" s="67">
        <f t="shared" si="3"/>
        <v>244.43246230815311</v>
      </c>
      <c r="BC35">
        <f t="shared" si="4"/>
        <v>34.617246523564582</v>
      </c>
      <c r="BD35">
        <v>1013.2</v>
      </c>
      <c r="BE35">
        <f t="shared" si="5"/>
        <v>31.668891609615997</v>
      </c>
    </row>
    <row r="36" spans="1:57" x14ac:dyDescent="0.2">
      <c r="A36" s="13">
        <v>27</v>
      </c>
      <c r="B36" s="3">
        <v>0</v>
      </c>
      <c r="C36" s="17">
        <v>4</v>
      </c>
      <c r="D36" s="3">
        <v>4</v>
      </c>
      <c r="E36" s="18">
        <v>8</v>
      </c>
      <c r="F36" s="18">
        <v>12</v>
      </c>
      <c r="G36" s="18">
        <v>70</v>
      </c>
      <c r="H36" s="19">
        <v>1</v>
      </c>
      <c r="I36" s="69">
        <v>6</v>
      </c>
      <c r="J36" s="69">
        <v>11</v>
      </c>
      <c r="K36" s="20">
        <v>140</v>
      </c>
      <c r="L36" s="18">
        <v>269</v>
      </c>
      <c r="M36" s="18">
        <v>246</v>
      </c>
      <c r="N36" s="18">
        <v>291</v>
      </c>
      <c r="O36" s="18">
        <v>82</v>
      </c>
      <c r="P36" s="18">
        <v>236</v>
      </c>
      <c r="Q36" s="17">
        <v>3</v>
      </c>
      <c r="R36" s="17">
        <v>8</v>
      </c>
      <c r="S36" s="17">
        <v>0</v>
      </c>
      <c r="T36" s="17">
        <v>1</v>
      </c>
      <c r="U36" s="17">
        <v>3</v>
      </c>
      <c r="V36" s="3">
        <v>8</v>
      </c>
      <c r="W36" s="20">
        <v>54</v>
      </c>
      <c r="X36" s="17">
        <v>8</v>
      </c>
      <c r="Y36" s="3"/>
      <c r="Z36" s="3"/>
      <c r="AA36" s="20"/>
      <c r="AB36" s="3"/>
      <c r="AC36" s="3"/>
      <c r="AD36" s="20"/>
      <c r="AE36" s="3"/>
      <c r="AF36" s="3"/>
      <c r="AG36" s="20"/>
      <c r="AH36" s="107"/>
      <c r="AI36" s="107"/>
      <c r="AJ36" s="107"/>
      <c r="AK36" s="107"/>
      <c r="AL36" s="108"/>
      <c r="AN36" s="67">
        <f t="shared" si="2"/>
        <v>-2.3923987738897949</v>
      </c>
      <c r="AO36" s="67">
        <f t="shared" si="2"/>
        <v>-0.77887775688614624</v>
      </c>
      <c r="AP36" s="67">
        <f t="shared" si="2"/>
        <v>-1.2298620738831119</v>
      </c>
      <c r="AY36" s="67">
        <f t="shared" si="0"/>
        <v>293.39239877388979</v>
      </c>
      <c r="AZ36" s="67">
        <f t="shared" si="1"/>
        <v>82.778877756886146</v>
      </c>
      <c r="BA36" s="67">
        <f t="shared" si="3"/>
        <v>237.22986207388311</v>
      </c>
      <c r="BC36">
        <f t="shared" si="4"/>
        <v>35.442906055764126</v>
      </c>
      <c r="BD36">
        <v>1013.2</v>
      </c>
      <c r="BE36">
        <f t="shared" si="5"/>
        <v>30.920788561092973</v>
      </c>
    </row>
    <row r="37" spans="1:57" x14ac:dyDescent="0.2">
      <c r="A37" s="13">
        <v>28</v>
      </c>
      <c r="B37" s="3">
        <v>0</v>
      </c>
      <c r="C37" s="17">
        <v>7</v>
      </c>
      <c r="D37" s="3">
        <v>4</v>
      </c>
      <c r="E37" s="18">
        <v>10</v>
      </c>
      <c r="F37" s="18">
        <v>12</v>
      </c>
      <c r="G37" s="18">
        <v>72</v>
      </c>
      <c r="H37" s="19">
        <v>1</v>
      </c>
      <c r="I37" s="18">
        <v>6</v>
      </c>
      <c r="J37" s="18">
        <v>22</v>
      </c>
      <c r="K37" s="20">
        <v>146</v>
      </c>
      <c r="L37" s="18">
        <v>265</v>
      </c>
      <c r="M37" s="18">
        <v>248</v>
      </c>
      <c r="N37" s="18">
        <v>300</v>
      </c>
      <c r="O37" s="18">
        <v>87</v>
      </c>
      <c r="P37" s="18">
        <v>241</v>
      </c>
      <c r="Q37" s="17">
        <v>7</v>
      </c>
      <c r="R37" s="17">
        <v>8</v>
      </c>
      <c r="S37" s="17" t="s">
        <v>89</v>
      </c>
      <c r="T37" s="17" t="s">
        <v>89</v>
      </c>
      <c r="U37" s="17">
        <v>3</v>
      </c>
      <c r="V37" s="3">
        <v>8</v>
      </c>
      <c r="W37" s="20">
        <v>51</v>
      </c>
      <c r="X37" s="17">
        <v>8</v>
      </c>
      <c r="Y37" s="17">
        <v>7</v>
      </c>
      <c r="Z37" s="17">
        <v>6</v>
      </c>
      <c r="AA37" s="20">
        <v>120</v>
      </c>
      <c r="AB37" s="3"/>
      <c r="AC37" s="3"/>
      <c r="AD37" s="20"/>
      <c r="AE37" s="3"/>
      <c r="AF37" s="3"/>
      <c r="AG37" s="20"/>
      <c r="AH37" s="107" t="s">
        <v>85</v>
      </c>
      <c r="AI37" s="107"/>
      <c r="AJ37" s="107"/>
      <c r="AK37" s="107"/>
      <c r="AL37" s="108"/>
      <c r="AN37" s="67">
        <f t="shared" si="2"/>
        <v>-1.2365117319650949</v>
      </c>
      <c r="AO37" s="67">
        <f t="shared" si="2"/>
        <v>-1.9200538352464491E-2</v>
      </c>
      <c r="AP37" s="67">
        <f t="shared" si="2"/>
        <v>-0.61595034143815042</v>
      </c>
      <c r="AY37" s="67">
        <f t="shared" si="0"/>
        <v>301.23651173196509</v>
      </c>
      <c r="AZ37" s="67">
        <f t="shared" si="1"/>
        <v>87.019200538352464</v>
      </c>
      <c r="BA37" s="67">
        <f t="shared" si="3"/>
        <v>241.61595034143815</v>
      </c>
      <c r="BC37">
        <f t="shared" si="4"/>
        <v>34.617246523564582</v>
      </c>
      <c r="BD37">
        <v>1013.2</v>
      </c>
      <c r="BE37">
        <f t="shared" si="5"/>
        <v>31.29288340580451</v>
      </c>
    </row>
    <row r="38" spans="1:57" x14ac:dyDescent="0.2">
      <c r="A38" s="13">
        <v>29</v>
      </c>
      <c r="B38" s="3">
        <v>0</v>
      </c>
      <c r="C38" s="17">
        <v>4</v>
      </c>
      <c r="D38" s="3">
        <v>4</v>
      </c>
      <c r="E38" s="18">
        <v>8</v>
      </c>
      <c r="F38" s="18">
        <v>11</v>
      </c>
      <c r="G38" s="18">
        <v>65</v>
      </c>
      <c r="H38" s="19">
        <v>1</v>
      </c>
      <c r="I38" s="18">
        <v>15</v>
      </c>
      <c r="J38" s="18">
        <v>0</v>
      </c>
      <c r="K38" s="20">
        <v>149</v>
      </c>
      <c r="L38" s="18">
        <v>269</v>
      </c>
      <c r="M38" s="18">
        <v>246</v>
      </c>
      <c r="N38" s="18">
        <v>291</v>
      </c>
      <c r="O38" s="18">
        <v>82</v>
      </c>
      <c r="P38" s="18">
        <v>236</v>
      </c>
      <c r="Q38" s="17">
        <v>4</v>
      </c>
      <c r="R38" s="17">
        <v>8</v>
      </c>
      <c r="S38" s="17">
        <v>0</v>
      </c>
      <c r="T38" s="17">
        <v>0</v>
      </c>
      <c r="U38" s="17">
        <v>2</v>
      </c>
      <c r="V38" s="3">
        <v>8</v>
      </c>
      <c r="W38" s="20">
        <v>57</v>
      </c>
      <c r="X38" s="17">
        <v>8</v>
      </c>
      <c r="Y38" s="17">
        <v>3</v>
      </c>
      <c r="Z38" s="17">
        <v>6</v>
      </c>
      <c r="AA38" s="20">
        <v>114</v>
      </c>
      <c r="AB38" s="3"/>
      <c r="AC38" s="3"/>
      <c r="AD38" s="20"/>
      <c r="AE38" s="3"/>
      <c r="AF38" s="3"/>
      <c r="AG38" s="20"/>
      <c r="AH38" s="107" t="s">
        <v>90</v>
      </c>
      <c r="AI38" s="107"/>
      <c r="AJ38" s="107"/>
      <c r="AK38" s="107"/>
      <c r="AL38" s="108"/>
      <c r="AN38" s="67">
        <f t="shared" si="2"/>
        <v>-2.3923987738897949</v>
      </c>
      <c r="AO38" s="67">
        <f t="shared" si="2"/>
        <v>-0.77887775688614624</v>
      </c>
      <c r="AP38" s="67">
        <f t="shared" si="2"/>
        <v>-1.2298620738831119</v>
      </c>
      <c r="AY38" s="67">
        <f t="shared" si="0"/>
        <v>293.39239877388979</v>
      </c>
      <c r="AZ38" s="67">
        <f t="shared" si="1"/>
        <v>82.778877756886146</v>
      </c>
      <c r="BA38" s="67">
        <f t="shared" si="3"/>
        <v>237.22986207388311</v>
      </c>
      <c r="BC38">
        <f t="shared" si="4"/>
        <v>35.442906055764126</v>
      </c>
      <c r="BD38">
        <v>1013.2</v>
      </c>
      <c r="BE38">
        <f t="shared" si="5"/>
        <v>30.920788561092973</v>
      </c>
    </row>
    <row r="39" spans="1:57" x14ac:dyDescent="0.2">
      <c r="A39" s="13">
        <v>30</v>
      </c>
      <c r="B39" s="3">
        <v>0</v>
      </c>
      <c r="C39" s="17">
        <v>6</v>
      </c>
      <c r="D39" s="3">
        <v>4</v>
      </c>
      <c r="E39" s="18">
        <v>6</v>
      </c>
      <c r="F39" s="18">
        <v>12</v>
      </c>
      <c r="G39" s="18">
        <v>62</v>
      </c>
      <c r="H39" s="19">
        <v>1</v>
      </c>
      <c r="I39" s="18">
        <v>5</v>
      </c>
      <c r="J39" s="18">
        <v>82</v>
      </c>
      <c r="K39" s="20">
        <v>142</v>
      </c>
      <c r="L39" s="18">
        <v>245</v>
      </c>
      <c r="M39" s="18">
        <v>235</v>
      </c>
      <c r="N39" s="18">
        <v>281</v>
      </c>
      <c r="O39" s="18">
        <v>91</v>
      </c>
      <c r="P39" s="18">
        <v>230</v>
      </c>
      <c r="Q39" s="17">
        <v>6</v>
      </c>
      <c r="R39" s="17">
        <v>8</v>
      </c>
      <c r="S39" s="17">
        <v>0</v>
      </c>
      <c r="T39" s="17">
        <v>0</v>
      </c>
      <c r="U39" s="17">
        <v>2</v>
      </c>
      <c r="V39" s="3">
        <v>8</v>
      </c>
      <c r="W39" s="20">
        <v>54</v>
      </c>
      <c r="X39" s="17">
        <v>8</v>
      </c>
      <c r="Y39" s="17">
        <v>5</v>
      </c>
      <c r="Z39" s="17">
        <v>6</v>
      </c>
      <c r="AA39" s="20">
        <v>105</v>
      </c>
      <c r="AB39" s="3"/>
      <c r="AC39" s="3"/>
      <c r="AD39" s="20"/>
      <c r="AE39" s="3"/>
      <c r="AF39" s="3"/>
      <c r="AG39" s="20"/>
      <c r="AH39" s="107" t="s">
        <v>211</v>
      </c>
      <c r="AI39" s="107"/>
      <c r="AJ39" s="107"/>
      <c r="AK39" s="107"/>
      <c r="AL39" s="108"/>
      <c r="AN39" s="67">
        <f t="shared" si="2"/>
        <v>-1.5590174016500669</v>
      </c>
      <c r="AO39" s="67">
        <f t="shared" si="2"/>
        <v>-0.93037437811231882</v>
      </c>
      <c r="AP39" s="67">
        <f t="shared" si="2"/>
        <v>-1.0002946068011056</v>
      </c>
      <c r="AY39" s="67">
        <f t="shared" si="0"/>
        <v>282.55901740165007</v>
      </c>
      <c r="AZ39" s="67">
        <f t="shared" si="1"/>
        <v>91.930374378112319</v>
      </c>
      <c r="BA39" s="67">
        <f t="shared" si="3"/>
        <v>231.00029460680111</v>
      </c>
      <c r="BC39">
        <f t="shared" si="4"/>
        <v>30.736197835927069</v>
      </c>
      <c r="BD39">
        <v>1013.2</v>
      </c>
      <c r="BE39">
        <f t="shared" si="5"/>
        <v>28.94268568196501</v>
      </c>
    </row>
    <row r="40" spans="1:57" x14ac:dyDescent="0.2">
      <c r="A40" s="13"/>
      <c r="B40" s="3"/>
      <c r="C40" s="17"/>
      <c r="D40" s="3"/>
      <c r="E40" s="18"/>
      <c r="F40" s="18"/>
      <c r="G40" s="18"/>
      <c r="H40" s="19"/>
      <c r="I40" s="18"/>
      <c r="J40" s="18"/>
      <c r="K40" s="20"/>
      <c r="L40" s="18"/>
      <c r="M40" s="18"/>
      <c r="N40" s="18"/>
      <c r="O40" s="18"/>
      <c r="P40" s="18"/>
      <c r="Q40" s="17"/>
      <c r="R40" s="17"/>
      <c r="S40" s="17"/>
      <c r="T40" s="17"/>
      <c r="U40" s="17"/>
      <c r="V40" s="3"/>
      <c r="W40" s="20"/>
      <c r="X40" s="17"/>
      <c r="Y40" s="3"/>
      <c r="Z40" s="3"/>
      <c r="AA40" s="20"/>
      <c r="AB40" s="3"/>
      <c r="AC40" s="3"/>
      <c r="AD40" s="20"/>
      <c r="AE40" s="3"/>
      <c r="AF40" s="3"/>
      <c r="AG40" s="20"/>
      <c r="AH40" s="107"/>
      <c r="AI40" s="107"/>
      <c r="AJ40" s="107"/>
      <c r="AK40" s="107"/>
      <c r="AL40" s="108"/>
      <c r="AN40" s="67"/>
      <c r="AO40" s="67"/>
      <c r="AP40" s="67"/>
      <c r="AY40" s="67">
        <f t="shared" si="0"/>
        <v>61.120000000000005</v>
      </c>
      <c r="AZ40" s="67">
        <f t="shared" si="1"/>
        <v>100</v>
      </c>
      <c r="BA40" s="67">
        <f t="shared" si="3"/>
        <v>0</v>
      </c>
      <c r="BC40">
        <f t="shared" si="4"/>
        <v>6.1120000000000001</v>
      </c>
      <c r="BD40">
        <v>1013.2</v>
      </c>
      <c r="BE40">
        <f t="shared" si="5"/>
        <v>6.1120000000000001</v>
      </c>
    </row>
    <row r="41" spans="1:57" x14ac:dyDescent="0.2">
      <c r="A41" s="18"/>
      <c r="B41" s="3"/>
      <c r="C41" s="17"/>
      <c r="D41" s="3"/>
      <c r="E41" s="18"/>
      <c r="F41" s="18"/>
      <c r="G41" s="18"/>
      <c r="H41" s="19"/>
      <c r="I41" s="18"/>
      <c r="J41" s="18"/>
      <c r="K41" s="20"/>
      <c r="L41" s="18"/>
      <c r="M41" s="18"/>
      <c r="N41" s="18"/>
      <c r="O41" s="18"/>
      <c r="P41" s="18"/>
      <c r="Q41" s="17"/>
      <c r="R41" s="17"/>
      <c r="S41" s="17"/>
      <c r="T41" s="17"/>
      <c r="U41" s="17"/>
      <c r="V41" s="3"/>
      <c r="W41" s="20"/>
      <c r="X41" s="3"/>
      <c r="Y41" s="3"/>
      <c r="Z41" s="3"/>
      <c r="AA41" s="20"/>
      <c r="AB41" s="3"/>
      <c r="AC41" s="3"/>
      <c r="AD41" s="20"/>
      <c r="AE41" s="3"/>
      <c r="AF41" s="3"/>
      <c r="AG41" s="20"/>
      <c r="AH41" s="109" t="s">
        <v>235</v>
      </c>
      <c r="AI41" s="107"/>
      <c r="AJ41" s="107"/>
      <c r="AK41" s="107"/>
      <c r="AL41" s="108"/>
      <c r="AN41" s="67"/>
      <c r="AO41" s="67"/>
      <c r="AP41" s="67"/>
    </row>
    <row r="42" spans="1:57" x14ac:dyDescent="0.2">
      <c r="A42" s="13" t="s">
        <v>9</v>
      </c>
      <c r="B42" s="1"/>
      <c r="C42" s="21">
        <f>SUM(C10:C40)</f>
        <v>122</v>
      </c>
      <c r="D42" s="1"/>
      <c r="E42" s="13"/>
      <c r="F42" s="13">
        <f>SUM(F10:F40)</f>
        <v>241</v>
      </c>
      <c r="G42" s="13"/>
      <c r="H42" s="2"/>
      <c r="I42" s="13"/>
      <c r="J42" s="13"/>
      <c r="K42" s="22">
        <f>SUM(K10:K40)</f>
        <v>3985</v>
      </c>
      <c r="L42" s="13">
        <f>SUM(L10:L40)</f>
        <v>7898</v>
      </c>
      <c r="M42" s="13">
        <f>SUM(M10:M40)</f>
        <v>7292</v>
      </c>
      <c r="N42" s="13">
        <f>SUM(N10:N40)</f>
        <v>8647</v>
      </c>
      <c r="O42" s="13">
        <f>SUM(O10:O40)</f>
        <v>2525</v>
      </c>
      <c r="P42" s="13">
        <f t="shared" ref="P42" si="6">SUM(P10:P40)</f>
        <v>7021</v>
      </c>
      <c r="Q42" s="21">
        <f>SUM(Q10:Q40)</f>
        <v>80</v>
      </c>
      <c r="R42" s="21"/>
      <c r="S42" s="21"/>
      <c r="T42" s="21"/>
      <c r="U42" s="21"/>
      <c r="V42" s="1"/>
      <c r="W42" s="22"/>
      <c r="X42" s="1"/>
      <c r="Y42" s="1"/>
      <c r="Z42" s="1"/>
      <c r="AA42" s="22"/>
      <c r="AB42" s="1"/>
      <c r="AC42" s="1"/>
      <c r="AD42" s="22"/>
      <c r="AE42" s="1"/>
      <c r="AF42" s="1"/>
      <c r="AG42" s="22"/>
      <c r="AH42" s="116"/>
      <c r="AI42" s="116"/>
      <c r="AJ42" s="116"/>
      <c r="AK42" s="116"/>
      <c r="AL42" s="117"/>
      <c r="AN42" s="67"/>
      <c r="AO42" s="67"/>
      <c r="AP42" s="67"/>
    </row>
    <row r="43" spans="1:57" ht="13.5" thickBot="1" x14ac:dyDescent="0.25">
      <c r="A43" s="23" t="s">
        <v>10</v>
      </c>
      <c r="B43" s="24"/>
      <c r="C43" s="25">
        <f>AVERAGE(C10:C40)</f>
        <v>4.0666666666666664</v>
      </c>
      <c r="D43" s="24"/>
      <c r="E43" s="23">
        <f>MODE(E10:E40)</f>
        <v>8</v>
      </c>
      <c r="F43" s="23">
        <f>AVERAGE(F10:F40)</f>
        <v>8.0333333333333332</v>
      </c>
      <c r="G43" s="23"/>
      <c r="H43" s="26"/>
      <c r="I43" s="23"/>
      <c r="J43" s="23"/>
      <c r="K43" s="27">
        <f>AVERAGE(K10:K40)</f>
        <v>132.83333333333334</v>
      </c>
      <c r="L43" s="23">
        <f t="shared" ref="L43:Q43" si="7">AVERAGE(L10:L40)</f>
        <v>263.26666666666665</v>
      </c>
      <c r="M43" s="23">
        <f t="shared" si="7"/>
        <v>243.06666666666666</v>
      </c>
      <c r="N43" s="23">
        <f t="shared" si="7"/>
        <v>288.23333333333335</v>
      </c>
      <c r="O43" s="23">
        <f t="shared" si="7"/>
        <v>84.166666666666671</v>
      </c>
      <c r="P43" s="23">
        <f>AVERAGE(P10:P40)</f>
        <v>234.03333333333333</v>
      </c>
      <c r="Q43" s="25">
        <f t="shared" si="7"/>
        <v>2.6666666666666665</v>
      </c>
      <c r="R43" s="25"/>
      <c r="S43" s="25"/>
      <c r="T43" s="25"/>
      <c r="U43" s="25"/>
      <c r="V43" s="24"/>
      <c r="W43" s="27"/>
      <c r="X43" s="24"/>
      <c r="Y43" s="24"/>
      <c r="Z43" s="24"/>
      <c r="AA43" s="27"/>
      <c r="AB43" s="24"/>
      <c r="AC43" s="24"/>
      <c r="AD43" s="27"/>
      <c r="AE43" s="24"/>
      <c r="AF43" s="24"/>
      <c r="AG43" s="27"/>
      <c r="AH43" s="111"/>
      <c r="AI43" s="111"/>
      <c r="AJ43" s="111"/>
      <c r="AK43" s="111"/>
      <c r="AL43" s="112"/>
      <c r="AN43" s="67">
        <f>AVERAGE(AN10:AN40)</f>
        <v>-1.8512356786942614</v>
      </c>
      <c r="AO43" s="67">
        <f t="shared" ref="AO43:AP43" si="8">AVERAGE(AO10:AO40)</f>
        <v>-0.49206900011157162</v>
      </c>
      <c r="AP43" s="67">
        <f t="shared" si="8"/>
        <v>-1.2072612984822446</v>
      </c>
    </row>
    <row r="44" spans="1:57" x14ac:dyDescent="0.2">
      <c r="E44" s="11"/>
      <c r="G44" s="11"/>
      <c r="K44" s="4"/>
      <c r="M44" s="11"/>
      <c r="P44" s="11"/>
      <c r="Q44" s="11"/>
      <c r="W44" s="4"/>
      <c r="AA44" s="4"/>
      <c r="AD44" s="4"/>
    </row>
    <row r="45" spans="1:57" x14ac:dyDescent="0.2">
      <c r="E45" s="11"/>
      <c r="G45" s="11"/>
      <c r="K45" s="4"/>
      <c r="M45" s="11"/>
      <c r="P45" s="11"/>
      <c r="Q45" s="11"/>
      <c r="W45" s="4"/>
      <c r="AA45" s="4"/>
    </row>
    <row r="46" spans="1:57" x14ac:dyDescent="0.2">
      <c r="E46" s="11"/>
      <c r="G46" s="11"/>
      <c r="M46" s="11"/>
      <c r="P46" s="11"/>
      <c r="Q46" s="11"/>
      <c r="W46" s="4"/>
      <c r="AA46" s="4"/>
    </row>
    <row r="47" spans="1:57" x14ac:dyDescent="0.2">
      <c r="E47" s="11"/>
      <c r="G47" s="11"/>
      <c r="M47" s="11"/>
      <c r="P47" s="11"/>
      <c r="Q47" s="11"/>
    </row>
    <row r="48" spans="1:57" x14ac:dyDescent="0.2">
      <c r="E48" s="11"/>
      <c r="G48" s="11"/>
      <c r="M48" s="11"/>
      <c r="P48" s="11"/>
      <c r="Q48" s="11"/>
    </row>
    <row r="49" spans="5:17" x14ac:dyDescent="0.2">
      <c r="E49" s="11"/>
      <c r="G49" s="11"/>
      <c r="M49" s="11"/>
      <c r="P49" s="11"/>
      <c r="Q49" s="11"/>
    </row>
  </sheetData>
  <mergeCells count="72">
    <mergeCell ref="AH41:AL41"/>
    <mergeCell ref="AH42:AL42"/>
    <mergeCell ref="AH43:AL43"/>
    <mergeCell ref="AH36:AL36"/>
    <mergeCell ref="AH37:AL37"/>
    <mergeCell ref="AH38:AL38"/>
    <mergeCell ref="AH39:AL39"/>
    <mergeCell ref="AH40:AL40"/>
    <mergeCell ref="AH31:AL31"/>
    <mergeCell ref="AH32:AL32"/>
    <mergeCell ref="AH33:AL33"/>
    <mergeCell ref="AH34:AL34"/>
    <mergeCell ref="AH35:AL35"/>
    <mergeCell ref="AH26:AL26"/>
    <mergeCell ref="AH27:AL27"/>
    <mergeCell ref="AH28:AL28"/>
    <mergeCell ref="AH29:AL29"/>
    <mergeCell ref="AH30:AL30"/>
    <mergeCell ref="AH21:AL21"/>
    <mergeCell ref="AH22:AL22"/>
    <mergeCell ref="AH23:AL23"/>
    <mergeCell ref="AH24:AL24"/>
    <mergeCell ref="AH25:AL25"/>
    <mergeCell ref="AH16:AL16"/>
    <mergeCell ref="AH17:AL17"/>
    <mergeCell ref="AH18:AL18"/>
    <mergeCell ref="AH19:AL19"/>
    <mergeCell ref="AH20:AL20"/>
    <mergeCell ref="AH11:AL11"/>
    <mergeCell ref="AH12:AL12"/>
    <mergeCell ref="AH13:AL13"/>
    <mergeCell ref="AH14:AL14"/>
    <mergeCell ref="AH15:AL15"/>
    <mergeCell ref="U8:W8"/>
    <mergeCell ref="X8:AA8"/>
    <mergeCell ref="AB8:AD8"/>
    <mergeCell ref="AE8:AG8"/>
    <mergeCell ref="AH10:AL10"/>
    <mergeCell ref="AH7:AL9"/>
    <mergeCell ref="P8:P9"/>
    <mergeCell ref="Q8:Q9"/>
    <mergeCell ref="R8:R9"/>
    <mergeCell ref="S8:S9"/>
    <mergeCell ref="T8:T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3:T3"/>
    <mergeCell ref="E7:F7"/>
    <mergeCell ref="L7:P7"/>
    <mergeCell ref="Q7:T7"/>
    <mergeCell ref="U7:AG7"/>
    <mergeCell ref="AN7:AP7"/>
    <mergeCell ref="AY7:BA7"/>
    <mergeCell ref="AN8:AN9"/>
    <mergeCell ref="AO8:AO9"/>
    <mergeCell ref="AP8:AP9"/>
    <mergeCell ref="AY8:AY9"/>
    <mergeCell ref="AZ8:AZ9"/>
    <mergeCell ref="BA8:BA9"/>
  </mergeCells>
  <phoneticPr fontId="2" type="noConversion"/>
  <dataValidations count="5">
    <dataValidation type="whole" allowBlank="1" showInputMessage="1" showErrorMessage="1" sqref="C10:C40" xr:uid="{00000000-0002-0000-1400-000000000000}">
      <formula1>0</formula1>
      <formula2>9</formula2>
    </dataValidation>
    <dataValidation type="whole" allowBlank="1" showInputMessage="1" showErrorMessage="1" sqref="Y10:Y40" xr:uid="{00000000-0002-0000-1400-000001000000}">
      <formula1>3</formula1>
      <formula2>9</formula2>
    </dataValidation>
    <dataValidation type="whole" allowBlank="1" showInputMessage="1" showErrorMessage="1" sqref="AB10:AB40" xr:uid="{00000000-0002-0000-1400-000002000000}">
      <formula1>5</formula1>
      <formula2>9</formula2>
    </dataValidation>
    <dataValidation type="whole" allowBlank="1" showInputMessage="1" showErrorMessage="1" sqref="D10:D40" xr:uid="{00000000-0002-0000-1400-000003000000}">
      <formula1>0</formula1>
      <formula2>4</formula2>
    </dataValidation>
    <dataValidation type="whole" allowBlank="1" showInputMessage="1" showErrorMessage="1" sqref="AE10:AE40" xr:uid="{00000000-0002-0000-1400-000004000000}">
      <formula1>1</formula1>
      <formula2>9</formula2>
    </dataValidation>
  </dataValidations>
  <pageMargins left="0.75" right="0.75" top="1" bottom="1" header="0.5" footer="0.5"/>
  <pageSetup orientation="portrait" horizont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E49"/>
  <sheetViews>
    <sheetView workbookViewId="0">
      <pane xSplit="2" ySplit="9" topLeftCell="C10" activePane="bottomRight" state="frozen"/>
      <selection activeCell="AM2" sqref="AM2"/>
      <selection pane="topRight" activeCell="AM2" sqref="AM2"/>
      <selection pane="bottomLeft" activeCell="AM2" sqref="AM2"/>
      <selection pane="bottomRight" activeCell="X10" sqref="X10"/>
    </sheetView>
  </sheetViews>
  <sheetFormatPr defaultRowHeight="12.75" x14ac:dyDescent="0.2"/>
  <cols>
    <col min="1" max="1" width="4.28515625" bestFit="1" customWidth="1"/>
    <col min="2" max="2" width="5.140625" bestFit="1" customWidth="1"/>
    <col min="3" max="3" width="4" bestFit="1" customWidth="1"/>
    <col min="4" max="5" width="3" bestFit="1" customWidth="1"/>
    <col min="6" max="6" width="4" bestFit="1" customWidth="1"/>
    <col min="7" max="10" width="3" bestFit="1" customWidth="1"/>
    <col min="11" max="11" width="8.5703125" bestFit="1" customWidth="1"/>
    <col min="12" max="16" width="5" bestFit="1" customWidth="1"/>
    <col min="17" max="22" width="3" bestFit="1" customWidth="1"/>
    <col min="23" max="23" width="5.28515625" bestFit="1" customWidth="1"/>
    <col min="24" max="26" width="3" bestFit="1" customWidth="1"/>
    <col min="27" max="27" width="5.28515625" bestFit="1" customWidth="1"/>
    <col min="28" max="29" width="3" bestFit="1" customWidth="1"/>
    <col min="30" max="30" width="5.28515625" bestFit="1" customWidth="1"/>
    <col min="31" max="32" width="3" bestFit="1" customWidth="1"/>
    <col min="33" max="33" width="5.28515625" bestFit="1" customWidth="1"/>
    <col min="34" max="34" width="5.42578125" customWidth="1"/>
    <col min="40" max="42" width="4.7109375" customWidth="1"/>
    <col min="50" max="58" width="0" hidden="1" customWidth="1"/>
  </cols>
  <sheetData>
    <row r="1" spans="1:5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  <c r="P1" s="1"/>
      <c r="Q1" s="1"/>
      <c r="R1" s="1"/>
    </row>
    <row r="2" spans="1:57" ht="36.75" customHeight="1" x14ac:dyDescent="0.2">
      <c r="A2" s="1"/>
      <c r="B2" s="1"/>
      <c r="C2" s="1"/>
      <c r="D2" s="1"/>
      <c r="E2" s="1"/>
      <c r="F2" s="1"/>
      <c r="G2" s="1"/>
      <c r="H2" s="1"/>
      <c r="I2" s="2"/>
      <c r="J2" s="2"/>
      <c r="K2" s="1"/>
      <c r="L2" s="1"/>
      <c r="M2" s="1"/>
      <c r="O2" s="2"/>
      <c r="P2" s="1"/>
      <c r="Q2" s="1"/>
      <c r="R2" s="1"/>
    </row>
    <row r="3" spans="1:5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80"/>
      <c r="Q3" s="80"/>
      <c r="R3" s="80"/>
      <c r="S3" s="80"/>
      <c r="T3" s="80"/>
    </row>
    <row r="4" spans="1:5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7" spans="1:57" ht="14.25" x14ac:dyDescent="0.25">
      <c r="A7" s="7"/>
      <c r="B7" s="7"/>
      <c r="C7" s="7"/>
      <c r="D7" s="7"/>
      <c r="E7" s="81" t="s">
        <v>20</v>
      </c>
      <c r="F7" s="81"/>
      <c r="G7" s="7"/>
      <c r="H7" s="7"/>
      <c r="I7" s="7"/>
      <c r="J7" s="7"/>
      <c r="K7" s="7"/>
      <c r="L7" s="82" t="s">
        <v>11</v>
      </c>
      <c r="M7" s="82"/>
      <c r="N7" s="82"/>
      <c r="O7" s="82"/>
      <c r="P7" s="82"/>
      <c r="Q7" s="83" t="s">
        <v>29</v>
      </c>
      <c r="R7" s="83"/>
      <c r="S7" s="83"/>
      <c r="T7" s="83"/>
      <c r="U7" s="84" t="s">
        <v>33</v>
      </c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98" t="s">
        <v>8</v>
      </c>
      <c r="AI7" s="99"/>
      <c r="AJ7" s="99"/>
      <c r="AK7" s="99"/>
      <c r="AL7" s="100"/>
      <c r="AN7" s="73" t="s">
        <v>80</v>
      </c>
      <c r="AO7" s="74"/>
      <c r="AP7" s="75"/>
      <c r="AY7" s="76" t="s">
        <v>81</v>
      </c>
      <c r="AZ7" s="77"/>
      <c r="BA7" s="78"/>
    </row>
    <row r="8" spans="1:57" ht="16.5" customHeight="1" x14ac:dyDescent="0.2">
      <c r="A8" s="85" t="s">
        <v>18</v>
      </c>
      <c r="B8" s="89" t="s">
        <v>19</v>
      </c>
      <c r="C8" s="90" t="s">
        <v>23</v>
      </c>
      <c r="D8" s="88" t="s">
        <v>24</v>
      </c>
      <c r="E8" s="91" t="s">
        <v>25</v>
      </c>
      <c r="F8" s="86" t="s">
        <v>26</v>
      </c>
      <c r="G8" s="88" t="s">
        <v>27</v>
      </c>
      <c r="H8" s="88" t="s">
        <v>0</v>
      </c>
      <c r="I8" s="88" t="s">
        <v>21</v>
      </c>
      <c r="J8" s="88" t="s">
        <v>22</v>
      </c>
      <c r="K8" s="85" t="s">
        <v>28</v>
      </c>
      <c r="L8" s="79" t="s">
        <v>1</v>
      </c>
      <c r="M8" s="79" t="s">
        <v>2</v>
      </c>
      <c r="N8" s="79" t="s">
        <v>3</v>
      </c>
      <c r="O8" s="79" t="s">
        <v>4</v>
      </c>
      <c r="P8" s="79" t="s">
        <v>5</v>
      </c>
      <c r="Q8" s="92" t="s">
        <v>34</v>
      </c>
      <c r="R8" s="92" t="s">
        <v>30</v>
      </c>
      <c r="S8" s="92" t="s">
        <v>31</v>
      </c>
      <c r="T8" s="92" t="s">
        <v>32</v>
      </c>
      <c r="U8" s="93" t="s">
        <v>38</v>
      </c>
      <c r="V8" s="93"/>
      <c r="W8" s="93"/>
      <c r="X8" s="93" t="s">
        <v>39</v>
      </c>
      <c r="Y8" s="93"/>
      <c r="Z8" s="93"/>
      <c r="AA8" s="93"/>
      <c r="AB8" s="93" t="s">
        <v>40</v>
      </c>
      <c r="AC8" s="93"/>
      <c r="AD8" s="93"/>
      <c r="AE8" s="93" t="s">
        <v>41</v>
      </c>
      <c r="AF8" s="94"/>
      <c r="AG8" s="95"/>
      <c r="AH8" s="101"/>
      <c r="AI8" s="102"/>
      <c r="AJ8" s="102"/>
      <c r="AK8" s="102"/>
      <c r="AL8" s="103"/>
      <c r="AN8" s="79" t="s">
        <v>3</v>
      </c>
      <c r="AO8" s="79" t="s">
        <v>4</v>
      </c>
      <c r="AP8" s="79" t="s">
        <v>5</v>
      </c>
      <c r="AY8" s="79" t="s">
        <v>3</v>
      </c>
      <c r="AZ8" s="79" t="s">
        <v>4</v>
      </c>
      <c r="BA8" s="79" t="s">
        <v>5</v>
      </c>
    </row>
    <row r="9" spans="1:57" s="3" customFormat="1" ht="72" customHeight="1" x14ac:dyDescent="0.2">
      <c r="A9" s="85"/>
      <c r="B9" s="89"/>
      <c r="C9" s="90"/>
      <c r="D9" s="88"/>
      <c r="E9" s="91"/>
      <c r="F9" s="87"/>
      <c r="G9" s="88"/>
      <c r="H9" s="88"/>
      <c r="I9" s="88"/>
      <c r="J9" s="88"/>
      <c r="K9" s="85"/>
      <c r="L9" s="79"/>
      <c r="M9" s="79"/>
      <c r="N9" s="79"/>
      <c r="O9" s="79"/>
      <c r="P9" s="79"/>
      <c r="Q9" s="92"/>
      <c r="R9" s="92"/>
      <c r="S9" s="92"/>
      <c r="T9" s="92"/>
      <c r="U9" s="8" t="s">
        <v>16</v>
      </c>
      <c r="V9" s="8" t="s">
        <v>6</v>
      </c>
      <c r="W9" s="9" t="s">
        <v>7</v>
      </c>
      <c r="X9" s="8" t="s">
        <v>17</v>
      </c>
      <c r="Y9" s="8" t="s">
        <v>16</v>
      </c>
      <c r="Z9" s="8" t="s">
        <v>6</v>
      </c>
      <c r="AA9" s="9" t="s">
        <v>7</v>
      </c>
      <c r="AB9" s="8" t="s">
        <v>16</v>
      </c>
      <c r="AC9" s="8" t="s">
        <v>6</v>
      </c>
      <c r="AD9" s="9" t="s">
        <v>7</v>
      </c>
      <c r="AE9" s="8" t="s">
        <v>16</v>
      </c>
      <c r="AF9" s="8" t="s">
        <v>6</v>
      </c>
      <c r="AG9" s="9" t="s">
        <v>7</v>
      </c>
      <c r="AH9" s="104"/>
      <c r="AI9" s="105"/>
      <c r="AJ9" s="105"/>
      <c r="AK9" s="105"/>
      <c r="AL9" s="106"/>
      <c r="AN9" s="79"/>
      <c r="AO9" s="79"/>
      <c r="AP9" s="79"/>
      <c r="AY9" s="79"/>
      <c r="AZ9" s="79"/>
      <c r="BA9" s="79"/>
      <c r="BC9" s="3" t="s">
        <v>82</v>
      </c>
      <c r="BD9" s="3" t="s">
        <v>83</v>
      </c>
      <c r="BE9" s="3" t="s">
        <v>84</v>
      </c>
    </row>
    <row r="10" spans="1:57" x14ac:dyDescent="0.2">
      <c r="A10" s="13">
        <v>1</v>
      </c>
      <c r="B10" s="3">
        <v>23</v>
      </c>
      <c r="C10" s="17">
        <v>3</v>
      </c>
      <c r="D10" s="3">
        <v>4</v>
      </c>
      <c r="E10" s="18">
        <v>10</v>
      </c>
      <c r="F10" s="18">
        <v>12</v>
      </c>
      <c r="G10" s="18">
        <v>76</v>
      </c>
      <c r="H10" s="19">
        <v>2</v>
      </c>
      <c r="I10" s="18"/>
      <c r="J10" s="18"/>
      <c r="K10" s="20">
        <v>141</v>
      </c>
      <c r="L10" s="18">
        <v>267</v>
      </c>
      <c r="M10" s="18">
        <v>245</v>
      </c>
      <c r="N10" s="18">
        <v>290</v>
      </c>
      <c r="O10" s="18">
        <v>83</v>
      </c>
      <c r="P10" s="18">
        <v>235</v>
      </c>
      <c r="Q10" s="17">
        <v>2</v>
      </c>
      <c r="R10" s="17">
        <v>2</v>
      </c>
      <c r="S10" s="17">
        <v>0</v>
      </c>
      <c r="T10" s="17">
        <v>2</v>
      </c>
      <c r="U10" s="17">
        <v>2</v>
      </c>
      <c r="V10" s="3">
        <v>8</v>
      </c>
      <c r="W10" s="20">
        <v>60</v>
      </c>
      <c r="X10" s="3">
        <v>8</v>
      </c>
      <c r="Y10" s="3"/>
      <c r="Z10" s="3"/>
      <c r="AA10" s="20"/>
      <c r="AB10" s="3"/>
      <c r="AC10" s="3"/>
      <c r="AD10" s="20"/>
      <c r="AE10" s="3"/>
      <c r="AF10" s="3"/>
      <c r="AG10" s="20"/>
      <c r="AH10" s="96"/>
      <c r="AI10" s="96"/>
      <c r="AJ10" s="96"/>
      <c r="AK10" s="96"/>
      <c r="AL10" s="97"/>
      <c r="AN10" s="67">
        <f>N10-AY10</f>
        <v>-2.2358132260706611</v>
      </c>
      <c r="AO10" s="67">
        <f>O10-AZ10</f>
        <v>-0.42932433579908036</v>
      </c>
      <c r="AP10" s="67">
        <f>P10-BA10</f>
        <v>-1.5744839872939735</v>
      </c>
      <c r="AY10" s="67">
        <f t="shared" ref="AY10:AY40" si="0">10*(BE10-BD10*((L10/10)-(M10/10))*0.00066*(1+(0.00115*(M10/10))))</f>
        <v>292.23581322607066</v>
      </c>
      <c r="AZ10" s="67">
        <f t="shared" ref="AZ10:AZ40" si="1">((AY10/10)*100)/BC10</f>
        <v>83.42932433579908</v>
      </c>
      <c r="BA10" s="67">
        <f>(243.5*LN((AY10/10)/6.112))/(17.67-LN((AY10/10)/6.112))*10</f>
        <v>236.57448398729397</v>
      </c>
      <c r="BC10">
        <f>6.112*2.718^((17.67*(L10/10))/((L10/10)+243.5))</f>
        <v>35.027949171664794</v>
      </c>
      <c r="BD10">
        <v>1013.2</v>
      </c>
      <c r="BE10">
        <f>6.112*2.718^((17.67*(M10/10))/((M10/10)+243.5))</f>
        <v>30.736197835927069</v>
      </c>
    </row>
    <row r="11" spans="1:57" x14ac:dyDescent="0.2">
      <c r="A11" s="13">
        <v>2</v>
      </c>
      <c r="B11" s="3">
        <v>23</v>
      </c>
      <c r="C11" s="17">
        <v>2</v>
      </c>
      <c r="D11" s="3">
        <v>4</v>
      </c>
      <c r="E11" s="18">
        <v>9</v>
      </c>
      <c r="F11" s="18">
        <v>7</v>
      </c>
      <c r="G11" s="18">
        <v>72</v>
      </c>
      <c r="H11" s="19">
        <v>1</v>
      </c>
      <c r="I11" s="18">
        <v>6</v>
      </c>
      <c r="J11" s="18">
        <v>11</v>
      </c>
      <c r="K11" s="20">
        <v>138</v>
      </c>
      <c r="L11" s="18">
        <v>266</v>
      </c>
      <c r="M11" s="18">
        <v>245</v>
      </c>
      <c r="N11" s="18">
        <v>292</v>
      </c>
      <c r="O11" s="18">
        <v>83</v>
      </c>
      <c r="P11" s="18">
        <v>236</v>
      </c>
      <c r="Q11" s="17">
        <v>1</v>
      </c>
      <c r="R11" s="17">
        <v>4</v>
      </c>
      <c r="S11" s="17">
        <v>0</v>
      </c>
      <c r="T11" s="17">
        <v>1</v>
      </c>
      <c r="U11" s="17">
        <v>1</v>
      </c>
      <c r="V11" s="3">
        <v>8</v>
      </c>
      <c r="W11" s="20">
        <v>54</v>
      </c>
      <c r="X11" s="3">
        <v>8</v>
      </c>
      <c r="Y11" s="3"/>
      <c r="Z11" s="3"/>
      <c r="AA11" s="20"/>
      <c r="AB11" s="3"/>
      <c r="AC11" s="3"/>
      <c r="AD11" s="20"/>
      <c r="AE11" s="3"/>
      <c r="AF11" s="3"/>
      <c r="AG11" s="20"/>
      <c r="AH11" s="107" t="s">
        <v>240</v>
      </c>
      <c r="AI11" s="107"/>
      <c r="AJ11" s="107"/>
      <c r="AK11" s="107"/>
      <c r="AL11" s="108"/>
      <c r="AN11" s="67">
        <f t="shared" ref="AN11:AP39" si="2">N11-AY11</f>
        <v>-0.92336618667070525</v>
      </c>
      <c r="AO11" s="67">
        <f t="shared" si="2"/>
        <v>-1.1200364534603722</v>
      </c>
      <c r="AP11" s="67">
        <f t="shared" si="2"/>
        <v>-0.96435842587442266</v>
      </c>
      <c r="AY11" s="67">
        <f t="shared" si="0"/>
        <v>292.92336618667071</v>
      </c>
      <c r="AZ11" s="67">
        <f t="shared" si="1"/>
        <v>84.120036453460372</v>
      </c>
      <c r="BA11" s="67">
        <f t="shared" ref="BA11:BA40" si="3">(243.5*LN((AY11/10)/6.112))/(17.67-LN((AY11/10)/6.112))*10</f>
        <v>236.96435842587442</v>
      </c>
      <c r="BC11">
        <f t="shared" ref="BC11:BC40" si="4">6.112*2.718^((17.67*(L11/10))/((L11/10)+243.5))</f>
        <v>34.822068384234633</v>
      </c>
      <c r="BD11">
        <v>1013.2</v>
      </c>
      <c r="BE11">
        <f t="shared" ref="BE11:BE40" si="5">6.112*2.718^((17.67*(M11/10))/((M11/10)+243.5))</f>
        <v>30.736197835927069</v>
      </c>
    </row>
    <row r="12" spans="1:57" x14ac:dyDescent="0.2">
      <c r="A12" s="13">
        <v>3</v>
      </c>
      <c r="B12" s="3">
        <v>23</v>
      </c>
      <c r="C12" s="17">
        <v>1</v>
      </c>
      <c r="D12" s="3">
        <v>4</v>
      </c>
      <c r="E12" s="18">
        <v>9</v>
      </c>
      <c r="F12" s="18">
        <v>10</v>
      </c>
      <c r="G12" s="18">
        <v>75</v>
      </c>
      <c r="H12" s="19">
        <v>2</v>
      </c>
      <c r="I12" s="18"/>
      <c r="J12" s="18"/>
      <c r="K12" s="20">
        <v>140</v>
      </c>
      <c r="L12" s="18">
        <v>265</v>
      </c>
      <c r="M12" s="18">
        <v>242</v>
      </c>
      <c r="N12" s="18">
        <v>283</v>
      </c>
      <c r="O12" s="18">
        <v>82</v>
      </c>
      <c r="P12" s="18">
        <v>231</v>
      </c>
      <c r="Q12" s="17">
        <v>1</v>
      </c>
      <c r="R12" s="17">
        <v>2</v>
      </c>
      <c r="S12" s="17">
        <v>0</v>
      </c>
      <c r="T12" s="17">
        <v>0</v>
      </c>
      <c r="U12" s="17">
        <v>1</v>
      </c>
      <c r="V12" s="3">
        <v>8</v>
      </c>
      <c r="W12" s="20">
        <v>60</v>
      </c>
      <c r="X12" s="3">
        <v>8</v>
      </c>
      <c r="Y12" s="3"/>
      <c r="Z12" s="3"/>
      <c r="AA12" s="20"/>
      <c r="AB12" s="3"/>
      <c r="AC12" s="3"/>
      <c r="AD12" s="20"/>
      <c r="AE12" s="3"/>
      <c r="AF12" s="3"/>
      <c r="AG12" s="20"/>
      <c r="AH12" s="107"/>
      <c r="AI12" s="107"/>
      <c r="AJ12" s="107"/>
      <c r="AK12" s="107"/>
      <c r="AL12" s="108"/>
      <c r="AN12" s="67">
        <f t="shared" si="2"/>
        <v>-3.0735973093278517</v>
      </c>
      <c r="AO12" s="67">
        <f t="shared" si="2"/>
        <v>-0.63903864063608751</v>
      </c>
      <c r="AP12" s="67">
        <f t="shared" si="2"/>
        <v>-2.0438895991376569</v>
      </c>
      <c r="AY12" s="67">
        <f t="shared" si="0"/>
        <v>286.07359730932785</v>
      </c>
      <c r="AZ12" s="67">
        <f t="shared" si="1"/>
        <v>82.639038640636088</v>
      </c>
      <c r="BA12" s="67">
        <f t="shared" si="3"/>
        <v>233.04388959913766</v>
      </c>
      <c r="BC12">
        <f t="shared" si="4"/>
        <v>34.617246523564582</v>
      </c>
      <c r="BD12">
        <v>1013.2</v>
      </c>
      <c r="BE12">
        <f t="shared" si="5"/>
        <v>30.188200917340787</v>
      </c>
    </row>
    <row r="13" spans="1:57" x14ac:dyDescent="0.2">
      <c r="A13" s="13">
        <v>4</v>
      </c>
      <c r="B13" s="3">
        <v>23</v>
      </c>
      <c r="C13" s="17">
        <v>1</v>
      </c>
      <c r="D13" s="3">
        <v>4</v>
      </c>
      <c r="E13" s="18">
        <v>10</v>
      </c>
      <c r="F13" s="18">
        <v>10</v>
      </c>
      <c r="G13" s="18">
        <v>80</v>
      </c>
      <c r="H13" s="19">
        <v>2</v>
      </c>
      <c r="I13" s="18"/>
      <c r="J13" s="18"/>
      <c r="K13" s="20">
        <v>148</v>
      </c>
      <c r="L13" s="18">
        <v>270</v>
      </c>
      <c r="M13" s="18">
        <v>247</v>
      </c>
      <c r="N13" s="18">
        <v>293</v>
      </c>
      <c r="O13" s="18">
        <v>82</v>
      </c>
      <c r="P13" s="18">
        <v>237</v>
      </c>
      <c r="Q13" s="17">
        <v>1</v>
      </c>
      <c r="R13" s="17">
        <v>2</v>
      </c>
      <c r="S13" s="17">
        <v>0</v>
      </c>
      <c r="T13" s="17">
        <v>0</v>
      </c>
      <c r="U13" s="17">
        <v>1</v>
      </c>
      <c r="V13" s="3">
        <v>8</v>
      </c>
      <c r="W13" s="20">
        <v>63</v>
      </c>
      <c r="X13" s="3">
        <v>8</v>
      </c>
      <c r="Y13" s="3"/>
      <c r="Z13" s="3"/>
      <c r="AA13" s="20"/>
      <c r="AB13" s="3"/>
      <c r="AC13" s="3"/>
      <c r="AD13" s="20"/>
      <c r="AE13" s="3"/>
      <c r="AF13" s="3"/>
      <c r="AG13" s="20"/>
      <c r="AH13" s="107"/>
      <c r="AI13" s="107"/>
      <c r="AJ13" s="107"/>
      <c r="AK13" s="107"/>
      <c r="AL13" s="108"/>
      <c r="AN13" s="67">
        <f t="shared" si="2"/>
        <v>-2.2462342187101854</v>
      </c>
      <c r="AO13" s="67">
        <f t="shared" si="2"/>
        <v>-0.81339194531973646</v>
      </c>
      <c r="AP13" s="67">
        <f t="shared" si="2"/>
        <v>-1.2756313741485314</v>
      </c>
      <c r="AY13" s="67">
        <f t="shared" si="0"/>
        <v>295.24623421871019</v>
      </c>
      <c r="AZ13" s="67">
        <f t="shared" si="1"/>
        <v>82.813391945319736</v>
      </c>
      <c r="BA13" s="67">
        <f t="shared" si="3"/>
        <v>238.27563137414853</v>
      </c>
      <c r="BC13">
        <f t="shared" si="4"/>
        <v>35.651991457330503</v>
      </c>
      <c r="BD13">
        <v>1013.2</v>
      </c>
      <c r="BE13">
        <f t="shared" si="5"/>
        <v>31.106348979899021</v>
      </c>
    </row>
    <row r="14" spans="1:57" x14ac:dyDescent="0.2">
      <c r="A14" s="13">
        <v>5</v>
      </c>
      <c r="B14" s="3">
        <v>23</v>
      </c>
      <c r="C14" s="17">
        <v>3</v>
      </c>
      <c r="D14" s="3">
        <v>4</v>
      </c>
      <c r="E14" s="18">
        <v>9</v>
      </c>
      <c r="F14" s="18">
        <v>11</v>
      </c>
      <c r="G14" s="18">
        <v>78</v>
      </c>
      <c r="H14" s="19">
        <v>2</v>
      </c>
      <c r="I14" s="18"/>
      <c r="J14" s="18"/>
      <c r="K14" s="20">
        <v>150</v>
      </c>
      <c r="L14" s="18">
        <v>269</v>
      </c>
      <c r="M14" s="18">
        <v>249</v>
      </c>
      <c r="N14" s="18">
        <v>299</v>
      </c>
      <c r="O14" s="18">
        <v>84</v>
      </c>
      <c r="P14" s="18">
        <v>240</v>
      </c>
      <c r="Q14" s="17">
        <v>3</v>
      </c>
      <c r="R14" s="17">
        <v>2</v>
      </c>
      <c r="S14" s="17">
        <v>0</v>
      </c>
      <c r="T14" s="17">
        <v>0</v>
      </c>
      <c r="U14" s="17">
        <v>3</v>
      </c>
      <c r="V14" s="3">
        <v>8</v>
      </c>
      <c r="W14" s="20">
        <v>66</v>
      </c>
      <c r="X14" s="3">
        <v>8</v>
      </c>
      <c r="Y14" s="3"/>
      <c r="Z14" s="3"/>
      <c r="AA14" s="20"/>
      <c r="AB14" s="3"/>
      <c r="AC14" s="3"/>
      <c r="AD14" s="20"/>
      <c r="AE14" s="3"/>
      <c r="AF14" s="3"/>
      <c r="AG14" s="20"/>
      <c r="AH14" s="107"/>
      <c r="AI14" s="107"/>
      <c r="AJ14" s="107"/>
      <c r="AK14" s="107"/>
      <c r="AL14" s="108"/>
      <c r="AN14" s="67">
        <f t="shared" si="2"/>
        <v>-2.0467503139395831</v>
      </c>
      <c r="AO14" s="67">
        <f t="shared" si="2"/>
        <v>-0.93850640810531161</v>
      </c>
      <c r="AP14" s="67">
        <f t="shared" si="2"/>
        <v>-1.5110307194237578</v>
      </c>
      <c r="AY14" s="67">
        <f t="shared" si="0"/>
        <v>301.04675031393958</v>
      </c>
      <c r="AZ14" s="67">
        <f t="shared" si="1"/>
        <v>84.938506408105312</v>
      </c>
      <c r="BA14" s="67">
        <f t="shared" si="3"/>
        <v>241.51103071942376</v>
      </c>
      <c r="BC14">
        <f t="shared" si="4"/>
        <v>35.442906055764126</v>
      </c>
      <c r="BD14">
        <v>1013.2</v>
      </c>
      <c r="BE14">
        <f t="shared" si="5"/>
        <v>31.480396167633955</v>
      </c>
    </row>
    <row r="15" spans="1:57" x14ac:dyDescent="0.2">
      <c r="A15" s="13">
        <v>6</v>
      </c>
      <c r="B15" s="3">
        <v>23</v>
      </c>
      <c r="C15" s="17">
        <v>1</v>
      </c>
      <c r="D15" s="3">
        <v>4</v>
      </c>
      <c r="E15" s="18">
        <v>8</v>
      </c>
      <c r="F15" s="18">
        <v>10</v>
      </c>
      <c r="G15" s="18">
        <v>80</v>
      </c>
      <c r="H15" s="19">
        <v>2</v>
      </c>
      <c r="I15" s="18"/>
      <c r="J15" s="18"/>
      <c r="K15" s="20">
        <v>133</v>
      </c>
      <c r="L15" s="18">
        <v>265</v>
      </c>
      <c r="M15" s="18">
        <v>245</v>
      </c>
      <c r="N15" s="18">
        <v>291</v>
      </c>
      <c r="O15" s="18">
        <v>84</v>
      </c>
      <c r="P15" s="18">
        <v>236</v>
      </c>
      <c r="Q15" s="17">
        <v>1</v>
      </c>
      <c r="R15" s="17">
        <v>1</v>
      </c>
      <c r="S15" s="17">
        <v>0</v>
      </c>
      <c r="T15" s="17">
        <v>1</v>
      </c>
      <c r="U15" s="17">
        <v>1</v>
      </c>
      <c r="V15" s="3">
        <v>8</v>
      </c>
      <c r="W15" s="20">
        <v>69</v>
      </c>
      <c r="X15" s="3">
        <v>8</v>
      </c>
      <c r="Y15" s="3"/>
      <c r="Z15" s="3"/>
      <c r="AA15" s="20"/>
      <c r="AB15" s="3"/>
      <c r="AC15" s="3"/>
      <c r="AD15" s="20"/>
      <c r="AE15" s="3"/>
      <c r="AF15" s="3"/>
      <c r="AG15" s="20"/>
      <c r="AH15" s="107"/>
      <c r="AI15" s="107"/>
      <c r="AJ15" s="107"/>
      <c r="AK15" s="107"/>
      <c r="AL15" s="108"/>
      <c r="AN15" s="67">
        <f t="shared" si="2"/>
        <v>-2.6109191472706925</v>
      </c>
      <c r="AO15" s="67">
        <f t="shared" si="2"/>
        <v>-0.81637005629677617</v>
      </c>
      <c r="AP15" s="67">
        <f t="shared" si="2"/>
        <v>-1.3534322275399404</v>
      </c>
      <c r="AY15" s="67">
        <f t="shared" si="0"/>
        <v>293.61091914727069</v>
      </c>
      <c r="AZ15" s="67">
        <f t="shared" si="1"/>
        <v>84.816370056296776</v>
      </c>
      <c r="BA15" s="67">
        <f t="shared" si="3"/>
        <v>237.35343222753994</v>
      </c>
      <c r="BC15">
        <f t="shared" si="4"/>
        <v>34.617246523564582</v>
      </c>
      <c r="BD15">
        <v>1013.2</v>
      </c>
      <c r="BE15">
        <f t="shared" si="5"/>
        <v>30.736197835927069</v>
      </c>
    </row>
    <row r="16" spans="1:57" x14ac:dyDescent="0.2">
      <c r="A16" s="13">
        <v>7</v>
      </c>
      <c r="B16" s="3">
        <v>23</v>
      </c>
      <c r="C16" s="17">
        <v>1</v>
      </c>
      <c r="D16" s="3">
        <v>4</v>
      </c>
      <c r="E16" s="18">
        <v>10</v>
      </c>
      <c r="F16" s="18">
        <v>12</v>
      </c>
      <c r="G16" s="18">
        <v>75</v>
      </c>
      <c r="H16" s="19">
        <v>2</v>
      </c>
      <c r="I16" s="18"/>
      <c r="J16" s="18"/>
      <c r="K16" s="20">
        <v>121</v>
      </c>
      <c r="L16" s="18">
        <v>267</v>
      </c>
      <c r="M16" s="18">
        <v>242</v>
      </c>
      <c r="N16" s="18">
        <v>283</v>
      </c>
      <c r="O16" s="18">
        <v>81</v>
      </c>
      <c r="P16" s="18">
        <v>231</v>
      </c>
      <c r="Q16" s="17">
        <v>1</v>
      </c>
      <c r="R16" s="17">
        <v>2</v>
      </c>
      <c r="S16" s="17">
        <v>0</v>
      </c>
      <c r="T16" s="17">
        <v>1</v>
      </c>
      <c r="U16" s="17">
        <v>1</v>
      </c>
      <c r="V16" s="3">
        <v>8</v>
      </c>
      <c r="W16" s="20">
        <v>60</v>
      </c>
      <c r="X16" s="3">
        <v>8</v>
      </c>
      <c r="Y16" s="3"/>
      <c r="Z16" s="3"/>
      <c r="AA16" s="20"/>
      <c r="AB16" s="3"/>
      <c r="AC16" s="3"/>
      <c r="AD16" s="20"/>
      <c r="AE16" s="3"/>
      <c r="AF16" s="3"/>
      <c r="AG16" s="20"/>
      <c r="AH16" s="107"/>
      <c r="AI16" s="107"/>
      <c r="AJ16" s="107"/>
      <c r="AK16" s="107"/>
      <c r="AL16" s="108"/>
      <c r="AN16" s="67">
        <f t="shared" si="2"/>
        <v>-1.6989527994078344</v>
      </c>
      <c r="AO16" s="67">
        <f t="shared" si="2"/>
        <v>-0.27765385411423438</v>
      </c>
      <c r="AP16" s="67">
        <f t="shared" si="2"/>
        <v>-1.2472188274429072</v>
      </c>
      <c r="AY16" s="67">
        <f t="shared" si="0"/>
        <v>284.69895279940783</v>
      </c>
      <c r="AZ16" s="67">
        <f t="shared" si="1"/>
        <v>81.277653854114234</v>
      </c>
      <c r="BA16" s="67">
        <f t="shared" si="3"/>
        <v>232.24721882744291</v>
      </c>
      <c r="BC16">
        <f t="shared" si="4"/>
        <v>35.027949171664794</v>
      </c>
      <c r="BD16">
        <v>1013.2</v>
      </c>
      <c r="BE16">
        <f t="shared" si="5"/>
        <v>30.188200917340787</v>
      </c>
    </row>
    <row r="17" spans="1:57" x14ac:dyDescent="0.2">
      <c r="A17" s="13">
        <v>8</v>
      </c>
      <c r="B17" s="3">
        <v>23</v>
      </c>
      <c r="C17" s="17">
        <v>1</v>
      </c>
      <c r="D17" s="3">
        <v>4</v>
      </c>
      <c r="E17" s="18">
        <v>11</v>
      </c>
      <c r="F17" s="18">
        <v>13</v>
      </c>
      <c r="G17" s="18">
        <v>72</v>
      </c>
      <c r="H17" s="19">
        <v>1</v>
      </c>
      <c r="I17" s="18">
        <v>5</v>
      </c>
      <c r="J17" s="18">
        <v>11</v>
      </c>
      <c r="K17" s="20">
        <v>130</v>
      </c>
      <c r="L17" s="18">
        <v>271</v>
      </c>
      <c r="M17" s="18">
        <v>250</v>
      </c>
      <c r="N17" s="18">
        <v>300</v>
      </c>
      <c r="O17" s="18">
        <v>84</v>
      </c>
      <c r="P17" s="18">
        <v>241</v>
      </c>
      <c r="Q17" s="17">
        <v>1</v>
      </c>
      <c r="R17" s="17">
        <v>2</v>
      </c>
      <c r="S17" s="17">
        <v>0</v>
      </c>
      <c r="T17" s="17">
        <v>0</v>
      </c>
      <c r="U17" s="17">
        <v>1</v>
      </c>
      <c r="V17" s="3">
        <v>8</v>
      </c>
      <c r="W17" s="20">
        <v>60</v>
      </c>
      <c r="X17" s="3">
        <v>8</v>
      </c>
      <c r="Y17" s="3"/>
      <c r="Z17" s="3"/>
      <c r="AA17" s="20"/>
      <c r="AB17" s="3"/>
      <c r="AC17" s="3"/>
      <c r="AD17" s="20"/>
      <c r="AE17" s="3"/>
      <c r="AF17" s="3"/>
      <c r="AG17" s="20"/>
      <c r="AH17" s="107" t="s">
        <v>240</v>
      </c>
      <c r="AI17" s="107"/>
      <c r="AJ17" s="107"/>
      <c r="AK17" s="107"/>
      <c r="AL17" s="108"/>
      <c r="AN17" s="67">
        <f t="shared" si="2"/>
        <v>-2.2422292261599637</v>
      </c>
      <c r="AO17" s="67">
        <f t="shared" si="2"/>
        <v>-0.27888238187512115</v>
      </c>
      <c r="AP17" s="67">
        <f t="shared" si="2"/>
        <v>-1.1710501702949045</v>
      </c>
      <c r="AY17" s="67">
        <f t="shared" si="0"/>
        <v>302.24222922615996</v>
      </c>
      <c r="AZ17" s="67">
        <f t="shared" si="1"/>
        <v>84.278882381875121</v>
      </c>
      <c r="BA17" s="67">
        <f t="shared" si="3"/>
        <v>242.1710501702949</v>
      </c>
      <c r="BC17">
        <f t="shared" si="4"/>
        <v>35.862154395530958</v>
      </c>
      <c r="BD17">
        <v>1013.2</v>
      </c>
      <c r="BE17">
        <f t="shared" si="5"/>
        <v>31.668891609615997</v>
      </c>
    </row>
    <row r="18" spans="1:57" x14ac:dyDescent="0.2">
      <c r="A18" s="13">
        <v>9</v>
      </c>
      <c r="B18" s="3">
        <v>23</v>
      </c>
      <c r="C18" s="17">
        <v>4</v>
      </c>
      <c r="D18" s="3">
        <v>4</v>
      </c>
      <c r="E18" s="18">
        <v>9</v>
      </c>
      <c r="F18" s="18">
        <v>13</v>
      </c>
      <c r="G18" s="18">
        <v>78</v>
      </c>
      <c r="H18" s="19">
        <v>2</v>
      </c>
      <c r="I18" s="18"/>
      <c r="J18" s="18"/>
      <c r="K18" s="20">
        <v>130</v>
      </c>
      <c r="L18" s="18">
        <v>266</v>
      </c>
      <c r="M18" s="18">
        <v>246</v>
      </c>
      <c r="N18" s="18">
        <v>294</v>
      </c>
      <c r="O18" s="18">
        <v>84</v>
      </c>
      <c r="P18" s="18">
        <v>237</v>
      </c>
      <c r="Q18" s="17">
        <v>1</v>
      </c>
      <c r="R18" s="17">
        <v>2</v>
      </c>
      <c r="S18" s="17">
        <v>0</v>
      </c>
      <c r="T18" s="17">
        <v>1</v>
      </c>
      <c r="U18" s="17">
        <v>1</v>
      </c>
      <c r="V18" s="3">
        <v>8</v>
      </c>
      <c r="W18" s="20">
        <v>66</v>
      </c>
      <c r="X18" s="3">
        <v>8</v>
      </c>
      <c r="Y18" s="3">
        <v>4</v>
      </c>
      <c r="Z18" s="3">
        <v>0</v>
      </c>
      <c r="AA18" s="20">
        <v>900</v>
      </c>
      <c r="AB18" s="3"/>
      <c r="AC18" s="3"/>
      <c r="AD18" s="20"/>
      <c r="AE18" s="3"/>
      <c r="AF18" s="3"/>
      <c r="AG18" s="20"/>
      <c r="AH18" s="107"/>
      <c r="AI18" s="107"/>
      <c r="AJ18" s="107"/>
      <c r="AK18" s="107"/>
      <c r="AL18" s="108"/>
      <c r="AN18" s="67">
        <f t="shared" si="2"/>
        <v>-1.4552883613297354</v>
      </c>
      <c r="AO18" s="67">
        <f t="shared" si="2"/>
        <v>-0.84713920529038944</v>
      </c>
      <c r="AP18" s="67">
        <f t="shared" si="2"/>
        <v>-1.3932000873957691</v>
      </c>
      <c r="AY18" s="67">
        <f t="shared" si="0"/>
        <v>295.45528836132974</v>
      </c>
      <c r="AZ18" s="67">
        <f t="shared" si="1"/>
        <v>84.847139205290389</v>
      </c>
      <c r="BA18" s="67">
        <f t="shared" si="3"/>
        <v>238.39320008739577</v>
      </c>
      <c r="BC18">
        <f t="shared" si="4"/>
        <v>34.822068384234633</v>
      </c>
      <c r="BD18">
        <v>1013.2</v>
      </c>
      <c r="BE18">
        <f t="shared" si="5"/>
        <v>30.920788561092973</v>
      </c>
    </row>
    <row r="19" spans="1:57" x14ac:dyDescent="0.2">
      <c r="A19" s="13">
        <v>10</v>
      </c>
      <c r="B19" s="3">
        <v>23</v>
      </c>
      <c r="C19" s="17">
        <v>3</v>
      </c>
      <c r="D19" s="3">
        <v>4</v>
      </c>
      <c r="E19" s="18">
        <v>8</v>
      </c>
      <c r="F19" s="18">
        <v>6</v>
      </c>
      <c r="G19" s="18">
        <v>78</v>
      </c>
      <c r="H19" s="19">
        <v>2</v>
      </c>
      <c r="I19" s="18"/>
      <c r="J19" s="18"/>
      <c r="K19" s="20">
        <v>105</v>
      </c>
      <c r="L19" s="18">
        <v>265</v>
      </c>
      <c r="M19" s="18">
        <v>246</v>
      </c>
      <c r="N19" s="18">
        <v>295</v>
      </c>
      <c r="O19" s="18">
        <v>85</v>
      </c>
      <c r="P19" s="18">
        <v>238</v>
      </c>
      <c r="Q19" s="17">
        <v>1</v>
      </c>
      <c r="R19" s="17">
        <v>2</v>
      </c>
      <c r="S19" s="17">
        <v>0</v>
      </c>
      <c r="T19" s="17">
        <v>1</v>
      </c>
      <c r="U19" s="17">
        <v>1</v>
      </c>
      <c r="V19" s="3">
        <v>8</v>
      </c>
      <c r="W19" s="20">
        <v>63</v>
      </c>
      <c r="X19" s="3">
        <v>8</v>
      </c>
      <c r="Y19" s="3">
        <v>3</v>
      </c>
      <c r="Z19" s="3">
        <v>0</v>
      </c>
      <c r="AA19" s="20">
        <v>900</v>
      </c>
      <c r="AB19" s="3"/>
      <c r="AC19" s="3"/>
      <c r="AD19" s="20"/>
      <c r="AE19" s="3"/>
      <c r="AF19" s="3"/>
      <c r="AG19" s="20"/>
      <c r="AH19" s="107"/>
      <c r="AI19" s="107"/>
      <c r="AJ19" s="107"/>
      <c r="AK19" s="107"/>
      <c r="AL19" s="108"/>
      <c r="AN19" s="67">
        <f t="shared" si="2"/>
        <v>-1.1429182238097155</v>
      </c>
      <c r="AO19" s="67">
        <f t="shared" si="2"/>
        <v>-0.54779711385187113</v>
      </c>
      <c r="AP19" s="67">
        <f t="shared" si="2"/>
        <v>-0.77939893033669705</v>
      </c>
      <c r="AY19" s="67">
        <f t="shared" si="0"/>
        <v>296.14291822380972</v>
      </c>
      <c r="AZ19" s="67">
        <f t="shared" si="1"/>
        <v>85.547797113851871</v>
      </c>
      <c r="BA19" s="67">
        <f t="shared" si="3"/>
        <v>238.7793989303367</v>
      </c>
      <c r="BC19">
        <f t="shared" si="4"/>
        <v>34.617246523564582</v>
      </c>
      <c r="BD19">
        <v>1013.2</v>
      </c>
      <c r="BE19">
        <f t="shared" si="5"/>
        <v>30.920788561092973</v>
      </c>
    </row>
    <row r="20" spans="1:57" x14ac:dyDescent="0.2">
      <c r="A20" s="13">
        <v>11</v>
      </c>
      <c r="B20" s="3">
        <v>23</v>
      </c>
      <c r="C20" s="17">
        <v>3</v>
      </c>
      <c r="D20" s="3">
        <v>4</v>
      </c>
      <c r="E20" s="18">
        <v>0</v>
      </c>
      <c r="F20" s="18">
        <v>0</v>
      </c>
      <c r="G20" s="18">
        <v>72</v>
      </c>
      <c r="H20" s="19">
        <v>1</v>
      </c>
      <c r="I20" s="18">
        <v>5</v>
      </c>
      <c r="J20" s="18">
        <v>11</v>
      </c>
      <c r="K20" s="20">
        <v>116</v>
      </c>
      <c r="L20" s="18">
        <v>246</v>
      </c>
      <c r="M20" s="18">
        <v>234</v>
      </c>
      <c r="N20" s="18">
        <v>280</v>
      </c>
      <c r="O20" s="18">
        <v>90</v>
      </c>
      <c r="P20" s="18">
        <v>229</v>
      </c>
      <c r="Q20" s="17">
        <v>1</v>
      </c>
      <c r="R20" s="17">
        <v>2</v>
      </c>
      <c r="S20" s="17">
        <v>0</v>
      </c>
      <c r="T20" s="17">
        <v>2</v>
      </c>
      <c r="U20" s="17">
        <v>1</v>
      </c>
      <c r="V20" s="3">
        <v>8</v>
      </c>
      <c r="W20" s="20">
        <v>60</v>
      </c>
      <c r="X20" s="3">
        <v>8</v>
      </c>
      <c r="Y20" s="3">
        <v>3</v>
      </c>
      <c r="Z20" s="3">
        <v>0</v>
      </c>
      <c r="AA20" s="20">
        <v>840</v>
      </c>
      <c r="AB20" s="3"/>
      <c r="AC20" s="3"/>
      <c r="AD20" s="20"/>
      <c r="AE20" s="3"/>
      <c r="AF20" s="3"/>
      <c r="AG20" s="20"/>
      <c r="AH20" s="107" t="s">
        <v>85</v>
      </c>
      <c r="AI20" s="107"/>
      <c r="AJ20" s="107"/>
      <c r="AK20" s="107"/>
      <c r="AL20" s="108"/>
      <c r="AN20" s="67">
        <f t="shared" si="2"/>
        <v>0.55567193702427176</v>
      </c>
      <c r="AO20" s="67">
        <f t="shared" si="2"/>
        <v>-0.37425663024490063</v>
      </c>
      <c r="AP20" s="67">
        <f t="shared" si="2"/>
        <v>-0.17052261966028937</v>
      </c>
      <c r="AY20" s="67">
        <f t="shared" si="0"/>
        <v>279.44432806297573</v>
      </c>
      <c r="AZ20" s="67">
        <f t="shared" si="1"/>
        <v>90.374256630244901</v>
      </c>
      <c r="BA20" s="67">
        <f t="shared" si="3"/>
        <v>229.17052261966029</v>
      </c>
      <c r="BC20">
        <f t="shared" si="4"/>
        <v>30.920788561092973</v>
      </c>
      <c r="BD20">
        <v>1013.2</v>
      </c>
      <c r="BE20">
        <f t="shared" si="5"/>
        <v>28.768481254201571</v>
      </c>
    </row>
    <row r="21" spans="1:57" x14ac:dyDescent="0.2">
      <c r="A21" s="13">
        <v>12</v>
      </c>
      <c r="B21" s="3">
        <v>23</v>
      </c>
      <c r="C21" s="17">
        <v>5</v>
      </c>
      <c r="D21" s="3">
        <v>4</v>
      </c>
      <c r="E21" s="18">
        <v>6</v>
      </c>
      <c r="F21" s="18">
        <v>5</v>
      </c>
      <c r="G21" s="18">
        <v>75</v>
      </c>
      <c r="H21" s="19">
        <v>2</v>
      </c>
      <c r="I21" s="18"/>
      <c r="J21" s="18"/>
      <c r="K21" s="20">
        <v>130</v>
      </c>
      <c r="L21" s="18">
        <v>261</v>
      </c>
      <c r="M21" s="18">
        <v>230</v>
      </c>
      <c r="N21" s="18">
        <v>256</v>
      </c>
      <c r="O21" s="18">
        <v>76</v>
      </c>
      <c r="P21" s="18">
        <v>215</v>
      </c>
      <c r="Q21" s="17">
        <v>1</v>
      </c>
      <c r="R21" s="17">
        <v>2</v>
      </c>
      <c r="S21" s="17">
        <v>0</v>
      </c>
      <c r="T21" s="17">
        <v>2</v>
      </c>
      <c r="U21" s="17">
        <v>1</v>
      </c>
      <c r="V21" s="3">
        <v>8</v>
      </c>
      <c r="W21" s="20">
        <v>63</v>
      </c>
      <c r="X21" s="3">
        <v>8</v>
      </c>
      <c r="Y21" s="3">
        <v>5</v>
      </c>
      <c r="Z21" s="3">
        <v>0</v>
      </c>
      <c r="AA21" s="20">
        <v>840</v>
      </c>
      <c r="AB21" s="3"/>
      <c r="AC21" s="3"/>
      <c r="AD21" s="20"/>
      <c r="AE21" s="3"/>
      <c r="AF21" s="3"/>
      <c r="AG21" s="20"/>
      <c r="AH21" s="107"/>
      <c r="AI21" s="107"/>
      <c r="AJ21" s="107"/>
      <c r="AK21" s="107"/>
      <c r="AL21" s="108"/>
      <c r="AN21" s="67">
        <f t="shared" si="2"/>
        <v>-3.5297536977141135</v>
      </c>
      <c r="AO21" s="67">
        <f t="shared" si="2"/>
        <v>-0.76474519569846677</v>
      </c>
      <c r="AP21" s="67">
        <f t="shared" si="2"/>
        <v>-2.0300430938812042</v>
      </c>
      <c r="AY21" s="67">
        <f t="shared" si="0"/>
        <v>259.52975369771411</v>
      </c>
      <c r="AZ21" s="67">
        <f t="shared" si="1"/>
        <v>76.764745195698467</v>
      </c>
      <c r="BA21" s="67">
        <f t="shared" si="3"/>
        <v>217.0300430938812</v>
      </c>
      <c r="BC21">
        <f t="shared" si="4"/>
        <v>33.808456347518359</v>
      </c>
      <c r="BD21">
        <v>1013.2</v>
      </c>
      <c r="BE21">
        <f t="shared" si="5"/>
        <v>28.080813610211415</v>
      </c>
    </row>
    <row r="22" spans="1:57" x14ac:dyDescent="0.2">
      <c r="A22" s="13">
        <v>13</v>
      </c>
      <c r="B22" s="3">
        <v>23</v>
      </c>
      <c r="C22" s="17">
        <v>2</v>
      </c>
      <c r="D22" s="3">
        <v>4</v>
      </c>
      <c r="E22" s="18">
        <v>6</v>
      </c>
      <c r="F22" s="18">
        <v>7</v>
      </c>
      <c r="G22" s="18">
        <v>75</v>
      </c>
      <c r="H22" s="19">
        <v>2</v>
      </c>
      <c r="I22" s="18"/>
      <c r="J22" s="18"/>
      <c r="K22" s="20">
        <v>140</v>
      </c>
      <c r="L22" s="18">
        <v>263</v>
      </c>
      <c r="M22" s="18">
        <v>238</v>
      </c>
      <c r="N22" s="18">
        <v>275</v>
      </c>
      <c r="O22" s="18">
        <v>80</v>
      </c>
      <c r="P22" s="18">
        <v>226</v>
      </c>
      <c r="Q22" s="17">
        <v>1</v>
      </c>
      <c r="R22" s="17">
        <v>2</v>
      </c>
      <c r="S22" s="17">
        <v>0</v>
      </c>
      <c r="T22" s="17">
        <v>1</v>
      </c>
      <c r="U22" s="17">
        <v>1</v>
      </c>
      <c r="V22" s="3">
        <v>8</v>
      </c>
      <c r="W22" s="20">
        <v>60</v>
      </c>
      <c r="X22" s="3">
        <v>8</v>
      </c>
      <c r="Y22" s="3"/>
      <c r="Z22" s="3"/>
      <c r="AA22" s="20"/>
      <c r="AB22" s="3"/>
      <c r="AC22" s="3"/>
      <c r="AD22" s="20"/>
      <c r="AE22" s="3"/>
      <c r="AF22" s="3"/>
      <c r="AG22" s="20"/>
      <c r="AH22" s="107"/>
      <c r="AI22" s="107"/>
      <c r="AJ22" s="107"/>
      <c r="AK22" s="107"/>
      <c r="AL22" s="108"/>
      <c r="AN22" s="67">
        <f t="shared" si="2"/>
        <v>-2.5331844128883176</v>
      </c>
      <c r="AO22" s="67">
        <f t="shared" si="2"/>
        <v>-1.1245278040656927</v>
      </c>
      <c r="AP22" s="67">
        <f t="shared" si="2"/>
        <v>-2.0389266574796352</v>
      </c>
      <c r="AY22" s="67">
        <f t="shared" si="0"/>
        <v>277.53318441288832</v>
      </c>
      <c r="AZ22" s="67">
        <f t="shared" si="1"/>
        <v>81.124527804065693</v>
      </c>
      <c r="BA22" s="67">
        <f t="shared" si="3"/>
        <v>228.03892665747964</v>
      </c>
      <c r="BC22">
        <f t="shared" si="4"/>
        <v>34.210761150215198</v>
      </c>
      <c r="BD22">
        <v>1013.2</v>
      </c>
      <c r="BE22">
        <f t="shared" si="5"/>
        <v>29.470855059888834</v>
      </c>
    </row>
    <row r="23" spans="1:57" x14ac:dyDescent="0.2">
      <c r="A23" s="13">
        <v>14</v>
      </c>
      <c r="B23" s="3">
        <v>23</v>
      </c>
      <c r="C23" s="17">
        <v>4</v>
      </c>
      <c r="D23" s="3">
        <v>4</v>
      </c>
      <c r="E23" s="18">
        <v>0</v>
      </c>
      <c r="F23" s="18">
        <v>0</v>
      </c>
      <c r="G23" s="18">
        <v>78</v>
      </c>
      <c r="H23" s="19">
        <v>2</v>
      </c>
      <c r="I23" s="18"/>
      <c r="J23" s="18"/>
      <c r="K23" s="20">
        <v>128</v>
      </c>
      <c r="L23" s="18">
        <v>260</v>
      </c>
      <c r="M23" s="18">
        <v>234</v>
      </c>
      <c r="N23" s="18">
        <v>268</v>
      </c>
      <c r="O23" s="18">
        <v>80</v>
      </c>
      <c r="P23" s="18">
        <v>222</v>
      </c>
      <c r="Q23" s="17">
        <v>1</v>
      </c>
      <c r="R23" s="17">
        <v>2</v>
      </c>
      <c r="S23" s="17">
        <v>0</v>
      </c>
      <c r="T23" s="17">
        <v>1</v>
      </c>
      <c r="U23" s="17">
        <v>1</v>
      </c>
      <c r="V23" s="3">
        <v>8</v>
      </c>
      <c r="W23" s="20">
        <v>60</v>
      </c>
      <c r="X23" s="3">
        <v>8</v>
      </c>
      <c r="Y23" s="3">
        <v>4</v>
      </c>
      <c r="Z23" s="3">
        <v>0</v>
      </c>
      <c r="AA23" s="20">
        <v>840</v>
      </c>
      <c r="AB23" s="3"/>
      <c r="AC23" s="3"/>
      <c r="AD23" s="20"/>
      <c r="AE23" s="3"/>
      <c r="AF23" s="3"/>
      <c r="AG23" s="20"/>
      <c r="AH23" s="107"/>
      <c r="AI23" s="107"/>
      <c r="AJ23" s="107"/>
      <c r="AK23" s="107"/>
      <c r="AL23" s="108"/>
      <c r="AN23" s="67">
        <f t="shared" si="2"/>
        <v>-1.8304295040957186</v>
      </c>
      <c r="AO23" s="67">
        <f t="shared" si="2"/>
        <v>-0.28550430320373721</v>
      </c>
      <c r="AP23" s="67">
        <f t="shared" si="2"/>
        <v>-1.4077386294061114</v>
      </c>
      <c r="AY23" s="67">
        <f t="shared" si="0"/>
        <v>269.83042950409572</v>
      </c>
      <c r="AZ23" s="67">
        <f t="shared" si="1"/>
        <v>80.285504303203737</v>
      </c>
      <c r="BA23" s="67">
        <f t="shared" si="3"/>
        <v>223.40773862940611</v>
      </c>
      <c r="BC23">
        <f t="shared" si="4"/>
        <v>33.608860260136439</v>
      </c>
      <c r="BD23">
        <v>1013.2</v>
      </c>
      <c r="BE23">
        <f t="shared" si="5"/>
        <v>28.768481254201571</v>
      </c>
    </row>
    <row r="24" spans="1:57" x14ac:dyDescent="0.2">
      <c r="A24" s="13">
        <v>15</v>
      </c>
      <c r="B24" s="3">
        <v>23</v>
      </c>
      <c r="C24" s="17">
        <v>3</v>
      </c>
      <c r="D24" s="3">
        <v>4</v>
      </c>
      <c r="E24" s="18">
        <v>0</v>
      </c>
      <c r="F24" s="18">
        <v>0</v>
      </c>
      <c r="G24" s="18">
        <v>74</v>
      </c>
      <c r="H24" s="19">
        <v>1</v>
      </c>
      <c r="I24" s="18">
        <v>6</v>
      </c>
      <c r="J24" s="18">
        <v>0</v>
      </c>
      <c r="K24" s="20">
        <v>131</v>
      </c>
      <c r="L24" s="18">
        <v>257</v>
      </c>
      <c r="M24" s="18">
        <v>232</v>
      </c>
      <c r="N24" s="18">
        <v>265</v>
      </c>
      <c r="O24" s="18">
        <v>80</v>
      </c>
      <c r="P24" s="18">
        <v>220</v>
      </c>
      <c r="Q24" s="17">
        <v>3</v>
      </c>
      <c r="R24" s="17">
        <v>8</v>
      </c>
      <c r="S24" s="17">
        <v>0</v>
      </c>
      <c r="T24" s="17">
        <v>1</v>
      </c>
      <c r="U24" s="17">
        <v>2</v>
      </c>
      <c r="V24" s="3">
        <v>8</v>
      </c>
      <c r="W24" s="20">
        <v>54</v>
      </c>
      <c r="X24" s="3">
        <v>8</v>
      </c>
      <c r="Y24" s="3"/>
      <c r="Z24" s="3"/>
      <c r="AA24" s="20"/>
      <c r="AB24" s="3"/>
      <c r="AC24" s="3"/>
      <c r="AD24" s="20"/>
      <c r="AE24" s="3"/>
      <c r="AF24" s="3"/>
      <c r="AG24" s="20"/>
      <c r="AH24" s="107" t="s">
        <v>85</v>
      </c>
      <c r="AI24" s="107"/>
      <c r="AJ24" s="107"/>
      <c r="AK24" s="107"/>
      <c r="AL24" s="108"/>
      <c r="AN24" s="67">
        <f t="shared" si="2"/>
        <v>-2.0644254062440837</v>
      </c>
      <c r="AO24" s="67">
        <f t="shared" si="2"/>
        <v>-0.88879951817192193</v>
      </c>
      <c r="AP24" s="67">
        <f t="shared" si="2"/>
        <v>-1.7164073125296682</v>
      </c>
      <c r="AY24" s="67">
        <f t="shared" si="0"/>
        <v>267.06442540624408</v>
      </c>
      <c r="AZ24" s="67">
        <f t="shared" si="1"/>
        <v>80.888799518171922</v>
      </c>
      <c r="BA24" s="67">
        <f t="shared" si="3"/>
        <v>221.71640731252967</v>
      </c>
      <c r="BC24">
        <f t="shared" si="4"/>
        <v>33.016242915837466</v>
      </c>
      <c r="BD24">
        <v>1013.2</v>
      </c>
      <c r="BE24">
        <f t="shared" si="5"/>
        <v>28.422825631024409</v>
      </c>
    </row>
    <row r="25" spans="1:57" x14ac:dyDescent="0.2">
      <c r="A25" s="13">
        <v>16</v>
      </c>
      <c r="B25" s="3">
        <v>23</v>
      </c>
      <c r="C25" s="17">
        <v>6</v>
      </c>
      <c r="D25" s="3">
        <v>4</v>
      </c>
      <c r="E25" s="18">
        <v>9</v>
      </c>
      <c r="F25" s="18">
        <v>10</v>
      </c>
      <c r="G25" s="18">
        <v>75</v>
      </c>
      <c r="H25" s="19">
        <v>2</v>
      </c>
      <c r="I25" s="18"/>
      <c r="J25" s="18"/>
      <c r="K25" s="20">
        <v>149</v>
      </c>
      <c r="L25" s="18">
        <v>262</v>
      </c>
      <c r="M25" s="18">
        <v>232</v>
      </c>
      <c r="N25" s="18">
        <v>266</v>
      </c>
      <c r="O25" s="18">
        <v>75</v>
      </c>
      <c r="P25" s="18">
        <v>215</v>
      </c>
      <c r="Q25" s="17">
        <v>2</v>
      </c>
      <c r="R25" s="17">
        <v>2</v>
      </c>
      <c r="S25" s="17">
        <v>0</v>
      </c>
      <c r="T25" s="17">
        <v>2</v>
      </c>
      <c r="U25" s="17">
        <v>2</v>
      </c>
      <c r="V25" s="3">
        <v>8</v>
      </c>
      <c r="W25" s="20">
        <v>60</v>
      </c>
      <c r="X25" s="3">
        <v>8</v>
      </c>
      <c r="Y25" s="3">
        <v>6</v>
      </c>
      <c r="Z25" s="3">
        <v>0</v>
      </c>
      <c r="AA25" s="20">
        <v>840</v>
      </c>
      <c r="AB25" s="3"/>
      <c r="AC25" s="3"/>
      <c r="AD25" s="20"/>
      <c r="AE25" s="3"/>
      <c r="AF25" s="3"/>
      <c r="AG25" s="20"/>
      <c r="AH25" s="107"/>
      <c r="AI25" s="107"/>
      <c r="AJ25" s="107"/>
      <c r="AK25" s="107"/>
      <c r="AL25" s="108"/>
      <c r="AN25" s="67">
        <f t="shared" si="2"/>
        <v>2.368340774555918</v>
      </c>
      <c r="AO25" s="67">
        <f t="shared" si="2"/>
        <v>-2.5180021433527315</v>
      </c>
      <c r="AP25" s="67">
        <f t="shared" si="2"/>
        <v>-4.5958867303113209</v>
      </c>
      <c r="AY25" s="67">
        <f t="shared" si="0"/>
        <v>263.63165922544408</v>
      </c>
      <c r="AZ25" s="67">
        <f t="shared" si="1"/>
        <v>77.518002143352732</v>
      </c>
      <c r="BA25" s="67">
        <f t="shared" si="3"/>
        <v>219.59588673031132</v>
      </c>
      <c r="BC25">
        <f t="shared" si="4"/>
        <v>34.009088461531107</v>
      </c>
      <c r="BD25">
        <v>1013.2</v>
      </c>
      <c r="BE25">
        <f t="shared" si="5"/>
        <v>28.422825631024409</v>
      </c>
    </row>
    <row r="26" spans="1:57" x14ac:dyDescent="0.2">
      <c r="A26" s="13">
        <v>17</v>
      </c>
      <c r="B26" s="3">
        <v>23</v>
      </c>
      <c r="C26" s="17">
        <v>7</v>
      </c>
      <c r="D26" s="3">
        <v>4</v>
      </c>
      <c r="E26" s="18">
        <v>0</v>
      </c>
      <c r="F26" s="18">
        <v>0</v>
      </c>
      <c r="G26" s="18">
        <v>70</v>
      </c>
      <c r="H26" s="19">
        <v>1</v>
      </c>
      <c r="I26" s="18">
        <v>5</v>
      </c>
      <c r="J26" s="18">
        <v>22</v>
      </c>
      <c r="K26" s="20">
        <v>155</v>
      </c>
      <c r="L26" s="18">
        <v>255</v>
      </c>
      <c r="M26" s="18">
        <v>245</v>
      </c>
      <c r="N26" s="18">
        <v>300</v>
      </c>
      <c r="O26" s="18">
        <v>93</v>
      </c>
      <c r="P26" s="18">
        <v>241</v>
      </c>
      <c r="Q26" s="17">
        <v>6</v>
      </c>
      <c r="R26" s="17">
        <v>8</v>
      </c>
      <c r="S26" s="17">
        <v>0</v>
      </c>
      <c r="T26" s="17">
        <v>2</v>
      </c>
      <c r="U26" s="17">
        <v>4</v>
      </c>
      <c r="V26" s="3">
        <v>8</v>
      </c>
      <c r="W26" s="20">
        <v>51</v>
      </c>
      <c r="X26" s="3">
        <v>8</v>
      </c>
      <c r="Y26" s="3">
        <v>5</v>
      </c>
      <c r="Z26" s="3">
        <v>6</v>
      </c>
      <c r="AA26" s="20">
        <v>105</v>
      </c>
      <c r="AB26" s="3"/>
      <c r="AC26" s="3"/>
      <c r="AD26" s="20"/>
      <c r="AE26" s="3"/>
      <c r="AF26" s="3"/>
      <c r="AG26" s="20"/>
      <c r="AH26" s="107" t="s">
        <v>85</v>
      </c>
      <c r="AI26" s="107"/>
      <c r="AJ26" s="107"/>
      <c r="AK26" s="107"/>
      <c r="AL26" s="108"/>
      <c r="AN26" s="67">
        <f t="shared" si="2"/>
        <v>-0.48644875327067894</v>
      </c>
      <c r="AO26" s="67">
        <f t="shared" si="2"/>
        <v>0.9004369719037868</v>
      </c>
      <c r="AP26" s="67">
        <f t="shared" si="2"/>
        <v>-0.20090014252895116</v>
      </c>
      <c r="AY26" s="67">
        <f t="shared" si="0"/>
        <v>300.48644875327068</v>
      </c>
      <c r="AZ26" s="67">
        <f t="shared" si="1"/>
        <v>92.099563028096213</v>
      </c>
      <c r="BA26" s="67">
        <f t="shared" si="3"/>
        <v>241.20090014252895</v>
      </c>
      <c r="BC26">
        <f t="shared" si="4"/>
        <v>32.626262153014039</v>
      </c>
      <c r="BD26">
        <v>1013.2</v>
      </c>
      <c r="BE26">
        <f t="shared" si="5"/>
        <v>30.736197835927069</v>
      </c>
    </row>
    <row r="27" spans="1:57" x14ac:dyDescent="0.2">
      <c r="A27" s="13">
        <v>18</v>
      </c>
      <c r="B27" s="3">
        <v>23</v>
      </c>
      <c r="C27" s="17">
        <v>3</v>
      </c>
      <c r="D27" s="3">
        <v>4</v>
      </c>
      <c r="E27" s="18">
        <v>7</v>
      </c>
      <c r="F27" s="18">
        <v>10</v>
      </c>
      <c r="G27" s="18">
        <v>70</v>
      </c>
      <c r="H27" s="19">
        <v>1</v>
      </c>
      <c r="I27" s="18">
        <v>5</v>
      </c>
      <c r="J27" s="69">
        <v>11</v>
      </c>
      <c r="K27" s="20">
        <v>152</v>
      </c>
      <c r="L27" s="18">
        <v>265</v>
      </c>
      <c r="M27" s="18">
        <v>247</v>
      </c>
      <c r="N27" s="18">
        <v>296</v>
      </c>
      <c r="O27" s="18">
        <v>85</v>
      </c>
      <c r="P27" s="18">
        <v>239</v>
      </c>
      <c r="Q27" s="17">
        <v>2</v>
      </c>
      <c r="R27" s="17">
        <v>8</v>
      </c>
      <c r="S27" s="17">
        <v>0</v>
      </c>
      <c r="T27" s="17">
        <v>2</v>
      </c>
      <c r="U27" s="17">
        <v>2</v>
      </c>
      <c r="V27" s="3">
        <v>8</v>
      </c>
      <c r="W27" s="20">
        <v>54</v>
      </c>
      <c r="X27" s="3">
        <v>8</v>
      </c>
      <c r="Y27" s="3"/>
      <c r="Z27" s="3"/>
      <c r="AA27" s="20"/>
      <c r="AB27" s="3"/>
      <c r="AC27" s="3"/>
      <c r="AD27" s="20"/>
      <c r="AE27" s="3"/>
      <c r="AF27" s="3"/>
      <c r="AG27" s="20"/>
      <c r="AH27" s="107" t="s">
        <v>85</v>
      </c>
      <c r="AI27" s="107"/>
      <c r="AJ27" s="107"/>
      <c r="AK27" s="107"/>
      <c r="AL27" s="108"/>
      <c r="AN27" s="67">
        <f t="shared" si="2"/>
        <v>-2.684768040510221</v>
      </c>
      <c r="AO27" s="67">
        <f t="shared" si="2"/>
        <v>-1.2820697877256322</v>
      </c>
      <c r="AP27" s="67">
        <f t="shared" si="2"/>
        <v>-1.2002144750649677</v>
      </c>
      <c r="AY27" s="67">
        <f t="shared" si="0"/>
        <v>298.68476804051022</v>
      </c>
      <c r="AZ27" s="67">
        <f t="shared" si="1"/>
        <v>86.282069787725632</v>
      </c>
      <c r="BA27" s="67">
        <f t="shared" si="3"/>
        <v>240.20021447506497</v>
      </c>
      <c r="BC27">
        <f t="shared" si="4"/>
        <v>34.617246523564582</v>
      </c>
      <c r="BD27">
        <v>1013.2</v>
      </c>
      <c r="BE27">
        <f t="shared" si="5"/>
        <v>31.106348979899021</v>
      </c>
    </row>
    <row r="28" spans="1:57" x14ac:dyDescent="0.2">
      <c r="A28" s="13">
        <v>19</v>
      </c>
      <c r="B28" s="3">
        <v>23</v>
      </c>
      <c r="C28" s="17">
        <v>5</v>
      </c>
      <c r="D28" s="3">
        <v>4</v>
      </c>
      <c r="E28" s="18">
        <v>9</v>
      </c>
      <c r="F28" s="18">
        <v>10</v>
      </c>
      <c r="G28" s="18">
        <v>72</v>
      </c>
      <c r="H28" s="19">
        <v>1</v>
      </c>
      <c r="I28" s="18">
        <v>5</v>
      </c>
      <c r="J28" s="18">
        <v>22</v>
      </c>
      <c r="K28" s="20">
        <v>139</v>
      </c>
      <c r="L28" s="18">
        <v>275</v>
      </c>
      <c r="M28" s="18">
        <v>247</v>
      </c>
      <c r="N28" s="18">
        <v>289</v>
      </c>
      <c r="O28" s="18">
        <v>78</v>
      </c>
      <c r="P28" s="18">
        <v>234</v>
      </c>
      <c r="Q28" s="17">
        <v>2</v>
      </c>
      <c r="R28" s="17">
        <v>2</v>
      </c>
      <c r="S28" s="17">
        <v>0</v>
      </c>
      <c r="T28" s="17">
        <v>1</v>
      </c>
      <c r="U28" s="17">
        <v>2</v>
      </c>
      <c r="V28" s="3">
        <v>8</v>
      </c>
      <c r="W28" s="20">
        <v>57</v>
      </c>
      <c r="X28" s="3">
        <v>8</v>
      </c>
      <c r="Y28" s="3">
        <v>4</v>
      </c>
      <c r="Z28" s="3">
        <v>0</v>
      </c>
      <c r="AA28" s="20">
        <v>870</v>
      </c>
      <c r="AB28" s="3"/>
      <c r="AC28" s="3"/>
      <c r="AD28" s="20"/>
      <c r="AE28" s="3"/>
      <c r="AF28" s="3"/>
      <c r="AG28" s="20"/>
      <c r="AH28" s="107" t="s">
        <v>85</v>
      </c>
      <c r="AI28" s="107"/>
      <c r="AJ28" s="107"/>
      <c r="AK28" s="107"/>
      <c r="AL28" s="108"/>
      <c r="AN28" s="67">
        <f t="shared" si="2"/>
        <v>-2.8077003969102066</v>
      </c>
      <c r="AO28" s="67">
        <f t="shared" si="2"/>
        <v>-1.482017385946321</v>
      </c>
      <c r="AP28" s="67">
        <f t="shared" si="2"/>
        <v>-2.3313181062192143</v>
      </c>
      <c r="AY28" s="67">
        <f t="shared" si="0"/>
        <v>291.80770039691021</v>
      </c>
      <c r="AZ28" s="67">
        <f t="shared" si="1"/>
        <v>79.482017385946321</v>
      </c>
      <c r="BA28" s="67">
        <f t="shared" si="3"/>
        <v>236.33131810621921</v>
      </c>
      <c r="BC28">
        <f t="shared" si="4"/>
        <v>36.713675620481474</v>
      </c>
      <c r="BD28">
        <v>1013.2</v>
      </c>
      <c r="BE28">
        <f t="shared" si="5"/>
        <v>31.106348979899021</v>
      </c>
    </row>
    <row r="29" spans="1:57" x14ac:dyDescent="0.2">
      <c r="A29" s="13">
        <v>20</v>
      </c>
      <c r="B29" s="3">
        <v>23</v>
      </c>
      <c r="C29" s="17">
        <v>5</v>
      </c>
      <c r="D29" s="3">
        <v>4</v>
      </c>
      <c r="E29" s="18">
        <v>9</v>
      </c>
      <c r="F29" s="18">
        <v>12</v>
      </c>
      <c r="G29" s="18">
        <v>68</v>
      </c>
      <c r="H29" s="19">
        <v>1</v>
      </c>
      <c r="I29" s="18">
        <v>5</v>
      </c>
      <c r="J29" s="18">
        <v>22</v>
      </c>
      <c r="K29" s="20">
        <v>130</v>
      </c>
      <c r="L29" s="18">
        <v>271</v>
      </c>
      <c r="M29" s="18">
        <v>249</v>
      </c>
      <c r="N29" s="18">
        <v>299</v>
      </c>
      <c r="O29" s="18">
        <v>83</v>
      </c>
      <c r="P29" s="18">
        <v>240</v>
      </c>
      <c r="Q29" s="17">
        <v>2</v>
      </c>
      <c r="R29" s="17">
        <v>2</v>
      </c>
      <c r="S29" s="17">
        <v>0</v>
      </c>
      <c r="T29" s="17">
        <v>1</v>
      </c>
      <c r="U29" s="17">
        <v>2</v>
      </c>
      <c r="V29" s="3">
        <v>8</v>
      </c>
      <c r="W29" s="20">
        <v>57</v>
      </c>
      <c r="X29" s="3">
        <v>8</v>
      </c>
      <c r="Y29" s="3">
        <v>5</v>
      </c>
      <c r="Z29" s="3">
        <v>0</v>
      </c>
      <c r="AA29" s="20">
        <v>900</v>
      </c>
      <c r="AB29" s="3"/>
      <c r="AC29" s="3"/>
      <c r="AD29" s="20"/>
      <c r="AE29" s="3"/>
      <c r="AF29" s="3"/>
      <c r="AG29" s="20"/>
      <c r="AH29" s="107" t="s">
        <v>85</v>
      </c>
      <c r="AI29" s="107"/>
      <c r="AJ29" s="107"/>
      <c r="AK29" s="107"/>
      <c r="AL29" s="108"/>
      <c r="AN29" s="67">
        <f t="shared" si="2"/>
        <v>-0.67102917769955184</v>
      </c>
      <c r="AO29" s="67">
        <f t="shared" si="2"/>
        <v>-0.56191484554082649</v>
      </c>
      <c r="AP29" s="67">
        <f t="shared" si="2"/>
        <v>-0.74865419136290257</v>
      </c>
      <c r="AY29" s="67">
        <f t="shared" si="0"/>
        <v>299.67102917769955</v>
      </c>
      <c r="AZ29" s="67">
        <f t="shared" si="1"/>
        <v>83.561914845540826</v>
      </c>
      <c r="BA29" s="67">
        <f t="shared" si="3"/>
        <v>240.7486541913629</v>
      </c>
      <c r="BC29">
        <f t="shared" si="4"/>
        <v>35.862154395530958</v>
      </c>
      <c r="BD29">
        <v>1013.2</v>
      </c>
      <c r="BE29">
        <f t="shared" si="5"/>
        <v>31.480396167633955</v>
      </c>
    </row>
    <row r="30" spans="1:57" x14ac:dyDescent="0.2">
      <c r="A30" s="13">
        <v>21</v>
      </c>
      <c r="B30" s="3">
        <v>23</v>
      </c>
      <c r="C30" s="17">
        <v>5</v>
      </c>
      <c r="D30" s="3">
        <v>4</v>
      </c>
      <c r="E30" s="18">
        <v>7</v>
      </c>
      <c r="F30" s="18">
        <v>8</v>
      </c>
      <c r="G30" s="18">
        <v>70</v>
      </c>
      <c r="H30" s="19">
        <v>1</v>
      </c>
      <c r="I30" s="18">
        <v>5</v>
      </c>
      <c r="J30" s="18">
        <v>22</v>
      </c>
      <c r="K30" s="20">
        <v>136</v>
      </c>
      <c r="L30" s="18">
        <v>267</v>
      </c>
      <c r="M30" s="18">
        <v>245</v>
      </c>
      <c r="N30" s="18">
        <v>290</v>
      </c>
      <c r="O30" s="18">
        <v>83</v>
      </c>
      <c r="P30" s="18">
        <v>235</v>
      </c>
      <c r="Q30" s="17">
        <v>2</v>
      </c>
      <c r="R30" s="17">
        <v>2</v>
      </c>
      <c r="S30" s="17">
        <v>0</v>
      </c>
      <c r="T30" s="17">
        <v>2</v>
      </c>
      <c r="U30" s="17">
        <v>2</v>
      </c>
      <c r="V30" s="3">
        <v>8</v>
      </c>
      <c r="W30" s="20">
        <v>63</v>
      </c>
      <c r="X30" s="3">
        <v>8</v>
      </c>
      <c r="Y30" s="3">
        <v>3</v>
      </c>
      <c r="Z30" s="3">
        <v>0</v>
      </c>
      <c r="AA30" s="20">
        <v>840</v>
      </c>
      <c r="AB30" s="3"/>
      <c r="AC30" s="3"/>
      <c r="AD30" s="20"/>
      <c r="AE30" s="3"/>
      <c r="AF30" s="3"/>
      <c r="AG30" s="20"/>
      <c r="AH30" s="107" t="s">
        <v>85</v>
      </c>
      <c r="AI30" s="107"/>
      <c r="AJ30" s="107"/>
      <c r="AK30" s="107"/>
      <c r="AL30" s="108"/>
      <c r="AN30" s="67">
        <f t="shared" si="2"/>
        <v>-2.2358132260706611</v>
      </c>
      <c r="AO30" s="67">
        <f t="shared" si="2"/>
        <v>-0.42932433579908036</v>
      </c>
      <c r="AP30" s="67">
        <f t="shared" si="2"/>
        <v>-1.5744839872939735</v>
      </c>
      <c r="AY30" s="67">
        <f t="shared" si="0"/>
        <v>292.23581322607066</v>
      </c>
      <c r="AZ30" s="67">
        <f t="shared" si="1"/>
        <v>83.42932433579908</v>
      </c>
      <c r="BA30" s="67">
        <f t="shared" si="3"/>
        <v>236.57448398729397</v>
      </c>
      <c r="BC30">
        <f t="shared" si="4"/>
        <v>35.027949171664794</v>
      </c>
      <c r="BD30">
        <v>1013.2</v>
      </c>
      <c r="BE30">
        <f t="shared" si="5"/>
        <v>30.736197835927069</v>
      </c>
    </row>
    <row r="31" spans="1:57" x14ac:dyDescent="0.2">
      <c r="A31" s="13">
        <v>22</v>
      </c>
      <c r="B31" s="3">
        <v>23</v>
      </c>
      <c r="C31" s="17">
        <v>1</v>
      </c>
      <c r="D31" s="3">
        <v>4</v>
      </c>
      <c r="E31" s="18">
        <v>3</v>
      </c>
      <c r="F31" s="18">
        <v>10</v>
      </c>
      <c r="G31" s="18">
        <v>72</v>
      </c>
      <c r="H31" s="19">
        <v>1</v>
      </c>
      <c r="I31" s="18">
        <v>5</v>
      </c>
      <c r="J31" s="18">
        <v>0</v>
      </c>
      <c r="K31" s="20">
        <v>133</v>
      </c>
      <c r="L31" s="18">
        <v>265</v>
      </c>
      <c r="M31" s="18">
        <v>238</v>
      </c>
      <c r="N31" s="18">
        <v>273</v>
      </c>
      <c r="O31" s="18">
        <v>79</v>
      </c>
      <c r="P31" s="18">
        <v>225</v>
      </c>
      <c r="Q31" s="17">
        <v>1</v>
      </c>
      <c r="R31" s="17">
        <v>8</v>
      </c>
      <c r="S31" s="17">
        <v>0</v>
      </c>
      <c r="T31" s="17">
        <v>0</v>
      </c>
      <c r="U31" s="17">
        <v>1</v>
      </c>
      <c r="V31" s="3">
        <v>8</v>
      </c>
      <c r="W31" s="20">
        <v>57</v>
      </c>
      <c r="X31" s="3">
        <v>8</v>
      </c>
      <c r="Y31" s="3"/>
      <c r="Z31" s="3"/>
      <c r="AA31" s="20"/>
      <c r="AB31" s="3"/>
      <c r="AC31" s="3"/>
      <c r="AD31" s="20"/>
      <c r="AE31" s="3"/>
      <c r="AF31" s="3"/>
      <c r="AG31" s="20"/>
      <c r="AH31" s="107" t="s">
        <v>85</v>
      </c>
      <c r="AI31" s="107"/>
      <c r="AJ31" s="107"/>
      <c r="AK31" s="107"/>
      <c r="AL31" s="108"/>
      <c r="AN31" s="67">
        <f t="shared" si="2"/>
        <v>-3.159155118008357</v>
      </c>
      <c r="AO31" s="67">
        <f t="shared" si="2"/>
        <v>-0.77502050315349891</v>
      </c>
      <c r="AP31" s="67">
        <f t="shared" si="2"/>
        <v>-2.2211315832397815</v>
      </c>
      <c r="AY31" s="67">
        <f t="shared" si="0"/>
        <v>276.15915511800836</v>
      </c>
      <c r="AZ31" s="67">
        <f t="shared" si="1"/>
        <v>79.775020503153499</v>
      </c>
      <c r="BA31" s="67">
        <f t="shared" si="3"/>
        <v>227.22113158323978</v>
      </c>
      <c r="BC31">
        <f t="shared" si="4"/>
        <v>34.617246523564582</v>
      </c>
      <c r="BD31">
        <v>1013.2</v>
      </c>
      <c r="BE31">
        <f t="shared" si="5"/>
        <v>29.470855059888834</v>
      </c>
    </row>
    <row r="32" spans="1:57" x14ac:dyDescent="0.2">
      <c r="A32" s="13">
        <v>23</v>
      </c>
      <c r="B32" s="3">
        <v>23</v>
      </c>
      <c r="C32" s="17">
        <v>6</v>
      </c>
      <c r="D32" s="3">
        <v>4</v>
      </c>
      <c r="E32" s="18">
        <v>99</v>
      </c>
      <c r="F32" s="18">
        <v>2</v>
      </c>
      <c r="G32" s="18">
        <v>78</v>
      </c>
      <c r="H32" s="19">
        <v>2</v>
      </c>
      <c r="I32" s="18"/>
      <c r="J32" s="18"/>
      <c r="K32" s="20">
        <v>126</v>
      </c>
      <c r="L32" s="18">
        <v>262</v>
      </c>
      <c r="M32" s="18">
        <v>240</v>
      </c>
      <c r="N32" s="18">
        <v>281</v>
      </c>
      <c r="O32" s="18">
        <v>83</v>
      </c>
      <c r="P32" s="18">
        <v>230</v>
      </c>
      <c r="Q32" s="17">
        <v>2</v>
      </c>
      <c r="R32" s="17">
        <v>8</v>
      </c>
      <c r="S32" s="17">
        <v>0</v>
      </c>
      <c r="T32" s="17">
        <v>2</v>
      </c>
      <c r="U32" s="17">
        <v>2</v>
      </c>
      <c r="V32" s="3">
        <v>8</v>
      </c>
      <c r="W32" s="20">
        <v>54</v>
      </c>
      <c r="X32" s="3">
        <v>8</v>
      </c>
      <c r="Y32" s="3">
        <v>5</v>
      </c>
      <c r="Z32" s="3">
        <v>0</v>
      </c>
      <c r="AA32" s="20">
        <v>840</v>
      </c>
      <c r="AB32" s="3"/>
      <c r="AC32" s="3"/>
      <c r="AD32" s="20"/>
      <c r="AE32" s="3"/>
      <c r="AF32" s="3"/>
      <c r="AG32" s="20"/>
      <c r="AH32" s="107"/>
      <c r="AI32" s="107"/>
      <c r="AJ32" s="107"/>
      <c r="AK32" s="107"/>
      <c r="AL32" s="108"/>
      <c r="AN32" s="67">
        <f t="shared" si="2"/>
        <v>-2.1586912166206389</v>
      </c>
      <c r="AO32" s="67">
        <f t="shared" si="2"/>
        <v>-0.2597120434179061</v>
      </c>
      <c r="AP32" s="67">
        <f t="shared" si="2"/>
        <v>-1.3505520676229139</v>
      </c>
      <c r="AY32" s="67">
        <f t="shared" si="0"/>
        <v>283.15869121662064</v>
      </c>
      <c r="AZ32" s="67">
        <f t="shared" si="1"/>
        <v>83.259712043417906</v>
      </c>
      <c r="BA32" s="67">
        <f t="shared" si="3"/>
        <v>231.35055206762291</v>
      </c>
      <c r="BC32">
        <f t="shared" si="4"/>
        <v>34.009088461531107</v>
      </c>
      <c r="BD32">
        <v>1013.2</v>
      </c>
      <c r="BE32">
        <f t="shared" si="5"/>
        <v>29.827639714302066</v>
      </c>
    </row>
    <row r="33" spans="1:57" x14ac:dyDescent="0.2">
      <c r="A33" s="13">
        <v>24</v>
      </c>
      <c r="B33" s="3">
        <v>23</v>
      </c>
      <c r="C33" s="17">
        <v>7</v>
      </c>
      <c r="D33" s="3">
        <v>4</v>
      </c>
      <c r="E33" s="18">
        <v>8</v>
      </c>
      <c r="F33" s="18">
        <v>7</v>
      </c>
      <c r="G33" s="18">
        <v>70</v>
      </c>
      <c r="H33" s="19">
        <v>1</v>
      </c>
      <c r="I33" s="18">
        <v>5</v>
      </c>
      <c r="J33" s="18">
        <v>22</v>
      </c>
      <c r="K33" s="20">
        <v>136</v>
      </c>
      <c r="L33" s="18">
        <v>255</v>
      </c>
      <c r="M33" s="18">
        <v>230</v>
      </c>
      <c r="N33" s="18">
        <v>262</v>
      </c>
      <c r="O33" s="18">
        <v>80</v>
      </c>
      <c r="P33" s="18">
        <v>218</v>
      </c>
      <c r="Q33" s="17">
        <v>7</v>
      </c>
      <c r="R33" s="17">
        <v>8</v>
      </c>
      <c r="S33" s="17" t="s">
        <v>89</v>
      </c>
      <c r="T33" s="17" t="s">
        <v>89</v>
      </c>
      <c r="U33" s="17">
        <v>4</v>
      </c>
      <c r="V33" s="3">
        <v>8</v>
      </c>
      <c r="W33" s="20">
        <v>54</v>
      </c>
      <c r="X33" s="3">
        <v>8</v>
      </c>
      <c r="Y33" s="3">
        <v>5</v>
      </c>
      <c r="Z33" s="3">
        <v>6</v>
      </c>
      <c r="AA33" s="20">
        <v>105</v>
      </c>
      <c r="AB33" s="3"/>
      <c r="AC33" s="3"/>
      <c r="AD33" s="20"/>
      <c r="AE33" s="3"/>
      <c r="AF33" s="3"/>
      <c r="AG33" s="20"/>
      <c r="AH33" s="107" t="s">
        <v>85</v>
      </c>
      <c r="AI33" s="107"/>
      <c r="AJ33" s="107"/>
      <c r="AK33" s="107"/>
      <c r="AL33" s="108"/>
      <c r="AN33" s="67">
        <f t="shared" si="2"/>
        <v>-1.64815029211411</v>
      </c>
      <c r="AO33" s="67">
        <f t="shared" si="2"/>
        <v>-0.80856736074440505</v>
      </c>
      <c r="AP33" s="67">
        <f t="shared" si="2"/>
        <v>-1.6061314621913994</v>
      </c>
      <c r="AY33" s="67">
        <f t="shared" si="0"/>
        <v>263.64815029211411</v>
      </c>
      <c r="AZ33" s="67">
        <f t="shared" si="1"/>
        <v>80.808567360744405</v>
      </c>
      <c r="BA33" s="67">
        <f t="shared" si="3"/>
        <v>219.6061314621914</v>
      </c>
      <c r="BC33">
        <f t="shared" si="4"/>
        <v>32.626262153014039</v>
      </c>
      <c r="BD33">
        <v>1013.2</v>
      </c>
      <c r="BE33">
        <f t="shared" si="5"/>
        <v>28.080813610211415</v>
      </c>
    </row>
    <row r="34" spans="1:57" x14ac:dyDescent="0.2">
      <c r="A34" s="13">
        <v>25</v>
      </c>
      <c r="B34" s="3">
        <v>23</v>
      </c>
      <c r="C34" s="17">
        <v>5</v>
      </c>
      <c r="D34" s="3">
        <v>4</v>
      </c>
      <c r="E34" s="18">
        <v>6</v>
      </c>
      <c r="F34" s="18">
        <v>11</v>
      </c>
      <c r="G34" s="18">
        <v>78</v>
      </c>
      <c r="H34" s="19">
        <v>2</v>
      </c>
      <c r="I34" s="18"/>
      <c r="J34" s="18"/>
      <c r="K34" s="20">
        <v>140</v>
      </c>
      <c r="L34" s="18">
        <v>265</v>
      </c>
      <c r="M34" s="18">
        <v>250</v>
      </c>
      <c r="N34" s="18">
        <v>304</v>
      </c>
      <c r="O34" s="18">
        <v>88</v>
      </c>
      <c r="P34" s="18">
        <v>243</v>
      </c>
      <c r="Q34" s="17">
        <v>5</v>
      </c>
      <c r="R34" s="17">
        <v>8</v>
      </c>
      <c r="S34" s="17">
        <v>0</v>
      </c>
      <c r="T34" s="17">
        <v>2</v>
      </c>
      <c r="U34" s="17">
        <v>1</v>
      </c>
      <c r="V34" s="3">
        <v>8</v>
      </c>
      <c r="W34" s="20">
        <v>66</v>
      </c>
      <c r="X34" s="3">
        <v>8</v>
      </c>
      <c r="Y34" s="3">
        <v>4</v>
      </c>
      <c r="Z34" s="3">
        <v>6</v>
      </c>
      <c r="AA34" s="20">
        <v>135</v>
      </c>
      <c r="AB34" s="3"/>
      <c r="AC34" s="3"/>
      <c r="AD34" s="20"/>
      <c r="AE34" s="3"/>
      <c r="AF34" s="3"/>
      <c r="AG34" s="20"/>
      <c r="AH34" s="107"/>
      <c r="AI34" s="107"/>
      <c r="AJ34" s="107"/>
      <c r="AK34" s="107"/>
      <c r="AL34" s="108"/>
      <c r="AN34" s="67">
        <f t="shared" si="2"/>
        <v>-2.3698540461599578</v>
      </c>
      <c r="AO34" s="67">
        <f t="shared" si="2"/>
        <v>-0.50208633364542266</v>
      </c>
      <c r="AP34" s="67">
        <f t="shared" si="2"/>
        <v>-1.4324623081531058</v>
      </c>
      <c r="AY34" s="67">
        <f t="shared" si="0"/>
        <v>306.36985404615996</v>
      </c>
      <c r="AZ34" s="67">
        <f t="shared" si="1"/>
        <v>88.502086333645423</v>
      </c>
      <c r="BA34" s="67">
        <f t="shared" si="3"/>
        <v>244.43246230815311</v>
      </c>
      <c r="BC34">
        <f t="shared" si="4"/>
        <v>34.617246523564582</v>
      </c>
      <c r="BD34">
        <v>1013.2</v>
      </c>
      <c r="BE34">
        <f t="shared" si="5"/>
        <v>31.668891609615997</v>
      </c>
    </row>
    <row r="35" spans="1:57" x14ac:dyDescent="0.2">
      <c r="A35" s="13">
        <v>26</v>
      </c>
      <c r="B35" s="3">
        <v>23</v>
      </c>
      <c r="C35" s="17">
        <v>5</v>
      </c>
      <c r="D35" s="3">
        <v>4</v>
      </c>
      <c r="E35" s="18">
        <v>8</v>
      </c>
      <c r="F35" s="18">
        <v>15</v>
      </c>
      <c r="G35" s="18">
        <v>65</v>
      </c>
      <c r="H35" s="19">
        <v>1</v>
      </c>
      <c r="I35" s="18">
        <v>80</v>
      </c>
      <c r="J35" s="18">
        <v>11</v>
      </c>
      <c r="K35" s="20">
        <v>145</v>
      </c>
      <c r="L35" s="18">
        <v>269</v>
      </c>
      <c r="M35" s="18">
        <v>246</v>
      </c>
      <c r="N35" s="18">
        <v>291</v>
      </c>
      <c r="O35" s="18">
        <v>82</v>
      </c>
      <c r="P35" s="18">
        <v>236</v>
      </c>
      <c r="Q35" s="17">
        <v>4</v>
      </c>
      <c r="R35" s="17">
        <v>8</v>
      </c>
      <c r="S35" s="17">
        <v>0</v>
      </c>
      <c r="T35" s="17">
        <v>1</v>
      </c>
      <c r="U35" s="17">
        <v>4</v>
      </c>
      <c r="V35" s="3">
        <v>8</v>
      </c>
      <c r="W35" s="20">
        <v>48</v>
      </c>
      <c r="X35" s="3">
        <v>8</v>
      </c>
      <c r="Y35" s="3"/>
      <c r="Z35" s="3"/>
      <c r="AA35" s="20"/>
      <c r="AB35" s="3"/>
      <c r="AC35" s="3"/>
      <c r="AD35" s="20"/>
      <c r="AE35" s="3"/>
      <c r="AF35" s="3"/>
      <c r="AG35" s="20"/>
      <c r="AH35" s="107" t="s">
        <v>221</v>
      </c>
      <c r="AI35" s="107"/>
      <c r="AJ35" s="107"/>
      <c r="AK35" s="107"/>
      <c r="AL35" s="108"/>
      <c r="AN35" s="67">
        <f t="shared" si="2"/>
        <v>-2.3923987738897949</v>
      </c>
      <c r="AO35" s="67">
        <f t="shared" si="2"/>
        <v>-0.77887775688614624</v>
      </c>
      <c r="AP35" s="67">
        <f t="shared" si="2"/>
        <v>-1.2298620738831119</v>
      </c>
      <c r="AY35" s="67">
        <f t="shared" si="0"/>
        <v>293.39239877388979</v>
      </c>
      <c r="AZ35" s="67">
        <f t="shared" si="1"/>
        <v>82.778877756886146</v>
      </c>
      <c r="BA35" s="67">
        <f t="shared" si="3"/>
        <v>237.22986207388311</v>
      </c>
      <c r="BC35">
        <f t="shared" si="4"/>
        <v>35.442906055764126</v>
      </c>
      <c r="BD35">
        <v>1013.2</v>
      </c>
      <c r="BE35">
        <f t="shared" si="5"/>
        <v>30.920788561092973</v>
      </c>
    </row>
    <row r="36" spans="1:57" x14ac:dyDescent="0.2">
      <c r="A36" s="13">
        <v>27</v>
      </c>
      <c r="B36" s="3">
        <v>23</v>
      </c>
      <c r="C36" s="17">
        <v>7</v>
      </c>
      <c r="D36" s="3">
        <v>4</v>
      </c>
      <c r="E36" s="18">
        <v>10</v>
      </c>
      <c r="F36" s="18">
        <v>14</v>
      </c>
      <c r="G36" s="18">
        <v>72</v>
      </c>
      <c r="H36" s="19">
        <v>1</v>
      </c>
      <c r="I36" s="18">
        <v>6</v>
      </c>
      <c r="J36" s="18">
        <v>82</v>
      </c>
      <c r="K36" s="20">
        <v>150</v>
      </c>
      <c r="L36" s="18">
        <v>265</v>
      </c>
      <c r="M36" s="18">
        <v>248</v>
      </c>
      <c r="N36" s="18">
        <v>300</v>
      </c>
      <c r="O36" s="18">
        <v>87</v>
      </c>
      <c r="P36" s="18">
        <v>241</v>
      </c>
      <c r="Q36" s="17">
        <v>7</v>
      </c>
      <c r="R36" s="17">
        <v>8</v>
      </c>
      <c r="S36" s="17" t="s">
        <v>89</v>
      </c>
      <c r="T36" s="17" t="s">
        <v>89</v>
      </c>
      <c r="U36" s="17">
        <v>2</v>
      </c>
      <c r="V36" s="3">
        <v>8</v>
      </c>
      <c r="W36" s="20">
        <v>51</v>
      </c>
      <c r="X36" s="3">
        <v>8</v>
      </c>
      <c r="Y36" s="3">
        <v>6</v>
      </c>
      <c r="Z36" s="3">
        <v>6</v>
      </c>
      <c r="AA36" s="20">
        <v>120</v>
      </c>
      <c r="AB36" s="3"/>
      <c r="AC36" s="3"/>
      <c r="AD36" s="20"/>
      <c r="AE36" s="3"/>
      <c r="AF36" s="3"/>
      <c r="AG36" s="20"/>
      <c r="AH36" s="107" t="s">
        <v>85</v>
      </c>
      <c r="AI36" s="107"/>
      <c r="AJ36" s="107"/>
      <c r="AK36" s="107"/>
      <c r="AL36" s="108"/>
      <c r="AN36" s="67">
        <f t="shared" si="2"/>
        <v>-1.2365117319650949</v>
      </c>
      <c r="AO36" s="67">
        <f t="shared" si="2"/>
        <v>-1.9200538352464491E-2</v>
      </c>
      <c r="AP36" s="67">
        <f t="shared" si="2"/>
        <v>-0.61595034143815042</v>
      </c>
      <c r="AY36" s="67">
        <f t="shared" si="0"/>
        <v>301.23651173196509</v>
      </c>
      <c r="AZ36" s="67">
        <f t="shared" si="1"/>
        <v>87.019200538352464</v>
      </c>
      <c r="BA36" s="67">
        <f t="shared" si="3"/>
        <v>241.61595034143815</v>
      </c>
      <c r="BC36">
        <f t="shared" si="4"/>
        <v>34.617246523564582</v>
      </c>
      <c r="BD36">
        <v>1013.2</v>
      </c>
      <c r="BE36">
        <f t="shared" si="5"/>
        <v>31.29288340580451</v>
      </c>
    </row>
    <row r="37" spans="1:57" x14ac:dyDescent="0.2">
      <c r="A37" s="13">
        <v>28</v>
      </c>
      <c r="B37" s="3">
        <v>23</v>
      </c>
      <c r="C37" s="17">
        <v>1</v>
      </c>
      <c r="D37" s="3">
        <v>4</v>
      </c>
      <c r="E37" s="18">
        <v>8</v>
      </c>
      <c r="F37" s="18">
        <v>10</v>
      </c>
      <c r="G37" s="18">
        <v>67</v>
      </c>
      <c r="H37" s="19">
        <v>1</v>
      </c>
      <c r="I37" s="18">
        <v>5</v>
      </c>
      <c r="J37" s="18">
        <v>0</v>
      </c>
      <c r="K37" s="20">
        <v>156</v>
      </c>
      <c r="L37" s="18">
        <v>270</v>
      </c>
      <c r="M37" s="18">
        <v>245</v>
      </c>
      <c r="N37" s="18">
        <v>288</v>
      </c>
      <c r="O37" s="18">
        <v>80</v>
      </c>
      <c r="P37" s="18">
        <v>234</v>
      </c>
      <c r="Q37" s="17">
        <v>1</v>
      </c>
      <c r="R37" s="17">
        <v>8</v>
      </c>
      <c r="S37" s="17">
        <v>0</v>
      </c>
      <c r="T37" s="17">
        <v>0</v>
      </c>
      <c r="U37" s="17">
        <v>1</v>
      </c>
      <c r="V37" s="3">
        <v>8</v>
      </c>
      <c r="W37" s="20">
        <v>60</v>
      </c>
      <c r="X37" s="3">
        <v>8</v>
      </c>
      <c r="Y37" s="3"/>
      <c r="Z37" s="3"/>
      <c r="AA37" s="20"/>
      <c r="AB37" s="3"/>
      <c r="AC37" s="3"/>
      <c r="AD37" s="20"/>
      <c r="AE37" s="3"/>
      <c r="AF37" s="3"/>
      <c r="AG37" s="20"/>
      <c r="AH37" s="107" t="s">
        <v>85</v>
      </c>
      <c r="AI37" s="107"/>
      <c r="AJ37" s="107"/>
      <c r="AK37" s="107"/>
      <c r="AL37" s="108"/>
      <c r="AN37" s="67">
        <f t="shared" si="2"/>
        <v>-2.1731543442706993</v>
      </c>
      <c r="AO37" s="67">
        <f t="shared" si="2"/>
        <v>-1.3904476252216256</v>
      </c>
      <c r="AP37" s="67">
        <f t="shared" si="2"/>
        <v>-1.4000211914740817</v>
      </c>
      <c r="AY37" s="67">
        <f t="shared" si="0"/>
        <v>290.1731543442707</v>
      </c>
      <c r="AZ37" s="67">
        <f t="shared" si="1"/>
        <v>81.390447625221626</v>
      </c>
      <c r="BA37" s="67">
        <f t="shared" si="3"/>
        <v>235.40002119147408</v>
      </c>
      <c r="BC37">
        <f t="shared" si="4"/>
        <v>35.651991457330503</v>
      </c>
      <c r="BD37">
        <v>1013.2</v>
      </c>
      <c r="BE37">
        <f t="shared" si="5"/>
        <v>30.736197835927069</v>
      </c>
    </row>
    <row r="38" spans="1:57" x14ac:dyDescent="0.2">
      <c r="A38" s="13">
        <v>29</v>
      </c>
      <c r="B38" s="3">
        <v>23</v>
      </c>
      <c r="C38" s="17">
        <v>7</v>
      </c>
      <c r="D38" s="3">
        <v>4</v>
      </c>
      <c r="E38" s="18">
        <v>5</v>
      </c>
      <c r="F38" s="18">
        <v>12</v>
      </c>
      <c r="G38" s="18">
        <v>57</v>
      </c>
      <c r="H38" s="19">
        <v>1</v>
      </c>
      <c r="I38" s="18">
        <v>80</v>
      </c>
      <c r="J38" s="18">
        <v>82</v>
      </c>
      <c r="K38" s="20">
        <v>147</v>
      </c>
      <c r="L38" s="18">
        <v>242</v>
      </c>
      <c r="M38" s="18">
        <v>235</v>
      </c>
      <c r="N38" s="18">
        <v>285</v>
      </c>
      <c r="O38" s="18">
        <v>94</v>
      </c>
      <c r="P38" s="18">
        <v>232</v>
      </c>
      <c r="Q38" s="17">
        <v>7</v>
      </c>
      <c r="R38" s="17">
        <v>8</v>
      </c>
      <c r="S38" s="17" t="s">
        <v>89</v>
      </c>
      <c r="T38" s="17" t="s">
        <v>89</v>
      </c>
      <c r="U38" s="17">
        <v>3</v>
      </c>
      <c r="V38" s="3">
        <v>8</v>
      </c>
      <c r="W38" s="20">
        <v>54</v>
      </c>
      <c r="X38" s="3">
        <v>8</v>
      </c>
      <c r="Y38" s="3">
        <v>6</v>
      </c>
      <c r="Z38" s="3">
        <v>6</v>
      </c>
      <c r="AA38" s="20">
        <v>105</v>
      </c>
      <c r="AB38" s="3"/>
      <c r="AC38" s="3"/>
      <c r="AD38" s="20"/>
      <c r="AE38" s="3"/>
      <c r="AF38" s="3"/>
      <c r="AG38" s="20"/>
      <c r="AH38" s="107" t="s">
        <v>225</v>
      </c>
      <c r="AI38" s="107"/>
      <c r="AJ38" s="107"/>
      <c r="AK38" s="107"/>
      <c r="AL38" s="108"/>
      <c r="AN38" s="67">
        <f t="shared" si="2"/>
        <v>0.38063077294987124</v>
      </c>
      <c r="AO38" s="67">
        <f t="shared" si="2"/>
        <v>-0.28165991288281589</v>
      </c>
      <c r="AP38" s="67">
        <f t="shared" si="2"/>
        <v>-0.20099331143075005</v>
      </c>
      <c r="AY38" s="67">
        <f t="shared" si="0"/>
        <v>284.61936922705013</v>
      </c>
      <c r="AZ38" s="67">
        <f t="shared" si="1"/>
        <v>94.281659912882816</v>
      </c>
      <c r="BA38" s="67">
        <f t="shared" si="3"/>
        <v>232.20099331143075</v>
      </c>
      <c r="BC38">
        <f t="shared" si="4"/>
        <v>30.188200917340787</v>
      </c>
      <c r="BD38">
        <v>1013.2</v>
      </c>
      <c r="BE38">
        <f t="shared" si="5"/>
        <v>28.94268568196501</v>
      </c>
    </row>
    <row r="39" spans="1:57" x14ac:dyDescent="0.2">
      <c r="A39" s="13">
        <v>30</v>
      </c>
      <c r="B39" s="3">
        <v>23</v>
      </c>
      <c r="C39" s="17">
        <v>3</v>
      </c>
      <c r="D39" s="3">
        <v>4</v>
      </c>
      <c r="E39" s="18">
        <v>7</v>
      </c>
      <c r="F39" s="18">
        <v>11</v>
      </c>
      <c r="G39" s="18">
        <v>70</v>
      </c>
      <c r="H39" s="19">
        <v>1</v>
      </c>
      <c r="I39" s="18">
        <v>5</v>
      </c>
      <c r="J39" s="18">
        <v>11</v>
      </c>
      <c r="K39" s="20">
        <v>131</v>
      </c>
      <c r="L39" s="18">
        <v>264</v>
      </c>
      <c r="M39" s="18">
        <v>235</v>
      </c>
      <c r="N39" s="18">
        <v>266</v>
      </c>
      <c r="O39" s="18">
        <v>77</v>
      </c>
      <c r="P39" s="18">
        <v>221</v>
      </c>
      <c r="Q39" s="17">
        <v>3</v>
      </c>
      <c r="R39" s="17">
        <v>8</v>
      </c>
      <c r="S39" s="17">
        <v>0</v>
      </c>
      <c r="T39" s="17">
        <v>0</v>
      </c>
      <c r="U39" s="17">
        <v>2</v>
      </c>
      <c r="V39" s="3">
        <v>8</v>
      </c>
      <c r="W39" s="20">
        <v>57</v>
      </c>
      <c r="X39" s="3">
        <v>8</v>
      </c>
      <c r="Y39" s="3"/>
      <c r="Z39" s="3"/>
      <c r="AA39" s="20"/>
      <c r="AB39" s="3"/>
      <c r="AC39" s="3"/>
      <c r="AD39" s="20"/>
      <c r="AE39" s="3"/>
      <c r="AF39" s="3"/>
      <c r="AG39" s="20"/>
      <c r="AH39" s="107" t="s">
        <v>85</v>
      </c>
      <c r="AI39" s="107"/>
      <c r="AJ39" s="107"/>
      <c r="AK39" s="107"/>
      <c r="AL39" s="108"/>
      <c r="AN39" s="67">
        <f t="shared" si="2"/>
        <v>-3.5101225074500917</v>
      </c>
      <c r="AO39" s="67">
        <f t="shared" si="2"/>
        <v>-1.315279511018403</v>
      </c>
      <c r="AP39" s="67">
        <f t="shared" si="2"/>
        <v>-2.2126602243204445</v>
      </c>
      <c r="AY39" s="67">
        <f t="shared" si="0"/>
        <v>269.51012250745009</v>
      </c>
      <c r="AZ39" s="67">
        <f t="shared" si="1"/>
        <v>78.315279511018403</v>
      </c>
      <c r="BA39" s="67">
        <f t="shared" si="3"/>
        <v>223.21266022432044</v>
      </c>
      <c r="BC39">
        <f t="shared" si="4"/>
        <v>34.41347897756426</v>
      </c>
      <c r="BD39">
        <v>1013.2</v>
      </c>
      <c r="BE39">
        <f t="shared" si="5"/>
        <v>28.94268568196501</v>
      </c>
    </row>
    <row r="40" spans="1:57" x14ac:dyDescent="0.2">
      <c r="A40" s="13"/>
      <c r="B40" s="3"/>
      <c r="C40" s="17"/>
      <c r="D40" s="3"/>
      <c r="E40" s="18"/>
      <c r="F40" s="18"/>
      <c r="G40" s="18"/>
      <c r="H40" s="19"/>
      <c r="I40" s="18"/>
      <c r="J40" s="18"/>
      <c r="K40" s="20"/>
      <c r="L40" s="18"/>
      <c r="M40" s="18"/>
      <c r="N40" s="18"/>
      <c r="O40" s="18"/>
      <c r="P40" s="18"/>
      <c r="Q40" s="17"/>
      <c r="R40" s="17"/>
      <c r="S40" s="17"/>
      <c r="T40" s="17"/>
      <c r="U40" s="17"/>
      <c r="V40" s="3"/>
      <c r="W40" s="20"/>
      <c r="X40" s="3"/>
      <c r="Y40" s="3"/>
      <c r="Z40" s="3"/>
      <c r="AA40" s="20"/>
      <c r="AB40" s="3"/>
      <c r="AC40" s="3"/>
      <c r="AD40" s="20"/>
      <c r="AE40" s="3"/>
      <c r="AF40" s="3"/>
      <c r="AG40" s="20"/>
      <c r="AH40" s="107"/>
      <c r="AI40" s="107"/>
      <c r="AJ40" s="107"/>
      <c r="AK40" s="107"/>
      <c r="AL40" s="108"/>
      <c r="AN40" s="67"/>
      <c r="AO40" s="67"/>
      <c r="AP40" s="67"/>
      <c r="AY40" s="67">
        <f t="shared" si="0"/>
        <v>61.120000000000005</v>
      </c>
      <c r="AZ40" s="67">
        <f t="shared" si="1"/>
        <v>100</v>
      </c>
      <c r="BA40" s="67">
        <f t="shared" si="3"/>
        <v>0</v>
      </c>
      <c r="BC40">
        <f t="shared" si="4"/>
        <v>6.1120000000000001</v>
      </c>
      <c r="BD40">
        <v>1013.2</v>
      </c>
      <c r="BE40">
        <f t="shared" si="5"/>
        <v>6.1120000000000001</v>
      </c>
    </row>
    <row r="41" spans="1:57" x14ac:dyDescent="0.2">
      <c r="A41" s="18"/>
      <c r="B41" s="3"/>
      <c r="C41" s="17"/>
      <c r="D41" s="3"/>
      <c r="E41" s="18"/>
      <c r="F41" s="18"/>
      <c r="G41" s="18"/>
      <c r="H41" s="19"/>
      <c r="I41" s="18"/>
      <c r="J41" s="18"/>
      <c r="K41" s="20"/>
      <c r="L41" s="18"/>
      <c r="M41" s="18"/>
      <c r="N41" s="18"/>
      <c r="O41" s="18"/>
      <c r="P41" s="18"/>
      <c r="Q41" s="17"/>
      <c r="R41" s="17"/>
      <c r="S41" s="17"/>
      <c r="T41" s="17"/>
      <c r="U41" s="17"/>
      <c r="V41" s="3"/>
      <c r="W41" s="20"/>
      <c r="X41" s="3"/>
      <c r="Y41" s="3"/>
      <c r="Z41" s="3"/>
      <c r="AA41" s="20"/>
      <c r="AB41" s="3"/>
      <c r="AC41" s="3"/>
      <c r="AD41" s="20"/>
      <c r="AE41" s="3"/>
      <c r="AF41" s="3"/>
      <c r="AG41" s="20"/>
      <c r="AH41" s="109" t="s">
        <v>236</v>
      </c>
      <c r="AI41" s="107"/>
      <c r="AJ41" s="107"/>
      <c r="AK41" s="107"/>
      <c r="AL41" s="108"/>
      <c r="AN41" s="67"/>
      <c r="AO41" s="67"/>
      <c r="AP41" s="67"/>
    </row>
    <row r="42" spans="1:57" x14ac:dyDescent="0.2">
      <c r="A42" s="13" t="s">
        <v>9</v>
      </c>
      <c r="B42" s="1"/>
      <c r="C42" s="21">
        <f>SUM(C10:C40)</f>
        <v>110</v>
      </c>
      <c r="D42" s="1"/>
      <c r="E42" s="13"/>
      <c r="F42" s="13">
        <f>SUM(F10:F40)</f>
        <v>258</v>
      </c>
      <c r="G42" s="13"/>
      <c r="H42" s="2"/>
      <c r="I42" s="13"/>
      <c r="J42" s="13"/>
      <c r="K42" s="22">
        <f>SUM(K10:K40)</f>
        <v>4106</v>
      </c>
      <c r="L42" s="13">
        <f>SUM(L10:L40)</f>
        <v>7910</v>
      </c>
      <c r="M42" s="13">
        <f>SUM(M10:M40)</f>
        <v>7257</v>
      </c>
      <c r="N42" s="13">
        <f>SUM(N10:N40)</f>
        <v>8554</v>
      </c>
      <c r="O42" s="13">
        <f>SUM(O10:O40)</f>
        <v>2485</v>
      </c>
      <c r="P42" s="13">
        <f t="shared" ref="P42" si="6">SUM(P10:P40)</f>
        <v>6958</v>
      </c>
      <c r="Q42" s="21">
        <f>SUM(Q10:Q40)</f>
        <v>73</v>
      </c>
      <c r="R42" s="21"/>
      <c r="S42" s="21"/>
      <c r="T42" s="21"/>
      <c r="U42" s="21"/>
      <c r="V42" s="1"/>
      <c r="W42" s="22"/>
      <c r="X42" s="1"/>
      <c r="Y42" s="1"/>
      <c r="Z42" s="1"/>
      <c r="AA42" s="22"/>
      <c r="AB42" s="1"/>
      <c r="AC42" s="1"/>
      <c r="AD42" s="22"/>
      <c r="AE42" s="1"/>
      <c r="AF42" s="1"/>
      <c r="AG42" s="22"/>
      <c r="AH42" s="116"/>
      <c r="AI42" s="116"/>
      <c r="AJ42" s="116"/>
      <c r="AK42" s="116"/>
      <c r="AL42" s="117"/>
      <c r="AN42" s="67"/>
      <c r="AO42" s="67"/>
      <c r="AP42" s="67"/>
    </row>
    <row r="43" spans="1:57" ht="13.5" thickBot="1" x14ac:dyDescent="0.25">
      <c r="A43" s="23" t="s">
        <v>10</v>
      </c>
      <c r="B43" s="24"/>
      <c r="C43" s="25">
        <f>AVERAGE(C10:C40)</f>
        <v>3.6666666666666665</v>
      </c>
      <c r="D43" s="24"/>
      <c r="E43" s="23">
        <f>MODE(E10:E40)</f>
        <v>9</v>
      </c>
      <c r="F43" s="23">
        <f>AVERAGE(F10:F40)</f>
        <v>8.6</v>
      </c>
      <c r="G43" s="23"/>
      <c r="H43" s="26"/>
      <c r="I43" s="23"/>
      <c r="J43" s="23"/>
      <c r="K43" s="27">
        <f>AVERAGE(K10:K40)</f>
        <v>136.86666666666667</v>
      </c>
      <c r="L43" s="23">
        <f t="shared" ref="L43:Q43" si="7">AVERAGE(L10:L40)</f>
        <v>263.66666666666669</v>
      </c>
      <c r="M43" s="23">
        <f t="shared" si="7"/>
        <v>241.9</v>
      </c>
      <c r="N43" s="23">
        <f>AVERAGE(N10:N40)</f>
        <v>285.13333333333333</v>
      </c>
      <c r="O43" s="23">
        <f>AVERAGE(O10:O40)</f>
        <v>82.833333333333329</v>
      </c>
      <c r="P43" s="23">
        <f>AVERAGE(P10:P40)</f>
        <v>231.93333333333334</v>
      </c>
      <c r="Q43" s="25">
        <f t="shared" si="7"/>
        <v>2.4333333333333331</v>
      </c>
      <c r="R43" s="25"/>
      <c r="S43" s="25"/>
      <c r="T43" s="25"/>
      <c r="U43" s="25"/>
      <c r="V43" s="24"/>
      <c r="W43" s="27"/>
      <c r="X43" s="24"/>
      <c r="Y43" s="24"/>
      <c r="Z43" s="24"/>
      <c r="AA43" s="27"/>
      <c r="AB43" s="24"/>
      <c r="AC43" s="24"/>
      <c r="AD43" s="27"/>
      <c r="AE43" s="24"/>
      <c r="AF43" s="24"/>
      <c r="AG43" s="27"/>
      <c r="AH43" s="111"/>
      <c r="AI43" s="111"/>
      <c r="AJ43" s="111"/>
      <c r="AK43" s="111"/>
      <c r="AL43" s="112"/>
      <c r="AN43" s="67">
        <f>AVERAGE(AN10:AN40)</f>
        <v>-1.7954338724683054</v>
      </c>
      <c r="AO43" s="67">
        <f t="shared" ref="AO43:AP43" si="8">AVERAGE(AO10:AO40)</f>
        <v>-0.72165723193057307</v>
      </c>
      <c r="AP43" s="67">
        <f t="shared" si="8"/>
        <v>-1.4532851619460179</v>
      </c>
    </row>
    <row r="44" spans="1:57" x14ac:dyDescent="0.2">
      <c r="E44" s="11"/>
      <c r="G44" s="11"/>
      <c r="K44" s="4"/>
      <c r="M44" s="11"/>
      <c r="P44" s="11"/>
      <c r="Q44" s="11"/>
      <c r="W44" s="4"/>
      <c r="AA44" s="4"/>
      <c r="AD44" s="4"/>
    </row>
    <row r="45" spans="1:57" x14ac:dyDescent="0.2">
      <c r="E45" s="11"/>
      <c r="G45" s="11"/>
      <c r="K45" s="4"/>
      <c r="M45" s="11"/>
      <c r="P45" s="11"/>
      <c r="Q45" s="11"/>
      <c r="W45" s="4"/>
      <c r="AA45" s="4"/>
    </row>
    <row r="46" spans="1:57" x14ac:dyDescent="0.2">
      <c r="E46" s="11"/>
      <c r="G46" s="11"/>
      <c r="M46" s="11"/>
      <c r="P46" s="11"/>
      <c r="Q46" s="11"/>
      <c r="W46" s="4"/>
      <c r="AA46" s="4"/>
    </row>
    <row r="47" spans="1:57" x14ac:dyDescent="0.2">
      <c r="E47" s="11"/>
      <c r="G47" s="11"/>
      <c r="M47" s="11"/>
      <c r="P47" s="11"/>
      <c r="Q47" s="11"/>
    </row>
    <row r="48" spans="1:57" x14ac:dyDescent="0.2">
      <c r="E48" s="11"/>
      <c r="G48" s="11"/>
      <c r="M48" s="11"/>
      <c r="P48" s="11"/>
      <c r="Q48" s="11"/>
    </row>
    <row r="49" spans="5:17" x14ac:dyDescent="0.2">
      <c r="E49" s="11"/>
      <c r="G49" s="11"/>
      <c r="M49" s="11"/>
      <c r="P49" s="11"/>
      <c r="Q49" s="11"/>
    </row>
  </sheetData>
  <mergeCells count="72">
    <mergeCell ref="AH41:AL41"/>
    <mergeCell ref="AH42:AL42"/>
    <mergeCell ref="AH43:AL43"/>
    <mergeCell ref="AH36:AL36"/>
    <mergeCell ref="AH37:AL37"/>
    <mergeCell ref="AH38:AL38"/>
    <mergeCell ref="AH39:AL39"/>
    <mergeCell ref="AH40:AL40"/>
    <mergeCell ref="AH31:AL31"/>
    <mergeCell ref="AH32:AL32"/>
    <mergeCell ref="AH33:AL33"/>
    <mergeCell ref="AH34:AL34"/>
    <mergeCell ref="AH35:AL35"/>
    <mergeCell ref="AH26:AL26"/>
    <mergeCell ref="AH27:AL27"/>
    <mergeCell ref="AH28:AL28"/>
    <mergeCell ref="AH29:AL29"/>
    <mergeCell ref="AH30:AL30"/>
    <mergeCell ref="AH21:AL21"/>
    <mergeCell ref="AH22:AL22"/>
    <mergeCell ref="AH23:AL23"/>
    <mergeCell ref="AH24:AL24"/>
    <mergeCell ref="AH25:AL25"/>
    <mergeCell ref="AH16:AL16"/>
    <mergeCell ref="AH17:AL17"/>
    <mergeCell ref="AH18:AL18"/>
    <mergeCell ref="AH19:AL19"/>
    <mergeCell ref="AH11:AL11"/>
    <mergeCell ref="AH12:AL12"/>
    <mergeCell ref="AH13:AL13"/>
    <mergeCell ref="AH14:AL14"/>
    <mergeCell ref="AH15:AL15"/>
    <mergeCell ref="U8:W8"/>
    <mergeCell ref="X8:AA8"/>
    <mergeCell ref="AB8:AD8"/>
    <mergeCell ref="AE8:AG8"/>
    <mergeCell ref="AH10:AL10"/>
    <mergeCell ref="AH7:AL9"/>
    <mergeCell ref="P8:P9"/>
    <mergeCell ref="Q8:Q9"/>
    <mergeCell ref="R8:R9"/>
    <mergeCell ref="S8:S9"/>
    <mergeCell ref="T8:T9"/>
    <mergeCell ref="A8:A9"/>
    <mergeCell ref="B8:B9"/>
    <mergeCell ref="C8:C9"/>
    <mergeCell ref="D8:D9"/>
    <mergeCell ref="E8:E9"/>
    <mergeCell ref="AH20:AL20"/>
    <mergeCell ref="P3:T3"/>
    <mergeCell ref="E7:F7"/>
    <mergeCell ref="L7:P7"/>
    <mergeCell ref="Q7:T7"/>
    <mergeCell ref="U7:AG7"/>
    <mergeCell ref="K8:K9"/>
    <mergeCell ref="L8:L9"/>
    <mergeCell ref="M8:M9"/>
    <mergeCell ref="N8:N9"/>
    <mergeCell ref="O8:O9"/>
    <mergeCell ref="F8:F9"/>
    <mergeCell ref="G8:G9"/>
    <mergeCell ref="H8:H9"/>
    <mergeCell ref="I8:I9"/>
    <mergeCell ref="J8:J9"/>
    <mergeCell ref="AN7:AP7"/>
    <mergeCell ref="AY7:BA7"/>
    <mergeCell ref="AN8:AN9"/>
    <mergeCell ref="AO8:AO9"/>
    <mergeCell ref="AP8:AP9"/>
    <mergeCell ref="AY8:AY9"/>
    <mergeCell ref="AZ8:AZ9"/>
    <mergeCell ref="BA8:BA9"/>
  </mergeCells>
  <phoneticPr fontId="2" type="noConversion"/>
  <dataValidations count="5">
    <dataValidation type="whole" allowBlank="1" showInputMessage="1" showErrorMessage="1" sqref="C10:C40" xr:uid="{00000000-0002-0000-1500-000000000000}">
      <formula1>0</formula1>
      <formula2>9</formula2>
    </dataValidation>
    <dataValidation type="whole" allowBlank="1" showInputMessage="1" showErrorMessage="1" sqref="Y10:Y40" xr:uid="{00000000-0002-0000-1500-000001000000}">
      <formula1>3</formula1>
      <formula2>9</formula2>
    </dataValidation>
    <dataValidation type="whole" allowBlank="1" showInputMessage="1" showErrorMessage="1" sqref="AB10:AB40" xr:uid="{00000000-0002-0000-1500-000002000000}">
      <formula1>5</formula1>
      <formula2>9</formula2>
    </dataValidation>
    <dataValidation type="whole" allowBlank="1" showInputMessage="1" showErrorMessage="1" sqref="D10:D40" xr:uid="{00000000-0002-0000-1500-000003000000}">
      <formula1>0</formula1>
      <formula2>4</formula2>
    </dataValidation>
    <dataValidation type="whole" allowBlank="1" showInputMessage="1" showErrorMessage="1" sqref="AE10:AE40" xr:uid="{00000000-0002-0000-1500-000004000000}">
      <formula1>1</formula1>
      <formula2>9</formula2>
    </dataValidation>
  </dataValidations>
  <pageMargins left="0.75" right="0.75" top="1" bottom="1" header="0.5" footer="0.5"/>
  <pageSetup orientation="portrait" horizont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E49"/>
  <sheetViews>
    <sheetView workbookViewId="0">
      <pane xSplit="2" ySplit="9" topLeftCell="C10" activePane="bottomRight" state="frozen"/>
      <selection activeCell="AM2" sqref="AM2"/>
      <selection pane="topRight" activeCell="AM2" sqref="AM2"/>
      <selection pane="bottomLeft" activeCell="AM2" sqref="AM2"/>
      <selection pane="bottomRight" activeCell="W17" sqref="W17"/>
    </sheetView>
  </sheetViews>
  <sheetFormatPr defaultRowHeight="12.75" x14ac:dyDescent="0.2"/>
  <cols>
    <col min="1" max="1" width="4.28515625" bestFit="1" customWidth="1"/>
    <col min="2" max="2" width="5.140625" bestFit="1" customWidth="1"/>
    <col min="3" max="3" width="4" bestFit="1" customWidth="1"/>
    <col min="4" max="5" width="3" bestFit="1" customWidth="1"/>
    <col min="6" max="6" width="4" bestFit="1" customWidth="1"/>
    <col min="7" max="8" width="3" bestFit="1" customWidth="1"/>
    <col min="9" max="9" width="4" bestFit="1" customWidth="1"/>
    <col min="10" max="10" width="3" bestFit="1" customWidth="1"/>
    <col min="11" max="11" width="8.5703125" bestFit="1" customWidth="1"/>
    <col min="12" max="16" width="5" bestFit="1" customWidth="1"/>
    <col min="17" max="22" width="3" bestFit="1" customWidth="1"/>
    <col min="23" max="23" width="5.28515625" bestFit="1" customWidth="1"/>
    <col min="24" max="26" width="3" bestFit="1" customWidth="1"/>
    <col min="27" max="27" width="5.28515625" bestFit="1" customWidth="1"/>
    <col min="28" max="29" width="3" bestFit="1" customWidth="1"/>
    <col min="30" max="30" width="5.28515625" bestFit="1" customWidth="1"/>
    <col min="31" max="32" width="3" bestFit="1" customWidth="1"/>
    <col min="33" max="33" width="5.28515625" bestFit="1" customWidth="1"/>
    <col min="34" max="34" width="5.42578125" customWidth="1"/>
    <col min="40" max="42" width="4.7109375" customWidth="1"/>
    <col min="50" max="58" width="0" hidden="1" customWidth="1"/>
  </cols>
  <sheetData>
    <row r="1" spans="1:5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  <c r="P1" s="1"/>
      <c r="Q1" s="1"/>
      <c r="R1" s="1"/>
    </row>
    <row r="2" spans="1:57" ht="36.75" customHeight="1" x14ac:dyDescent="0.2">
      <c r="A2" s="1"/>
      <c r="B2" s="1"/>
      <c r="C2" s="1"/>
      <c r="D2" s="1"/>
      <c r="E2" s="1"/>
      <c r="F2" s="1"/>
      <c r="G2" s="1"/>
      <c r="H2" s="1"/>
      <c r="I2" s="2"/>
      <c r="J2" s="2"/>
      <c r="K2" s="1"/>
      <c r="L2" s="1"/>
      <c r="M2" s="1"/>
      <c r="O2" s="2"/>
      <c r="P2" s="1"/>
      <c r="Q2" s="1"/>
      <c r="R2" s="1"/>
    </row>
    <row r="3" spans="1:5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80"/>
      <c r="Q3" s="80"/>
      <c r="R3" s="80"/>
      <c r="S3" s="80"/>
      <c r="T3" s="80"/>
    </row>
    <row r="4" spans="1:5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7" spans="1:57" ht="14.25" x14ac:dyDescent="0.25">
      <c r="A7" s="7"/>
      <c r="B7" s="7"/>
      <c r="C7" s="7"/>
      <c r="D7" s="7"/>
      <c r="E7" s="81" t="s">
        <v>20</v>
      </c>
      <c r="F7" s="81"/>
      <c r="G7" s="7"/>
      <c r="H7" s="7"/>
      <c r="I7" s="7"/>
      <c r="J7" s="7"/>
      <c r="K7" s="7"/>
      <c r="L7" s="82" t="s">
        <v>11</v>
      </c>
      <c r="M7" s="82"/>
      <c r="N7" s="82"/>
      <c r="O7" s="82"/>
      <c r="P7" s="82"/>
      <c r="Q7" s="83" t="s">
        <v>29</v>
      </c>
      <c r="R7" s="83"/>
      <c r="S7" s="83"/>
      <c r="T7" s="83"/>
      <c r="U7" s="84" t="s">
        <v>33</v>
      </c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98" t="s">
        <v>8</v>
      </c>
      <c r="AI7" s="99"/>
      <c r="AJ7" s="99"/>
      <c r="AK7" s="99"/>
      <c r="AL7" s="100"/>
      <c r="AN7" s="73" t="s">
        <v>80</v>
      </c>
      <c r="AO7" s="74"/>
      <c r="AP7" s="75"/>
      <c r="AY7" s="76" t="s">
        <v>81</v>
      </c>
      <c r="AZ7" s="77"/>
      <c r="BA7" s="78"/>
    </row>
    <row r="8" spans="1:57" ht="16.5" customHeight="1" x14ac:dyDescent="0.2">
      <c r="A8" s="85" t="s">
        <v>18</v>
      </c>
      <c r="B8" s="89" t="s">
        <v>19</v>
      </c>
      <c r="C8" s="90" t="s">
        <v>23</v>
      </c>
      <c r="D8" s="88" t="s">
        <v>24</v>
      </c>
      <c r="E8" s="91" t="s">
        <v>25</v>
      </c>
      <c r="F8" s="86" t="s">
        <v>26</v>
      </c>
      <c r="G8" s="88" t="s">
        <v>27</v>
      </c>
      <c r="H8" s="88" t="s">
        <v>0</v>
      </c>
      <c r="I8" s="88" t="s">
        <v>21</v>
      </c>
      <c r="J8" s="88" t="s">
        <v>22</v>
      </c>
      <c r="K8" s="85" t="s">
        <v>28</v>
      </c>
      <c r="L8" s="79" t="s">
        <v>1</v>
      </c>
      <c r="M8" s="79" t="s">
        <v>2</v>
      </c>
      <c r="N8" s="79" t="s">
        <v>3</v>
      </c>
      <c r="O8" s="79" t="s">
        <v>4</v>
      </c>
      <c r="P8" s="79" t="s">
        <v>5</v>
      </c>
      <c r="Q8" s="92" t="s">
        <v>34</v>
      </c>
      <c r="R8" s="92" t="s">
        <v>30</v>
      </c>
      <c r="S8" s="92" t="s">
        <v>31</v>
      </c>
      <c r="T8" s="92" t="s">
        <v>32</v>
      </c>
      <c r="U8" s="93" t="s">
        <v>38</v>
      </c>
      <c r="V8" s="93"/>
      <c r="W8" s="93"/>
      <c r="X8" s="93" t="s">
        <v>39</v>
      </c>
      <c r="Y8" s="93"/>
      <c r="Z8" s="93"/>
      <c r="AA8" s="93"/>
      <c r="AB8" s="93" t="s">
        <v>40</v>
      </c>
      <c r="AC8" s="93"/>
      <c r="AD8" s="93"/>
      <c r="AE8" s="93" t="s">
        <v>41</v>
      </c>
      <c r="AF8" s="94"/>
      <c r="AG8" s="95"/>
      <c r="AH8" s="101"/>
      <c r="AI8" s="102"/>
      <c r="AJ8" s="102"/>
      <c r="AK8" s="102"/>
      <c r="AL8" s="103"/>
      <c r="AN8" s="79" t="s">
        <v>3</v>
      </c>
      <c r="AO8" s="79" t="s">
        <v>4</v>
      </c>
      <c r="AP8" s="79" t="s">
        <v>5</v>
      </c>
      <c r="AY8" s="79" t="s">
        <v>3</v>
      </c>
      <c r="AZ8" s="79" t="s">
        <v>4</v>
      </c>
      <c r="BA8" s="79" t="s">
        <v>5</v>
      </c>
    </row>
    <row r="9" spans="1:57" s="3" customFormat="1" ht="72" customHeight="1" x14ac:dyDescent="0.2">
      <c r="A9" s="85"/>
      <c r="B9" s="89"/>
      <c r="C9" s="90"/>
      <c r="D9" s="88"/>
      <c r="E9" s="91"/>
      <c r="F9" s="87"/>
      <c r="G9" s="88"/>
      <c r="H9" s="88"/>
      <c r="I9" s="88"/>
      <c r="J9" s="88"/>
      <c r="K9" s="85"/>
      <c r="L9" s="79"/>
      <c r="M9" s="79"/>
      <c r="N9" s="79"/>
      <c r="O9" s="79"/>
      <c r="P9" s="79"/>
      <c r="Q9" s="92"/>
      <c r="R9" s="92"/>
      <c r="S9" s="92"/>
      <c r="T9" s="92"/>
      <c r="U9" s="8" t="s">
        <v>16</v>
      </c>
      <c r="V9" s="8" t="s">
        <v>6</v>
      </c>
      <c r="W9" s="9" t="s">
        <v>7</v>
      </c>
      <c r="X9" s="8" t="s">
        <v>17</v>
      </c>
      <c r="Y9" s="8" t="s">
        <v>16</v>
      </c>
      <c r="Z9" s="8" t="s">
        <v>6</v>
      </c>
      <c r="AA9" s="9" t="s">
        <v>7</v>
      </c>
      <c r="AB9" s="8" t="s">
        <v>16</v>
      </c>
      <c r="AC9" s="8" t="s">
        <v>6</v>
      </c>
      <c r="AD9" s="9" t="s">
        <v>7</v>
      </c>
      <c r="AE9" s="8" t="s">
        <v>16</v>
      </c>
      <c r="AF9" s="8" t="s">
        <v>6</v>
      </c>
      <c r="AG9" s="9" t="s">
        <v>7</v>
      </c>
      <c r="AH9" s="104"/>
      <c r="AI9" s="105"/>
      <c r="AJ9" s="105"/>
      <c r="AK9" s="105"/>
      <c r="AL9" s="106"/>
      <c r="AN9" s="79"/>
      <c r="AO9" s="79"/>
      <c r="AP9" s="79"/>
      <c r="AY9" s="79"/>
      <c r="AZ9" s="79"/>
      <c r="BA9" s="79"/>
      <c r="BC9" s="3" t="s">
        <v>82</v>
      </c>
      <c r="BD9" s="3" t="s">
        <v>83</v>
      </c>
      <c r="BE9" s="3" t="s">
        <v>84</v>
      </c>
    </row>
    <row r="10" spans="1:57" s="3" customFormat="1" x14ac:dyDescent="0.2">
      <c r="A10" s="13">
        <v>1</v>
      </c>
      <c r="B10" s="3">
        <v>22</v>
      </c>
      <c r="C10" s="17">
        <v>4</v>
      </c>
      <c r="D10" s="3">
        <v>4</v>
      </c>
      <c r="E10" s="18">
        <v>9</v>
      </c>
      <c r="F10" s="18">
        <v>10</v>
      </c>
      <c r="G10" s="18">
        <v>76</v>
      </c>
      <c r="H10" s="19">
        <v>2</v>
      </c>
      <c r="I10" s="18"/>
      <c r="J10" s="18"/>
      <c r="K10" s="20">
        <v>144</v>
      </c>
      <c r="L10" s="18">
        <v>269</v>
      </c>
      <c r="M10" s="18">
        <v>246</v>
      </c>
      <c r="N10" s="18">
        <v>291</v>
      </c>
      <c r="O10" s="18">
        <v>82</v>
      </c>
      <c r="P10" s="18">
        <v>236</v>
      </c>
      <c r="Q10" s="17">
        <v>1</v>
      </c>
      <c r="R10" s="17">
        <v>2</v>
      </c>
      <c r="S10" s="17">
        <v>0</v>
      </c>
      <c r="T10" s="17">
        <v>2</v>
      </c>
      <c r="U10" s="17">
        <v>1</v>
      </c>
      <c r="V10" s="3">
        <v>8</v>
      </c>
      <c r="W10" s="20">
        <v>63</v>
      </c>
      <c r="X10" s="3">
        <v>8</v>
      </c>
      <c r="Y10" s="3">
        <v>3</v>
      </c>
      <c r="Z10" s="3">
        <v>0</v>
      </c>
      <c r="AA10" s="20">
        <v>840</v>
      </c>
      <c r="AD10" s="20"/>
      <c r="AG10" s="20"/>
      <c r="AH10" s="96"/>
      <c r="AI10" s="96"/>
      <c r="AJ10" s="96"/>
      <c r="AK10" s="96"/>
      <c r="AL10" s="97"/>
      <c r="AN10" s="17">
        <f>N10-AY10</f>
        <v>-2.3923987738897949</v>
      </c>
      <c r="AO10" s="17">
        <f>O10-AZ10</f>
        <v>-0.77887775688614624</v>
      </c>
      <c r="AP10" s="17">
        <f>P10-BA10</f>
        <v>-1.2298620738831119</v>
      </c>
      <c r="AY10" s="17">
        <f t="shared" ref="AY10:AY40" si="0">10*(BE10-BD10*((L10/10)-(M10/10))*0.00066*(1+(0.00115*(M10/10))))</f>
        <v>293.39239877388979</v>
      </c>
      <c r="AZ10" s="17">
        <f t="shared" ref="AZ10:AZ40" si="1">((AY10/10)*100)/BC10</f>
        <v>82.778877756886146</v>
      </c>
      <c r="BA10" s="17">
        <f>(243.5*LN((AY10/10)/6.112))/(17.67-LN((AY10/10)/6.112))*10</f>
        <v>237.22986207388311</v>
      </c>
      <c r="BC10" s="3">
        <f>6.112*2.718^((17.67*(L10/10))/((L10/10)+243.5))</f>
        <v>35.442906055764126</v>
      </c>
      <c r="BD10" s="3">
        <v>1013.2</v>
      </c>
      <c r="BE10" s="3">
        <f>6.112*2.718^((17.67*(M10/10))/((M10/10)+243.5))</f>
        <v>30.920788561092973</v>
      </c>
    </row>
    <row r="11" spans="1:57" x14ac:dyDescent="0.2">
      <c r="A11" s="13">
        <v>2</v>
      </c>
      <c r="B11" s="3">
        <v>22</v>
      </c>
      <c r="C11" s="17">
        <v>3</v>
      </c>
      <c r="D11" s="3">
        <v>4</v>
      </c>
      <c r="E11" s="18">
        <v>8</v>
      </c>
      <c r="F11" s="18">
        <v>6</v>
      </c>
      <c r="G11" s="18">
        <v>75</v>
      </c>
      <c r="H11" s="19">
        <v>2</v>
      </c>
      <c r="I11" s="18"/>
      <c r="J11" s="18"/>
      <c r="K11" s="20">
        <v>134</v>
      </c>
      <c r="L11" s="18">
        <v>266</v>
      </c>
      <c r="M11" s="18">
        <v>243</v>
      </c>
      <c r="N11" s="18">
        <v>286</v>
      </c>
      <c r="O11" s="18">
        <v>82</v>
      </c>
      <c r="P11" s="18">
        <v>233</v>
      </c>
      <c r="Q11" s="17">
        <v>2</v>
      </c>
      <c r="R11" s="17">
        <v>8</v>
      </c>
      <c r="S11" s="17">
        <v>0</v>
      </c>
      <c r="T11" s="17">
        <v>2</v>
      </c>
      <c r="U11" s="17">
        <v>2</v>
      </c>
      <c r="V11" s="3">
        <v>8</v>
      </c>
      <c r="W11" s="20">
        <v>60</v>
      </c>
      <c r="X11" s="3">
        <v>8</v>
      </c>
      <c r="Y11" s="3"/>
      <c r="Z11" s="3"/>
      <c r="AA11" s="20"/>
      <c r="AB11" s="3"/>
      <c r="AC11" s="3"/>
      <c r="AD11" s="20"/>
      <c r="AE11" s="3"/>
      <c r="AF11" s="3"/>
      <c r="AG11" s="20"/>
      <c r="AH11" s="107"/>
      <c r="AI11" s="107"/>
      <c r="AJ11" s="107"/>
      <c r="AK11" s="107"/>
      <c r="AL11" s="108"/>
      <c r="AN11" s="67">
        <f t="shared" ref="AN11:AP39" si="2">N11-AY11</f>
        <v>-1.8889022853981601</v>
      </c>
      <c r="AO11" s="67">
        <f t="shared" si="2"/>
        <v>-0.6742682567751217</v>
      </c>
      <c r="AP11" s="67">
        <f t="shared" si="2"/>
        <v>-1.0908212505966901</v>
      </c>
      <c r="AY11" s="67">
        <f t="shared" si="0"/>
        <v>287.88890228539816</v>
      </c>
      <c r="AZ11" s="67">
        <f t="shared" si="1"/>
        <v>82.674268256775122</v>
      </c>
      <c r="BA11" s="67">
        <f t="shared" ref="BA11:BA40" si="3">(243.5*LN((AY11/10)/6.112))/(17.67-LN((AY11/10)/6.112))*10</f>
        <v>234.09082125059669</v>
      </c>
      <c r="BC11">
        <f t="shared" ref="BC11:BC40" si="4">6.112*2.718^((17.67*(L11/10))/((L11/10)+243.5))</f>
        <v>34.822068384234633</v>
      </c>
      <c r="BD11">
        <v>1013.2</v>
      </c>
      <c r="BE11">
        <f t="shared" ref="BE11:BE40" si="5">6.112*2.718^((17.67*(M11/10))/((M11/10)+243.5))</f>
        <v>30.369908289271816</v>
      </c>
    </row>
    <row r="12" spans="1:57" x14ac:dyDescent="0.2">
      <c r="A12" s="13">
        <v>3</v>
      </c>
      <c r="B12" s="3">
        <v>22</v>
      </c>
      <c r="C12" s="17">
        <v>1</v>
      </c>
      <c r="D12" s="3">
        <v>4</v>
      </c>
      <c r="E12" s="18">
        <v>7</v>
      </c>
      <c r="F12" s="18">
        <v>9</v>
      </c>
      <c r="G12" s="18">
        <v>75</v>
      </c>
      <c r="H12" s="19">
        <v>2</v>
      </c>
      <c r="I12" s="18"/>
      <c r="J12" s="18"/>
      <c r="K12" s="20">
        <v>140</v>
      </c>
      <c r="L12" s="18">
        <v>262</v>
      </c>
      <c r="M12" s="18">
        <v>240</v>
      </c>
      <c r="N12" s="18">
        <v>281</v>
      </c>
      <c r="O12" s="18">
        <v>83</v>
      </c>
      <c r="P12" s="18">
        <v>230</v>
      </c>
      <c r="Q12" s="17">
        <v>1</v>
      </c>
      <c r="R12" s="17">
        <v>2</v>
      </c>
      <c r="S12" s="17">
        <v>0</v>
      </c>
      <c r="T12" s="17">
        <v>1</v>
      </c>
      <c r="U12" s="17">
        <v>1</v>
      </c>
      <c r="V12" s="3">
        <v>8</v>
      </c>
      <c r="W12" s="20">
        <v>60</v>
      </c>
      <c r="X12" s="3">
        <v>8</v>
      </c>
      <c r="Y12" s="3"/>
      <c r="Z12" s="3"/>
      <c r="AA12" s="20"/>
      <c r="AB12" s="3"/>
      <c r="AC12" s="3"/>
      <c r="AD12" s="20"/>
      <c r="AE12" s="3"/>
      <c r="AF12" s="3"/>
      <c r="AG12" s="20"/>
      <c r="AH12" s="107"/>
      <c r="AI12" s="107"/>
      <c r="AJ12" s="107"/>
      <c r="AK12" s="107"/>
      <c r="AL12" s="108"/>
      <c r="AN12" s="67">
        <f t="shared" si="2"/>
        <v>-2.1586912166206389</v>
      </c>
      <c r="AO12" s="67">
        <f t="shared" si="2"/>
        <v>-0.2597120434179061</v>
      </c>
      <c r="AP12" s="67">
        <f t="shared" si="2"/>
        <v>-1.3505520676229139</v>
      </c>
      <c r="AY12" s="67">
        <f t="shared" si="0"/>
        <v>283.15869121662064</v>
      </c>
      <c r="AZ12" s="67">
        <f t="shared" si="1"/>
        <v>83.259712043417906</v>
      </c>
      <c r="BA12" s="67">
        <f t="shared" si="3"/>
        <v>231.35055206762291</v>
      </c>
      <c r="BC12">
        <f t="shared" si="4"/>
        <v>34.009088461531107</v>
      </c>
      <c r="BD12">
        <v>1013.2</v>
      </c>
      <c r="BE12">
        <f t="shared" si="5"/>
        <v>29.827639714302066</v>
      </c>
    </row>
    <row r="13" spans="1:57" x14ac:dyDescent="0.2">
      <c r="A13" s="13">
        <v>4</v>
      </c>
      <c r="B13" s="3">
        <v>22</v>
      </c>
      <c r="C13" s="17">
        <v>1</v>
      </c>
      <c r="D13" s="3">
        <v>4</v>
      </c>
      <c r="E13" s="18">
        <v>9</v>
      </c>
      <c r="F13" s="18">
        <v>13</v>
      </c>
      <c r="G13" s="18">
        <v>80</v>
      </c>
      <c r="H13" s="19">
        <v>2</v>
      </c>
      <c r="I13" s="18"/>
      <c r="J13" s="18"/>
      <c r="K13" s="20">
        <v>147</v>
      </c>
      <c r="L13" s="18">
        <v>271</v>
      </c>
      <c r="M13" s="18">
        <v>250</v>
      </c>
      <c r="N13" s="18">
        <v>300</v>
      </c>
      <c r="O13" s="18">
        <v>83</v>
      </c>
      <c r="P13" s="18">
        <v>241</v>
      </c>
      <c r="Q13" s="17">
        <v>1</v>
      </c>
      <c r="R13" s="17">
        <v>2</v>
      </c>
      <c r="S13" s="17">
        <v>0</v>
      </c>
      <c r="T13" s="17">
        <v>0</v>
      </c>
      <c r="U13" s="17">
        <v>1</v>
      </c>
      <c r="V13" s="3">
        <v>8</v>
      </c>
      <c r="W13" s="20">
        <v>66</v>
      </c>
      <c r="X13" s="3">
        <v>8</v>
      </c>
      <c r="Y13" s="3"/>
      <c r="Z13" s="3"/>
      <c r="AA13" s="20"/>
      <c r="AB13" s="3"/>
      <c r="AC13" s="3"/>
      <c r="AD13" s="20"/>
      <c r="AE13" s="3"/>
      <c r="AF13" s="3"/>
      <c r="AG13" s="20"/>
      <c r="AH13" s="107"/>
      <c r="AI13" s="107"/>
      <c r="AJ13" s="107"/>
      <c r="AK13" s="107"/>
      <c r="AL13" s="108"/>
      <c r="AN13" s="67">
        <f t="shared" si="2"/>
        <v>-2.2422292261599637</v>
      </c>
      <c r="AO13" s="67">
        <f t="shared" si="2"/>
        <v>-1.2788823818751212</v>
      </c>
      <c r="AP13" s="67">
        <f t="shared" si="2"/>
        <v>-1.1710501702949045</v>
      </c>
      <c r="AY13" s="67">
        <f t="shared" si="0"/>
        <v>302.24222922615996</v>
      </c>
      <c r="AZ13" s="67">
        <f t="shared" si="1"/>
        <v>84.278882381875121</v>
      </c>
      <c r="BA13" s="67">
        <f t="shared" si="3"/>
        <v>242.1710501702949</v>
      </c>
      <c r="BC13">
        <f t="shared" si="4"/>
        <v>35.862154395530958</v>
      </c>
      <c r="BD13">
        <v>1013.2</v>
      </c>
      <c r="BE13">
        <f t="shared" si="5"/>
        <v>31.668891609615997</v>
      </c>
    </row>
    <row r="14" spans="1:57" x14ac:dyDescent="0.2">
      <c r="A14" s="13">
        <v>5</v>
      </c>
      <c r="B14" s="3">
        <v>22</v>
      </c>
      <c r="C14" s="17">
        <v>2</v>
      </c>
      <c r="D14" s="3">
        <v>4</v>
      </c>
      <c r="E14" s="18">
        <v>9</v>
      </c>
      <c r="F14" s="18">
        <v>12</v>
      </c>
      <c r="G14" s="18">
        <v>78</v>
      </c>
      <c r="H14" s="19">
        <v>2</v>
      </c>
      <c r="I14" s="18"/>
      <c r="J14" s="18"/>
      <c r="K14" s="20">
        <v>145</v>
      </c>
      <c r="L14" s="18">
        <v>269</v>
      </c>
      <c r="M14" s="18">
        <v>248</v>
      </c>
      <c r="N14" s="18">
        <v>297</v>
      </c>
      <c r="O14" s="18">
        <v>84</v>
      </c>
      <c r="P14" s="18">
        <v>239</v>
      </c>
      <c r="Q14" s="17">
        <v>1</v>
      </c>
      <c r="R14" s="17">
        <v>2</v>
      </c>
      <c r="S14" s="17">
        <v>0</v>
      </c>
      <c r="T14" s="17">
        <v>1</v>
      </c>
      <c r="U14" s="17">
        <v>1</v>
      </c>
      <c r="V14" s="3">
        <v>8</v>
      </c>
      <c r="W14" s="20">
        <v>54</v>
      </c>
      <c r="X14" s="3">
        <v>8</v>
      </c>
      <c r="Y14" s="3"/>
      <c r="Z14" s="3"/>
      <c r="AA14" s="20"/>
      <c r="AB14" s="3"/>
      <c r="AC14" s="3"/>
      <c r="AD14" s="20"/>
      <c r="AE14" s="3"/>
      <c r="AF14" s="3"/>
      <c r="AG14" s="20"/>
      <c r="AH14" s="107"/>
      <c r="AI14" s="107"/>
      <c r="AJ14" s="107"/>
      <c r="AK14" s="107"/>
      <c r="AL14" s="108"/>
      <c r="AN14" s="67">
        <f t="shared" si="2"/>
        <v>-1.4853770670051176</v>
      </c>
      <c r="AO14" s="67">
        <f t="shared" si="2"/>
        <v>-0.21583055220779102</v>
      </c>
      <c r="AP14" s="67">
        <f t="shared" si="2"/>
        <v>-1.0891445567174571</v>
      </c>
      <c r="AY14" s="67">
        <f t="shared" si="0"/>
        <v>298.48537706700512</v>
      </c>
      <c r="AZ14" s="67">
        <f t="shared" si="1"/>
        <v>84.215830552207791</v>
      </c>
      <c r="BA14" s="67">
        <f t="shared" si="3"/>
        <v>240.08914455671746</v>
      </c>
      <c r="BC14">
        <f t="shared" si="4"/>
        <v>35.442906055764126</v>
      </c>
      <c r="BD14">
        <v>1013.2</v>
      </c>
      <c r="BE14">
        <f t="shared" si="5"/>
        <v>31.29288340580451</v>
      </c>
    </row>
    <row r="15" spans="1:57" x14ac:dyDescent="0.2">
      <c r="A15" s="13">
        <v>6</v>
      </c>
      <c r="B15" s="3">
        <v>22</v>
      </c>
      <c r="C15" s="17">
        <v>2</v>
      </c>
      <c r="D15" s="3">
        <v>4</v>
      </c>
      <c r="E15" s="18">
        <v>8</v>
      </c>
      <c r="F15" s="18">
        <v>10</v>
      </c>
      <c r="G15" s="18">
        <v>80</v>
      </c>
      <c r="H15" s="19">
        <v>2</v>
      </c>
      <c r="I15" s="18"/>
      <c r="J15" s="18"/>
      <c r="K15" s="20">
        <v>133</v>
      </c>
      <c r="L15" s="18">
        <v>265</v>
      </c>
      <c r="M15" s="18">
        <v>244</v>
      </c>
      <c r="N15" s="18">
        <v>290</v>
      </c>
      <c r="O15" s="18">
        <v>83</v>
      </c>
      <c r="P15" s="18">
        <v>235</v>
      </c>
      <c r="Q15" s="17">
        <v>1</v>
      </c>
      <c r="R15" s="17">
        <v>1</v>
      </c>
      <c r="S15" s="17">
        <v>0</v>
      </c>
      <c r="T15" s="17">
        <v>1</v>
      </c>
      <c r="U15" s="17">
        <v>1</v>
      </c>
      <c r="V15" s="3">
        <v>8</v>
      </c>
      <c r="W15" s="20">
        <v>69</v>
      </c>
      <c r="X15" s="3">
        <v>8</v>
      </c>
      <c r="Y15" s="3"/>
      <c r="Z15" s="3"/>
      <c r="AA15" s="20"/>
      <c r="AB15" s="3"/>
      <c r="AC15" s="3"/>
      <c r="AD15" s="20"/>
      <c r="AE15" s="3"/>
      <c r="AF15" s="3"/>
      <c r="AG15" s="20"/>
      <c r="AH15" s="107"/>
      <c r="AI15" s="107"/>
      <c r="AJ15" s="107"/>
      <c r="AK15" s="107"/>
      <c r="AL15" s="108"/>
      <c r="AN15" s="67">
        <f t="shared" si="2"/>
        <v>-1.0887278295645046</v>
      </c>
      <c r="AO15" s="67">
        <f t="shared" si="2"/>
        <v>-1.087776198899931</v>
      </c>
      <c r="AP15" s="67">
        <f t="shared" si="2"/>
        <v>-0.92224151619049621</v>
      </c>
      <c r="AY15" s="67">
        <f t="shared" si="0"/>
        <v>291.0887278295645</v>
      </c>
      <c r="AZ15" s="67">
        <f t="shared" si="1"/>
        <v>84.087776198899931</v>
      </c>
      <c r="BA15" s="67">
        <f t="shared" si="3"/>
        <v>235.9222415161905</v>
      </c>
      <c r="BC15">
        <f t="shared" si="4"/>
        <v>34.617246523564582</v>
      </c>
      <c r="BD15">
        <v>1013.2</v>
      </c>
      <c r="BE15">
        <f t="shared" si="5"/>
        <v>30.552572506268454</v>
      </c>
    </row>
    <row r="16" spans="1:57" x14ac:dyDescent="0.2">
      <c r="A16" s="13">
        <v>7</v>
      </c>
      <c r="B16" s="3">
        <v>22</v>
      </c>
      <c r="C16" s="17">
        <v>4</v>
      </c>
      <c r="D16" s="3">
        <v>4</v>
      </c>
      <c r="E16" s="18">
        <v>10</v>
      </c>
      <c r="F16" s="18">
        <v>13</v>
      </c>
      <c r="G16" s="18">
        <v>75</v>
      </c>
      <c r="H16" s="19">
        <v>2</v>
      </c>
      <c r="I16" s="18"/>
      <c r="J16" s="18"/>
      <c r="K16" s="20">
        <v>123</v>
      </c>
      <c r="L16" s="18">
        <v>269</v>
      </c>
      <c r="M16" s="18">
        <v>243</v>
      </c>
      <c r="N16" s="18">
        <v>284</v>
      </c>
      <c r="O16" s="18">
        <v>79</v>
      </c>
      <c r="P16" s="18">
        <v>231</v>
      </c>
      <c r="Q16" s="17">
        <v>1</v>
      </c>
      <c r="R16" s="17">
        <v>2</v>
      </c>
      <c r="S16" s="17">
        <v>0</v>
      </c>
      <c r="T16" s="17">
        <v>2</v>
      </c>
      <c r="U16" s="17">
        <v>1</v>
      </c>
      <c r="V16" s="3">
        <v>8</v>
      </c>
      <c r="W16" s="20">
        <v>69</v>
      </c>
      <c r="X16" s="3">
        <v>8</v>
      </c>
      <c r="Y16" s="3">
        <v>3</v>
      </c>
      <c r="Z16" s="3">
        <v>0</v>
      </c>
      <c r="AA16" s="20">
        <v>840</v>
      </c>
      <c r="AB16" s="3"/>
      <c r="AC16" s="3"/>
      <c r="AD16" s="20"/>
      <c r="AE16" s="3"/>
      <c r="AF16" s="3"/>
      <c r="AG16" s="20"/>
      <c r="AH16" s="107"/>
      <c r="AI16" s="107"/>
      <c r="AJ16" s="107"/>
      <c r="AK16" s="107"/>
      <c r="AL16" s="108"/>
      <c r="AN16" s="67">
        <f t="shared" si="2"/>
        <v>-1.8267048148781555</v>
      </c>
      <c r="AO16" s="67">
        <f t="shared" si="2"/>
        <v>-1.6442633019912307</v>
      </c>
      <c r="AP16" s="67">
        <f t="shared" si="2"/>
        <v>-1.9010512714933441</v>
      </c>
      <c r="AY16" s="67">
        <f t="shared" si="0"/>
        <v>285.82670481487816</v>
      </c>
      <c r="AZ16" s="67">
        <f t="shared" si="1"/>
        <v>80.644263301991231</v>
      </c>
      <c r="BA16" s="67">
        <f t="shared" si="3"/>
        <v>232.90105127149334</v>
      </c>
      <c r="BC16">
        <f t="shared" si="4"/>
        <v>35.442906055764126</v>
      </c>
      <c r="BD16">
        <v>1013.2</v>
      </c>
      <c r="BE16">
        <f t="shared" si="5"/>
        <v>30.369908289271816</v>
      </c>
    </row>
    <row r="17" spans="1:57" x14ac:dyDescent="0.2">
      <c r="A17" s="13">
        <v>8</v>
      </c>
      <c r="B17" s="3">
        <v>22</v>
      </c>
      <c r="C17" s="17">
        <v>1</v>
      </c>
      <c r="D17" s="3">
        <v>4</v>
      </c>
      <c r="E17" s="18">
        <v>11</v>
      </c>
      <c r="F17" s="18">
        <v>13</v>
      </c>
      <c r="G17" s="18">
        <v>72</v>
      </c>
      <c r="H17" s="19">
        <v>1</v>
      </c>
      <c r="I17" s="18">
        <v>5</v>
      </c>
      <c r="J17" s="18">
        <v>0</v>
      </c>
      <c r="K17" s="20">
        <v>126</v>
      </c>
      <c r="L17" s="18">
        <v>271</v>
      </c>
      <c r="M17" s="18">
        <v>250</v>
      </c>
      <c r="N17" s="18">
        <v>300</v>
      </c>
      <c r="O17" s="18">
        <v>84</v>
      </c>
      <c r="P17" s="18">
        <v>241</v>
      </c>
      <c r="Q17" s="17">
        <v>1</v>
      </c>
      <c r="R17" s="17">
        <v>2</v>
      </c>
      <c r="S17" s="17">
        <v>0</v>
      </c>
      <c r="T17" s="17">
        <v>0</v>
      </c>
      <c r="U17" s="17">
        <v>1</v>
      </c>
      <c r="V17" s="3">
        <v>8</v>
      </c>
      <c r="W17" s="20">
        <v>60</v>
      </c>
      <c r="X17" s="3">
        <v>8</v>
      </c>
      <c r="Y17" s="3"/>
      <c r="Z17" s="3"/>
      <c r="AA17" s="20"/>
      <c r="AB17" s="3"/>
      <c r="AC17" s="3"/>
      <c r="AD17" s="20"/>
      <c r="AE17" s="3"/>
      <c r="AF17" s="3"/>
      <c r="AG17" s="20"/>
      <c r="AH17" s="107"/>
      <c r="AI17" s="107"/>
      <c r="AJ17" s="107"/>
      <c r="AK17" s="107"/>
      <c r="AL17" s="108"/>
      <c r="AN17" s="67">
        <f t="shared" si="2"/>
        <v>-2.2422292261599637</v>
      </c>
      <c r="AO17" s="67">
        <f t="shared" si="2"/>
        <v>-0.27888238187512115</v>
      </c>
      <c r="AP17" s="67">
        <f t="shared" si="2"/>
        <v>-1.1710501702949045</v>
      </c>
      <c r="AY17" s="67">
        <f t="shared" si="0"/>
        <v>302.24222922615996</v>
      </c>
      <c r="AZ17" s="67">
        <f t="shared" si="1"/>
        <v>84.278882381875121</v>
      </c>
      <c r="BA17" s="67">
        <f t="shared" si="3"/>
        <v>242.1710501702949</v>
      </c>
      <c r="BC17">
        <f t="shared" si="4"/>
        <v>35.862154395530958</v>
      </c>
      <c r="BD17">
        <v>1013.2</v>
      </c>
      <c r="BE17">
        <f t="shared" si="5"/>
        <v>31.668891609615997</v>
      </c>
    </row>
    <row r="18" spans="1:57" x14ac:dyDescent="0.2">
      <c r="A18" s="13">
        <v>9</v>
      </c>
      <c r="B18" s="3">
        <v>22</v>
      </c>
      <c r="C18" s="17">
        <v>5</v>
      </c>
      <c r="D18" s="3">
        <v>4</v>
      </c>
      <c r="E18" s="18">
        <v>10</v>
      </c>
      <c r="F18" s="18">
        <v>11</v>
      </c>
      <c r="G18" s="18">
        <v>78</v>
      </c>
      <c r="H18" s="19">
        <v>2</v>
      </c>
      <c r="I18" s="18"/>
      <c r="J18" s="18"/>
      <c r="K18" s="20">
        <v>130</v>
      </c>
      <c r="L18" s="18">
        <v>265</v>
      </c>
      <c r="M18" s="18">
        <v>243</v>
      </c>
      <c r="N18" s="18">
        <v>286</v>
      </c>
      <c r="O18" s="18">
        <v>83</v>
      </c>
      <c r="P18" s="18">
        <v>233</v>
      </c>
      <c r="Q18" s="17">
        <v>1</v>
      </c>
      <c r="R18" s="17">
        <v>2</v>
      </c>
      <c r="S18" s="17">
        <v>0</v>
      </c>
      <c r="T18" s="17">
        <v>1</v>
      </c>
      <c r="U18" s="17">
        <v>1</v>
      </c>
      <c r="V18" s="3">
        <v>8</v>
      </c>
      <c r="W18" s="20">
        <v>66</v>
      </c>
      <c r="X18" s="3">
        <v>8</v>
      </c>
      <c r="Y18" s="3">
        <v>4</v>
      </c>
      <c r="Z18" s="3">
        <v>0</v>
      </c>
      <c r="AA18" s="20">
        <v>900</v>
      </c>
      <c r="AB18" s="3"/>
      <c r="AC18" s="3"/>
      <c r="AD18" s="20"/>
      <c r="AE18" s="3"/>
      <c r="AF18" s="3"/>
      <c r="AG18" s="20"/>
      <c r="AH18" s="107"/>
      <c r="AI18" s="107"/>
      <c r="AJ18" s="107"/>
      <c r="AK18" s="107"/>
      <c r="AL18" s="108"/>
      <c r="AN18" s="67">
        <f t="shared" si="2"/>
        <v>-2.5763014422381616</v>
      </c>
      <c r="AO18" s="67">
        <f t="shared" si="2"/>
        <v>-0.36200316966258583</v>
      </c>
      <c r="AP18" s="67">
        <f t="shared" si="2"/>
        <v>-1.485752539740929</v>
      </c>
      <c r="AY18" s="67">
        <f t="shared" si="0"/>
        <v>288.57630144223816</v>
      </c>
      <c r="AZ18" s="67">
        <f t="shared" si="1"/>
        <v>83.362003169662586</v>
      </c>
      <c r="BA18" s="67">
        <f t="shared" si="3"/>
        <v>234.48575253974093</v>
      </c>
      <c r="BC18">
        <f t="shared" si="4"/>
        <v>34.617246523564582</v>
      </c>
      <c r="BD18">
        <v>1013.2</v>
      </c>
      <c r="BE18">
        <f t="shared" si="5"/>
        <v>30.369908289271816</v>
      </c>
    </row>
    <row r="19" spans="1:57" x14ac:dyDescent="0.2">
      <c r="A19" s="13">
        <v>10</v>
      </c>
      <c r="B19" s="3">
        <v>22</v>
      </c>
      <c r="C19" s="17">
        <v>4</v>
      </c>
      <c r="D19" s="3">
        <v>4</v>
      </c>
      <c r="E19" s="18">
        <v>8</v>
      </c>
      <c r="F19" s="18">
        <v>9</v>
      </c>
      <c r="G19" s="18">
        <v>75</v>
      </c>
      <c r="H19" s="19">
        <v>2</v>
      </c>
      <c r="I19" s="18"/>
      <c r="J19" s="18"/>
      <c r="K19" s="20">
        <v>106</v>
      </c>
      <c r="L19" s="18">
        <v>267</v>
      </c>
      <c r="M19" s="18">
        <v>246</v>
      </c>
      <c r="N19" s="18">
        <v>294</v>
      </c>
      <c r="O19" s="18">
        <v>83</v>
      </c>
      <c r="P19" s="18">
        <v>237</v>
      </c>
      <c r="Q19" s="17">
        <v>1</v>
      </c>
      <c r="R19" s="17">
        <v>2</v>
      </c>
      <c r="S19" s="17">
        <v>0</v>
      </c>
      <c r="T19" s="17">
        <v>1</v>
      </c>
      <c r="U19" s="17">
        <v>1</v>
      </c>
      <c r="V19" s="3">
        <v>8</v>
      </c>
      <c r="W19" s="20">
        <v>63</v>
      </c>
      <c r="X19" s="3">
        <v>8</v>
      </c>
      <c r="Y19" s="3">
        <v>4</v>
      </c>
      <c r="Z19" s="3">
        <v>0</v>
      </c>
      <c r="AA19" s="20">
        <v>900</v>
      </c>
      <c r="AB19" s="3"/>
      <c r="AC19" s="3"/>
      <c r="AD19" s="20"/>
      <c r="AE19" s="3"/>
      <c r="AF19" s="3"/>
      <c r="AG19" s="20"/>
      <c r="AH19" s="107"/>
      <c r="AI19" s="107"/>
      <c r="AJ19" s="107"/>
      <c r="AK19" s="107"/>
      <c r="AL19" s="108"/>
      <c r="AN19" s="67">
        <f t="shared" si="2"/>
        <v>-0.76765849884975523</v>
      </c>
      <c r="AO19" s="67">
        <f t="shared" si="2"/>
        <v>-1.1521315034043056</v>
      </c>
      <c r="AP19" s="67">
        <f t="shared" si="2"/>
        <v>-1.0062133126082813</v>
      </c>
      <c r="AY19" s="67">
        <f t="shared" si="0"/>
        <v>294.76765849884976</v>
      </c>
      <c r="AZ19" s="67">
        <f t="shared" si="1"/>
        <v>84.152131503404306</v>
      </c>
      <c r="BA19" s="67">
        <f t="shared" si="3"/>
        <v>238.00621331260828</v>
      </c>
      <c r="BC19">
        <f t="shared" si="4"/>
        <v>35.027949171664794</v>
      </c>
      <c r="BD19">
        <v>1013.2</v>
      </c>
      <c r="BE19">
        <f t="shared" si="5"/>
        <v>30.920788561092973</v>
      </c>
    </row>
    <row r="20" spans="1:57" x14ac:dyDescent="0.2">
      <c r="A20" s="13">
        <v>11</v>
      </c>
      <c r="B20" s="3">
        <v>22</v>
      </c>
      <c r="C20" s="17">
        <v>5</v>
      </c>
      <c r="D20" s="3">
        <v>4</v>
      </c>
      <c r="E20" s="18">
        <v>0</v>
      </c>
      <c r="F20" s="18">
        <v>0</v>
      </c>
      <c r="G20" s="18">
        <v>72</v>
      </c>
      <c r="H20" s="19">
        <v>1</v>
      </c>
      <c r="I20" s="18">
        <v>5</v>
      </c>
      <c r="J20" s="18">
        <v>22</v>
      </c>
      <c r="K20" s="20">
        <v>117</v>
      </c>
      <c r="L20" s="18">
        <v>248</v>
      </c>
      <c r="M20" s="18">
        <v>232</v>
      </c>
      <c r="N20" s="18">
        <v>271</v>
      </c>
      <c r="O20" s="18">
        <v>87</v>
      </c>
      <c r="P20" s="18">
        <v>224</v>
      </c>
      <c r="Q20" s="17">
        <v>1</v>
      </c>
      <c r="R20" s="17">
        <v>2</v>
      </c>
      <c r="S20" s="17">
        <v>0</v>
      </c>
      <c r="T20" s="17">
        <v>2</v>
      </c>
      <c r="U20" s="17">
        <v>1</v>
      </c>
      <c r="V20" s="3">
        <v>8</v>
      </c>
      <c r="W20" s="20">
        <v>60</v>
      </c>
      <c r="X20" s="3">
        <v>8</v>
      </c>
      <c r="Y20" s="3">
        <v>5</v>
      </c>
      <c r="Z20" s="3">
        <v>0</v>
      </c>
      <c r="AA20" s="20">
        <v>840</v>
      </c>
      <c r="AB20" s="3"/>
      <c r="AC20" s="3"/>
      <c r="AD20" s="20"/>
      <c r="AE20" s="3"/>
      <c r="AF20" s="3"/>
      <c r="AG20" s="20"/>
      <c r="AH20" s="107" t="s">
        <v>85</v>
      </c>
      <c r="AI20" s="107"/>
      <c r="AJ20" s="107"/>
      <c r="AK20" s="107"/>
      <c r="AL20" s="108"/>
      <c r="AN20" s="67">
        <f t="shared" si="2"/>
        <v>-2.2434045316840638</v>
      </c>
      <c r="AO20" s="67">
        <f t="shared" si="2"/>
        <v>-0.31806557685260373</v>
      </c>
      <c r="AP20" s="67">
        <f t="shared" si="2"/>
        <v>-1.4738561403579524</v>
      </c>
      <c r="AY20" s="67">
        <f t="shared" si="0"/>
        <v>273.24340453168406</v>
      </c>
      <c r="AZ20" s="67">
        <f t="shared" si="1"/>
        <v>87.318065576852604</v>
      </c>
      <c r="BA20" s="67">
        <f t="shared" si="3"/>
        <v>225.47385614035795</v>
      </c>
      <c r="BC20">
        <f t="shared" si="4"/>
        <v>31.29288340580451</v>
      </c>
      <c r="BD20">
        <v>1013.2</v>
      </c>
      <c r="BE20">
        <f t="shared" si="5"/>
        <v>28.422825631024409</v>
      </c>
    </row>
    <row r="21" spans="1:57" x14ac:dyDescent="0.2">
      <c r="A21" s="13">
        <v>12</v>
      </c>
      <c r="B21" s="3">
        <v>22</v>
      </c>
      <c r="C21" s="17">
        <v>5</v>
      </c>
      <c r="D21" s="3">
        <v>4</v>
      </c>
      <c r="E21" s="18">
        <v>0</v>
      </c>
      <c r="F21" s="18">
        <v>0</v>
      </c>
      <c r="G21" s="18">
        <v>75</v>
      </c>
      <c r="H21" s="19">
        <v>2</v>
      </c>
      <c r="I21" s="18"/>
      <c r="J21" s="18"/>
      <c r="K21" s="20">
        <v>133</v>
      </c>
      <c r="L21" s="18">
        <v>262</v>
      </c>
      <c r="M21" s="18">
        <v>231</v>
      </c>
      <c r="N21" s="18">
        <v>258</v>
      </c>
      <c r="O21" s="18">
        <v>76</v>
      </c>
      <c r="P21" s="18">
        <v>216</v>
      </c>
      <c r="Q21" s="17">
        <v>1</v>
      </c>
      <c r="R21" s="17">
        <v>2</v>
      </c>
      <c r="S21" s="17">
        <v>0</v>
      </c>
      <c r="T21" s="17">
        <v>2</v>
      </c>
      <c r="U21" s="17">
        <v>1</v>
      </c>
      <c r="V21" s="3">
        <v>8</v>
      </c>
      <c r="W21" s="20">
        <v>66</v>
      </c>
      <c r="X21" s="3">
        <v>8</v>
      </c>
      <c r="Y21" s="3">
        <v>5</v>
      </c>
      <c r="Z21" s="3">
        <v>0</v>
      </c>
      <c r="AA21" s="20">
        <v>840</v>
      </c>
      <c r="AB21" s="3"/>
      <c r="AC21" s="3"/>
      <c r="AD21" s="20"/>
      <c r="AE21" s="3"/>
      <c r="AF21" s="3"/>
      <c r="AG21" s="20"/>
      <c r="AH21" s="107"/>
      <c r="AI21" s="107"/>
      <c r="AJ21" s="107"/>
      <c r="AK21" s="107"/>
      <c r="AL21" s="108"/>
      <c r="AN21" s="67">
        <f t="shared" si="2"/>
        <v>-3.232895797106778</v>
      </c>
      <c r="AO21" s="67">
        <f t="shared" si="2"/>
        <v>-0.81267202812468042</v>
      </c>
      <c r="AP21" s="67">
        <f t="shared" si="2"/>
        <v>-2.0996866847641797</v>
      </c>
      <c r="AY21" s="67">
        <f t="shared" si="0"/>
        <v>261.23289579710678</v>
      </c>
      <c r="AZ21" s="67">
        <f t="shared" si="1"/>
        <v>76.81267202812468</v>
      </c>
      <c r="BA21" s="67">
        <f t="shared" si="3"/>
        <v>218.09968668476418</v>
      </c>
      <c r="BC21">
        <f t="shared" si="4"/>
        <v>34.009088461531107</v>
      </c>
      <c r="BD21">
        <v>1013.2</v>
      </c>
      <c r="BE21">
        <f t="shared" si="5"/>
        <v>28.251366215978674</v>
      </c>
    </row>
    <row r="22" spans="1:57" x14ac:dyDescent="0.2">
      <c r="A22" s="13">
        <v>13</v>
      </c>
      <c r="B22" s="3">
        <v>22</v>
      </c>
      <c r="C22" s="17">
        <v>2</v>
      </c>
      <c r="D22" s="3">
        <v>4</v>
      </c>
      <c r="E22" s="18">
        <v>7</v>
      </c>
      <c r="F22" s="18">
        <v>7</v>
      </c>
      <c r="G22" s="18">
        <v>75</v>
      </c>
      <c r="H22" s="19">
        <v>2</v>
      </c>
      <c r="I22" s="18"/>
      <c r="J22" s="18"/>
      <c r="K22" s="20">
        <v>138</v>
      </c>
      <c r="L22" s="18">
        <v>262</v>
      </c>
      <c r="M22" s="18">
        <v>237</v>
      </c>
      <c r="N22" s="18">
        <v>273</v>
      </c>
      <c r="O22" s="18">
        <v>80</v>
      </c>
      <c r="P22" s="18">
        <v>225</v>
      </c>
      <c r="Q22" s="17">
        <v>1</v>
      </c>
      <c r="R22" s="17">
        <v>2</v>
      </c>
      <c r="S22" s="17">
        <v>0</v>
      </c>
      <c r="T22" s="17">
        <v>1</v>
      </c>
      <c r="U22" s="17">
        <v>1</v>
      </c>
      <c r="V22" s="3">
        <v>8</v>
      </c>
      <c r="W22" s="20">
        <v>60</v>
      </c>
      <c r="X22" s="3">
        <v>8</v>
      </c>
      <c r="Y22" s="3"/>
      <c r="Z22" s="3"/>
      <c r="AA22" s="20"/>
      <c r="AB22" s="3"/>
      <c r="AC22" s="3"/>
      <c r="AD22" s="20"/>
      <c r="AE22" s="3"/>
      <c r="AF22" s="3"/>
      <c r="AG22" s="20"/>
      <c r="AH22" s="107"/>
      <c r="AI22" s="107"/>
      <c r="AJ22" s="107"/>
      <c r="AK22" s="107"/>
      <c r="AL22" s="108"/>
      <c r="AN22" s="67">
        <f t="shared" si="2"/>
        <v>-2.7652406644346001</v>
      </c>
      <c r="AO22" s="67">
        <f t="shared" si="2"/>
        <v>-1.0857488804389845</v>
      </c>
      <c r="AP22" s="67">
        <f t="shared" si="2"/>
        <v>-1.9860239242657656</v>
      </c>
      <c r="AY22" s="67">
        <f t="shared" si="0"/>
        <v>275.7652406644346</v>
      </c>
      <c r="AZ22" s="67">
        <f t="shared" si="1"/>
        <v>81.085748880438985</v>
      </c>
      <c r="BA22" s="67">
        <f t="shared" si="3"/>
        <v>226.98602392426577</v>
      </c>
      <c r="BC22">
        <f t="shared" si="4"/>
        <v>34.009088461531107</v>
      </c>
      <c r="BD22">
        <v>1013.2</v>
      </c>
      <c r="BE22">
        <f t="shared" si="5"/>
        <v>29.293868430343458</v>
      </c>
    </row>
    <row r="23" spans="1:57" x14ac:dyDescent="0.2">
      <c r="A23" s="13">
        <v>14</v>
      </c>
      <c r="B23" s="3">
        <v>22</v>
      </c>
      <c r="C23" s="17">
        <v>5</v>
      </c>
      <c r="D23" s="3">
        <v>4</v>
      </c>
      <c r="E23" s="18">
        <v>8</v>
      </c>
      <c r="F23" s="18">
        <v>5</v>
      </c>
      <c r="G23" s="18">
        <v>78</v>
      </c>
      <c r="H23" s="19">
        <v>2</v>
      </c>
      <c r="I23" s="18"/>
      <c r="J23" s="18"/>
      <c r="K23" s="20">
        <v>131</v>
      </c>
      <c r="L23" s="18">
        <v>260</v>
      </c>
      <c r="M23" s="18">
        <v>235</v>
      </c>
      <c r="N23" s="18">
        <v>270</v>
      </c>
      <c r="O23" s="18">
        <v>80</v>
      </c>
      <c r="P23" s="18">
        <v>223</v>
      </c>
      <c r="Q23" s="17">
        <v>1</v>
      </c>
      <c r="R23" s="17">
        <v>2</v>
      </c>
      <c r="S23" s="17">
        <v>0</v>
      </c>
      <c r="T23" s="17">
        <v>1</v>
      </c>
      <c r="U23" s="17">
        <v>1</v>
      </c>
      <c r="V23" s="3">
        <v>8</v>
      </c>
      <c r="W23" s="20">
        <v>63</v>
      </c>
      <c r="X23" s="3">
        <v>8</v>
      </c>
      <c r="Y23" s="3">
        <v>5</v>
      </c>
      <c r="Z23" s="3">
        <v>0</v>
      </c>
      <c r="AA23" s="20">
        <v>840</v>
      </c>
      <c r="AB23" s="3"/>
      <c r="AC23" s="3"/>
      <c r="AD23" s="20"/>
      <c r="AE23" s="3"/>
      <c r="AF23" s="3"/>
      <c r="AG23" s="20"/>
      <c r="AH23" s="107"/>
      <c r="AI23" s="107"/>
      <c r="AJ23" s="107"/>
      <c r="AK23" s="107"/>
      <c r="AL23" s="108"/>
      <c r="AN23" s="67">
        <f t="shared" si="2"/>
        <v>-2.2572582746500984</v>
      </c>
      <c r="AO23" s="67">
        <f t="shared" si="2"/>
        <v>-1.0075843594063087</v>
      </c>
      <c r="AP23" s="67">
        <f t="shared" si="2"/>
        <v>-1.8792054716885502</v>
      </c>
      <c r="AY23" s="67">
        <f t="shared" si="0"/>
        <v>272.2572582746501</v>
      </c>
      <c r="AZ23" s="67">
        <f t="shared" si="1"/>
        <v>81.007584359406309</v>
      </c>
      <c r="BA23" s="67">
        <f t="shared" si="3"/>
        <v>224.87920547168855</v>
      </c>
      <c r="BC23">
        <f t="shared" si="4"/>
        <v>33.608860260136439</v>
      </c>
      <c r="BD23">
        <v>1013.2</v>
      </c>
      <c r="BE23">
        <f t="shared" si="5"/>
        <v>28.94268568196501</v>
      </c>
    </row>
    <row r="24" spans="1:57" x14ac:dyDescent="0.2">
      <c r="A24" s="13">
        <v>15</v>
      </c>
      <c r="B24" s="3">
        <v>22</v>
      </c>
      <c r="C24" s="17">
        <v>2</v>
      </c>
      <c r="D24" s="3">
        <v>4</v>
      </c>
      <c r="E24" s="18">
        <v>0</v>
      </c>
      <c r="F24" s="18">
        <v>0</v>
      </c>
      <c r="G24" s="18">
        <v>78</v>
      </c>
      <c r="H24" s="19">
        <v>2</v>
      </c>
      <c r="I24" s="18"/>
      <c r="J24" s="18"/>
      <c r="K24" s="20">
        <v>132</v>
      </c>
      <c r="L24" s="18">
        <v>256</v>
      </c>
      <c r="M24" s="18">
        <v>230</v>
      </c>
      <c r="N24" s="18">
        <v>262</v>
      </c>
      <c r="O24" s="18">
        <v>80</v>
      </c>
      <c r="P24" s="18">
        <v>218</v>
      </c>
      <c r="Q24" s="17">
        <v>1</v>
      </c>
      <c r="R24" s="17">
        <v>1</v>
      </c>
      <c r="S24" s="17">
        <v>0</v>
      </c>
      <c r="T24" s="17">
        <v>1</v>
      </c>
      <c r="U24" s="17">
        <v>1</v>
      </c>
      <c r="V24" s="3">
        <v>8</v>
      </c>
      <c r="W24" s="20">
        <v>63</v>
      </c>
      <c r="X24" s="3">
        <v>8</v>
      </c>
      <c r="Y24" s="3"/>
      <c r="Z24" s="3"/>
      <c r="AA24" s="20"/>
      <c r="AB24" s="3"/>
      <c r="AC24" s="3"/>
      <c r="AD24" s="20"/>
      <c r="AE24" s="3"/>
      <c r="AF24" s="3"/>
      <c r="AG24" s="20"/>
      <c r="AH24" s="107"/>
      <c r="AI24" s="107"/>
      <c r="AJ24" s="107"/>
      <c r="AK24" s="107"/>
      <c r="AL24" s="108"/>
      <c r="AN24" s="67">
        <f t="shared" si="2"/>
        <v>-0.96175085971412955</v>
      </c>
      <c r="AO24" s="67">
        <f t="shared" si="2"/>
        <v>-0.12058978928430975</v>
      </c>
      <c r="AP24" s="67">
        <f t="shared" si="2"/>
        <v>-1.1792444283978796</v>
      </c>
      <c r="AY24" s="67">
        <f t="shared" si="0"/>
        <v>262.96175085971413</v>
      </c>
      <c r="AZ24" s="67">
        <f t="shared" si="1"/>
        <v>80.12058978928431</v>
      </c>
      <c r="BA24" s="67">
        <f t="shared" si="3"/>
        <v>219.17924442839788</v>
      </c>
      <c r="BC24">
        <f t="shared" si="4"/>
        <v>32.820745772253893</v>
      </c>
      <c r="BD24">
        <v>1013.2</v>
      </c>
      <c r="BE24">
        <f t="shared" si="5"/>
        <v>28.080813610211415</v>
      </c>
    </row>
    <row r="25" spans="1:57" x14ac:dyDescent="0.2">
      <c r="A25" s="13">
        <v>16</v>
      </c>
      <c r="B25" s="3">
        <v>22</v>
      </c>
      <c r="C25" s="17">
        <v>7</v>
      </c>
      <c r="D25" s="3">
        <v>4</v>
      </c>
      <c r="E25" s="18">
        <v>8</v>
      </c>
      <c r="F25" s="18">
        <v>7</v>
      </c>
      <c r="G25" s="18">
        <v>75</v>
      </c>
      <c r="H25" s="19">
        <v>2</v>
      </c>
      <c r="I25" s="18"/>
      <c r="J25" s="18"/>
      <c r="K25" s="20">
        <v>149</v>
      </c>
      <c r="L25" s="18">
        <v>263</v>
      </c>
      <c r="M25" s="18">
        <v>232</v>
      </c>
      <c r="N25" s="18">
        <v>266</v>
      </c>
      <c r="O25" s="18">
        <v>75</v>
      </c>
      <c r="P25" s="18">
        <v>215</v>
      </c>
      <c r="Q25" s="17">
        <v>2</v>
      </c>
      <c r="R25" s="17">
        <v>8</v>
      </c>
      <c r="S25" s="17">
        <v>0</v>
      </c>
      <c r="T25" s="17">
        <v>2</v>
      </c>
      <c r="U25" s="17">
        <v>2</v>
      </c>
      <c r="V25" s="3">
        <v>8</v>
      </c>
      <c r="W25" s="20">
        <v>54</v>
      </c>
      <c r="X25" s="3">
        <v>8</v>
      </c>
      <c r="Y25" s="3">
        <v>6</v>
      </c>
      <c r="Z25" s="3">
        <v>0</v>
      </c>
      <c r="AA25" s="20">
        <v>840</v>
      </c>
      <c r="AB25" s="3"/>
      <c r="AC25" s="3"/>
      <c r="AD25" s="20"/>
      <c r="AE25" s="3"/>
      <c r="AF25" s="3"/>
      <c r="AG25" s="20"/>
      <c r="AH25" s="107"/>
      <c r="AI25" s="107"/>
      <c r="AJ25" s="107"/>
      <c r="AK25" s="107"/>
      <c r="AL25" s="108"/>
      <c r="AN25" s="67">
        <f t="shared" si="2"/>
        <v>3.054894010715941</v>
      </c>
      <c r="AO25" s="67">
        <f t="shared" si="2"/>
        <v>-1.8603495358448185</v>
      </c>
      <c r="AP25" s="67">
        <f t="shared" si="2"/>
        <v>-4.1688804889277549</v>
      </c>
      <c r="AY25" s="67">
        <f t="shared" si="0"/>
        <v>262.94510598928406</v>
      </c>
      <c r="AZ25" s="67">
        <f t="shared" si="1"/>
        <v>76.860349535844819</v>
      </c>
      <c r="BA25" s="67">
        <f t="shared" si="3"/>
        <v>219.16888048892775</v>
      </c>
      <c r="BC25">
        <f t="shared" si="4"/>
        <v>34.210761150215198</v>
      </c>
      <c r="BD25">
        <v>1013.2</v>
      </c>
      <c r="BE25">
        <f t="shared" si="5"/>
        <v>28.422825631024409</v>
      </c>
    </row>
    <row r="26" spans="1:57" x14ac:dyDescent="0.2">
      <c r="A26" s="13">
        <v>17</v>
      </c>
      <c r="B26" s="3">
        <v>22</v>
      </c>
      <c r="C26" s="17">
        <v>7</v>
      </c>
      <c r="D26" s="3">
        <v>4</v>
      </c>
      <c r="E26" s="18">
        <v>0</v>
      </c>
      <c r="F26" s="18">
        <v>0</v>
      </c>
      <c r="G26" s="18">
        <v>67</v>
      </c>
      <c r="H26" s="19">
        <v>1</v>
      </c>
      <c r="I26" s="18">
        <v>15</v>
      </c>
      <c r="J26" s="18">
        <v>22</v>
      </c>
      <c r="K26" s="20">
        <v>153</v>
      </c>
      <c r="L26" s="18">
        <v>255</v>
      </c>
      <c r="M26" s="18">
        <v>245</v>
      </c>
      <c r="N26" s="18">
        <v>300</v>
      </c>
      <c r="O26" s="18">
        <v>93</v>
      </c>
      <c r="P26" s="18">
        <v>241</v>
      </c>
      <c r="Q26" s="17">
        <v>6</v>
      </c>
      <c r="R26" s="17">
        <v>8</v>
      </c>
      <c r="S26" s="17">
        <v>4</v>
      </c>
      <c r="T26" s="17">
        <v>2</v>
      </c>
      <c r="U26" s="17">
        <v>4</v>
      </c>
      <c r="V26" s="3">
        <v>8</v>
      </c>
      <c r="W26" s="20">
        <v>51</v>
      </c>
      <c r="X26" s="3">
        <v>8</v>
      </c>
      <c r="Y26" s="3">
        <v>5</v>
      </c>
      <c r="Z26" s="3">
        <v>6</v>
      </c>
      <c r="AA26" s="20">
        <v>105</v>
      </c>
      <c r="AB26" s="3"/>
      <c r="AC26" s="3"/>
      <c r="AD26" s="20"/>
      <c r="AE26" s="3"/>
      <c r="AF26" s="3"/>
      <c r="AG26" s="20"/>
      <c r="AH26" s="107" t="s">
        <v>85</v>
      </c>
      <c r="AI26" s="107"/>
      <c r="AJ26" s="107"/>
      <c r="AK26" s="107"/>
      <c r="AL26" s="108"/>
      <c r="AN26" s="67">
        <f t="shared" si="2"/>
        <v>-0.48644875327067894</v>
      </c>
      <c r="AO26" s="67">
        <f t="shared" si="2"/>
        <v>0.9004369719037868</v>
      </c>
      <c r="AP26" s="67">
        <f t="shared" si="2"/>
        <v>-0.20090014252895116</v>
      </c>
      <c r="AY26" s="67">
        <f t="shared" si="0"/>
        <v>300.48644875327068</v>
      </c>
      <c r="AZ26" s="67">
        <f t="shared" si="1"/>
        <v>92.099563028096213</v>
      </c>
      <c r="BA26" s="67">
        <f t="shared" si="3"/>
        <v>241.20090014252895</v>
      </c>
      <c r="BC26">
        <f t="shared" si="4"/>
        <v>32.626262153014039</v>
      </c>
      <c r="BD26">
        <v>1013.2</v>
      </c>
      <c r="BE26">
        <f t="shared" si="5"/>
        <v>30.736197835927069</v>
      </c>
    </row>
    <row r="27" spans="1:57" x14ac:dyDescent="0.2">
      <c r="A27" s="13">
        <v>18</v>
      </c>
      <c r="B27" s="3">
        <v>22</v>
      </c>
      <c r="C27" s="17">
        <v>4</v>
      </c>
      <c r="D27" s="3">
        <v>4</v>
      </c>
      <c r="E27" s="18">
        <v>9</v>
      </c>
      <c r="F27" s="18">
        <v>8</v>
      </c>
      <c r="G27" s="18">
        <v>70</v>
      </c>
      <c r="H27" s="19">
        <v>1</v>
      </c>
      <c r="I27" s="18">
        <v>6</v>
      </c>
      <c r="J27" s="18">
        <v>11</v>
      </c>
      <c r="K27" s="20">
        <v>152</v>
      </c>
      <c r="L27" s="18">
        <v>266</v>
      </c>
      <c r="M27" s="18">
        <v>250</v>
      </c>
      <c r="N27" s="18">
        <v>304</v>
      </c>
      <c r="O27" s="18">
        <v>87</v>
      </c>
      <c r="P27" s="18">
        <v>243</v>
      </c>
      <c r="Q27" s="17">
        <v>3</v>
      </c>
      <c r="R27" s="17">
        <v>8</v>
      </c>
      <c r="S27" s="17">
        <v>0</v>
      </c>
      <c r="T27" s="17">
        <v>2</v>
      </c>
      <c r="U27" s="17">
        <v>2</v>
      </c>
      <c r="V27" s="3">
        <v>8</v>
      </c>
      <c r="W27" s="20">
        <v>54</v>
      </c>
      <c r="X27" s="3">
        <v>8</v>
      </c>
      <c r="Y27" s="3"/>
      <c r="Z27" s="3"/>
      <c r="AA27" s="20"/>
      <c r="AB27" s="3"/>
      <c r="AC27" s="3"/>
      <c r="AD27" s="20"/>
      <c r="AE27" s="3"/>
      <c r="AF27" s="3"/>
      <c r="AG27" s="20"/>
      <c r="AH27" s="107" t="s">
        <v>85</v>
      </c>
      <c r="AI27" s="107"/>
      <c r="AJ27" s="107"/>
      <c r="AK27" s="107"/>
      <c r="AL27" s="108"/>
      <c r="AN27" s="67">
        <f t="shared" si="2"/>
        <v>-1.6819165761600061</v>
      </c>
      <c r="AO27" s="67">
        <f t="shared" si="2"/>
        <v>-0.78396309007153775</v>
      </c>
      <c r="AP27" s="67">
        <f t="shared" si="2"/>
        <v>-1.057419962438189</v>
      </c>
      <c r="AY27" s="67">
        <f t="shared" si="0"/>
        <v>305.68191657616001</v>
      </c>
      <c r="AZ27" s="67">
        <f t="shared" si="1"/>
        <v>87.783963090071538</v>
      </c>
      <c r="BA27" s="67">
        <f t="shared" si="3"/>
        <v>244.05741996243819</v>
      </c>
      <c r="BC27">
        <f t="shared" si="4"/>
        <v>34.822068384234633</v>
      </c>
      <c r="BD27">
        <v>1013.2</v>
      </c>
      <c r="BE27">
        <f t="shared" si="5"/>
        <v>31.668891609615997</v>
      </c>
    </row>
    <row r="28" spans="1:57" x14ac:dyDescent="0.2">
      <c r="A28" s="13">
        <v>19</v>
      </c>
      <c r="B28" s="3">
        <v>22</v>
      </c>
      <c r="C28" s="17">
        <v>5</v>
      </c>
      <c r="D28" s="3">
        <v>4</v>
      </c>
      <c r="E28" s="18">
        <v>8</v>
      </c>
      <c r="F28" s="18">
        <v>11</v>
      </c>
      <c r="G28" s="18">
        <v>72</v>
      </c>
      <c r="H28" s="19">
        <v>1</v>
      </c>
      <c r="I28" s="18">
        <v>5</v>
      </c>
      <c r="J28" s="18">
        <v>22</v>
      </c>
      <c r="K28" s="20">
        <v>137</v>
      </c>
      <c r="L28" s="18">
        <v>275</v>
      </c>
      <c r="M28" s="18">
        <v>247</v>
      </c>
      <c r="N28" s="18">
        <v>289</v>
      </c>
      <c r="O28" s="18">
        <v>78</v>
      </c>
      <c r="P28" s="18">
        <v>234</v>
      </c>
      <c r="Q28" s="17">
        <v>2</v>
      </c>
      <c r="R28" s="17">
        <v>2</v>
      </c>
      <c r="S28" s="17">
        <v>0</v>
      </c>
      <c r="T28" s="17">
        <v>1</v>
      </c>
      <c r="U28" s="17">
        <v>2</v>
      </c>
      <c r="V28" s="3">
        <v>8</v>
      </c>
      <c r="W28" s="20">
        <v>57</v>
      </c>
      <c r="X28" s="3">
        <v>8</v>
      </c>
      <c r="Y28" s="3">
        <v>4</v>
      </c>
      <c r="Z28" s="3">
        <v>0</v>
      </c>
      <c r="AA28" s="20">
        <v>870</v>
      </c>
      <c r="AB28" s="3"/>
      <c r="AC28" s="3"/>
      <c r="AD28" s="20"/>
      <c r="AE28" s="3"/>
      <c r="AF28" s="3"/>
      <c r="AG28" s="20"/>
      <c r="AH28" s="107" t="s">
        <v>85</v>
      </c>
      <c r="AI28" s="107"/>
      <c r="AJ28" s="107"/>
      <c r="AK28" s="107"/>
      <c r="AL28" s="108"/>
      <c r="AN28" s="67">
        <f t="shared" si="2"/>
        <v>-2.8077003969102066</v>
      </c>
      <c r="AO28" s="67">
        <f t="shared" si="2"/>
        <v>-1.482017385946321</v>
      </c>
      <c r="AP28" s="67">
        <f t="shared" si="2"/>
        <v>-2.3313181062192143</v>
      </c>
      <c r="AY28" s="67">
        <f t="shared" si="0"/>
        <v>291.80770039691021</v>
      </c>
      <c r="AZ28" s="67">
        <f t="shared" si="1"/>
        <v>79.482017385946321</v>
      </c>
      <c r="BA28" s="67">
        <f t="shared" si="3"/>
        <v>236.33131810621921</v>
      </c>
      <c r="BC28">
        <f t="shared" si="4"/>
        <v>36.713675620481474</v>
      </c>
      <c r="BD28">
        <v>1013.2</v>
      </c>
      <c r="BE28">
        <f t="shared" si="5"/>
        <v>31.106348979899021</v>
      </c>
    </row>
    <row r="29" spans="1:57" x14ac:dyDescent="0.2">
      <c r="A29" s="13">
        <v>20</v>
      </c>
      <c r="B29" s="3">
        <v>22</v>
      </c>
      <c r="C29" s="17">
        <v>5</v>
      </c>
      <c r="D29" s="3">
        <v>4</v>
      </c>
      <c r="E29" s="18">
        <v>10</v>
      </c>
      <c r="F29" s="18">
        <v>11</v>
      </c>
      <c r="G29" s="18">
        <v>68</v>
      </c>
      <c r="H29" s="19">
        <v>1</v>
      </c>
      <c r="I29" s="18">
        <v>5</v>
      </c>
      <c r="J29" s="18">
        <v>22</v>
      </c>
      <c r="K29" s="20">
        <v>127</v>
      </c>
      <c r="L29" s="18">
        <v>265</v>
      </c>
      <c r="M29" s="18">
        <v>249</v>
      </c>
      <c r="N29" s="18">
        <v>301</v>
      </c>
      <c r="O29" s="18">
        <v>87</v>
      </c>
      <c r="P29" s="18">
        <v>242</v>
      </c>
      <c r="Q29" s="17">
        <v>2</v>
      </c>
      <c r="R29" s="17">
        <v>2</v>
      </c>
      <c r="S29" s="17">
        <v>0</v>
      </c>
      <c r="T29" s="17">
        <v>1</v>
      </c>
      <c r="U29" s="17">
        <v>2</v>
      </c>
      <c r="V29" s="3">
        <v>8</v>
      </c>
      <c r="W29" s="20">
        <v>54</v>
      </c>
      <c r="X29" s="3">
        <v>8</v>
      </c>
      <c r="Y29" s="3">
        <v>5</v>
      </c>
      <c r="Z29" s="3">
        <v>0</v>
      </c>
      <c r="AA29" s="20">
        <v>900</v>
      </c>
      <c r="AB29" s="3"/>
      <c r="AC29" s="3"/>
      <c r="AD29" s="20"/>
      <c r="AE29" s="3"/>
      <c r="AF29" s="3"/>
      <c r="AG29" s="20"/>
      <c r="AH29" s="107" t="s">
        <v>85</v>
      </c>
      <c r="AI29" s="107"/>
      <c r="AJ29" s="107"/>
      <c r="AK29" s="107"/>
      <c r="AL29" s="108"/>
      <c r="AN29" s="67">
        <f t="shared" si="2"/>
        <v>-2.7981925864195318</v>
      </c>
      <c r="AO29" s="67">
        <f t="shared" si="2"/>
        <v>-0.75920187055277211</v>
      </c>
      <c r="AP29" s="67">
        <f t="shared" si="2"/>
        <v>-1.0266766725821412</v>
      </c>
      <c r="AY29" s="67">
        <f t="shared" si="0"/>
        <v>303.79819258641953</v>
      </c>
      <c r="AZ29" s="67">
        <f t="shared" si="1"/>
        <v>87.759201870552772</v>
      </c>
      <c r="BA29" s="67">
        <f t="shared" si="3"/>
        <v>243.02667667258214</v>
      </c>
      <c r="BC29">
        <f t="shared" si="4"/>
        <v>34.617246523564582</v>
      </c>
      <c r="BD29">
        <v>1013.2</v>
      </c>
      <c r="BE29">
        <f t="shared" si="5"/>
        <v>31.480396167633955</v>
      </c>
    </row>
    <row r="30" spans="1:57" x14ac:dyDescent="0.2">
      <c r="A30" s="13">
        <v>21</v>
      </c>
      <c r="B30" s="3">
        <v>22</v>
      </c>
      <c r="C30" s="17">
        <v>5</v>
      </c>
      <c r="D30" s="3">
        <v>4</v>
      </c>
      <c r="E30" s="18">
        <v>8</v>
      </c>
      <c r="F30" s="18">
        <v>10</v>
      </c>
      <c r="G30" s="18">
        <v>70</v>
      </c>
      <c r="H30" s="19">
        <v>1</v>
      </c>
      <c r="I30" s="18">
        <v>5</v>
      </c>
      <c r="J30" s="18">
        <v>22</v>
      </c>
      <c r="K30" s="20">
        <v>133</v>
      </c>
      <c r="L30" s="18">
        <v>270</v>
      </c>
      <c r="M30" s="18">
        <v>250</v>
      </c>
      <c r="N30" s="18">
        <v>300</v>
      </c>
      <c r="O30" s="18">
        <v>84</v>
      </c>
      <c r="P30" s="18">
        <v>241</v>
      </c>
      <c r="Q30" s="17">
        <v>2</v>
      </c>
      <c r="R30" s="17">
        <v>2</v>
      </c>
      <c r="S30" s="17">
        <v>0</v>
      </c>
      <c r="T30" s="17">
        <v>2</v>
      </c>
      <c r="U30" s="17">
        <v>2</v>
      </c>
      <c r="V30" s="3">
        <v>8</v>
      </c>
      <c r="W30" s="20">
        <v>60</v>
      </c>
      <c r="X30" s="3">
        <v>8</v>
      </c>
      <c r="Y30" s="3">
        <v>4</v>
      </c>
      <c r="Z30" s="3">
        <v>0</v>
      </c>
      <c r="AA30" s="20">
        <v>840</v>
      </c>
      <c r="AB30" s="3"/>
      <c r="AC30" s="3"/>
      <c r="AD30" s="20"/>
      <c r="AE30" s="3"/>
      <c r="AF30" s="3"/>
      <c r="AG30" s="20"/>
      <c r="AH30" s="107" t="s">
        <v>85</v>
      </c>
      <c r="AI30" s="107"/>
      <c r="AJ30" s="107"/>
      <c r="AK30" s="107"/>
      <c r="AL30" s="108"/>
      <c r="AN30" s="67">
        <f t="shared" si="2"/>
        <v>-2.9301666961599722</v>
      </c>
      <c r="AO30" s="67">
        <f t="shared" si="2"/>
        <v>-0.96865232864115569</v>
      </c>
      <c r="AP30" s="67">
        <f t="shared" si="2"/>
        <v>-1.5498224634573035</v>
      </c>
      <c r="AY30" s="67">
        <f t="shared" si="0"/>
        <v>302.93016669615997</v>
      </c>
      <c r="AZ30" s="67">
        <f t="shared" si="1"/>
        <v>84.968652328641156</v>
      </c>
      <c r="BA30" s="67">
        <f t="shared" si="3"/>
        <v>242.5498224634573</v>
      </c>
      <c r="BC30">
        <f t="shared" si="4"/>
        <v>35.651991457330503</v>
      </c>
      <c r="BD30">
        <v>1013.2</v>
      </c>
      <c r="BE30">
        <f t="shared" si="5"/>
        <v>31.668891609615997</v>
      </c>
    </row>
    <row r="31" spans="1:57" x14ac:dyDescent="0.2">
      <c r="A31" s="13">
        <v>22</v>
      </c>
      <c r="B31" s="3">
        <v>22</v>
      </c>
      <c r="C31" s="17">
        <v>1</v>
      </c>
      <c r="D31" s="3">
        <v>4</v>
      </c>
      <c r="E31" s="18">
        <v>6</v>
      </c>
      <c r="F31" s="18">
        <v>7</v>
      </c>
      <c r="G31" s="18">
        <v>72</v>
      </c>
      <c r="H31" s="19">
        <v>1</v>
      </c>
      <c r="I31" s="18">
        <v>5</v>
      </c>
      <c r="J31" s="18">
        <v>0</v>
      </c>
      <c r="K31" s="20">
        <v>131</v>
      </c>
      <c r="L31" s="18">
        <v>268</v>
      </c>
      <c r="M31" s="18">
        <v>242</v>
      </c>
      <c r="N31" s="18">
        <v>281</v>
      </c>
      <c r="O31" s="18">
        <v>80</v>
      </c>
      <c r="P31" s="18">
        <v>230</v>
      </c>
      <c r="Q31" s="17">
        <v>1</v>
      </c>
      <c r="R31" s="17">
        <v>8</v>
      </c>
      <c r="S31" s="17">
        <v>0</v>
      </c>
      <c r="T31" s="17">
        <v>0</v>
      </c>
      <c r="U31" s="17">
        <v>1</v>
      </c>
      <c r="V31" s="3">
        <v>8</v>
      </c>
      <c r="W31" s="20">
        <v>54</v>
      </c>
      <c r="X31" s="3">
        <v>8</v>
      </c>
      <c r="Y31" s="3"/>
      <c r="Z31" s="3"/>
      <c r="AA31" s="20"/>
      <c r="AB31" s="3"/>
      <c r="AC31" s="3"/>
      <c r="AD31" s="20"/>
      <c r="AE31" s="3"/>
      <c r="AF31" s="3"/>
      <c r="AG31" s="20"/>
      <c r="AH31" s="107" t="s">
        <v>85</v>
      </c>
      <c r="AI31" s="107"/>
      <c r="AJ31" s="107"/>
      <c r="AK31" s="107"/>
      <c r="AL31" s="108"/>
      <c r="AN31" s="67">
        <f t="shared" si="2"/>
        <v>-3.0116305444478826</v>
      </c>
      <c r="AO31" s="67">
        <f t="shared" si="2"/>
        <v>-0.60521892343503225</v>
      </c>
      <c r="AP31" s="67">
        <f t="shared" si="2"/>
        <v>-1.847619029232817</v>
      </c>
      <c r="AY31" s="67">
        <f t="shared" si="0"/>
        <v>284.01163054444788</v>
      </c>
      <c r="AZ31" s="67">
        <f t="shared" si="1"/>
        <v>80.605218923435032</v>
      </c>
      <c r="BA31" s="67">
        <f t="shared" si="3"/>
        <v>231.84761902923282</v>
      </c>
      <c r="BC31">
        <f t="shared" si="4"/>
        <v>35.234893514056914</v>
      </c>
      <c r="BD31">
        <v>1013.2</v>
      </c>
      <c r="BE31">
        <f t="shared" si="5"/>
        <v>30.188200917340787</v>
      </c>
    </row>
    <row r="32" spans="1:57" x14ac:dyDescent="0.2">
      <c r="A32" s="13">
        <v>23</v>
      </c>
      <c r="B32" s="3">
        <v>22</v>
      </c>
      <c r="C32" s="17">
        <v>5</v>
      </c>
      <c r="D32" s="3">
        <v>4</v>
      </c>
      <c r="E32" s="18">
        <v>7</v>
      </c>
      <c r="F32" s="18">
        <v>5</v>
      </c>
      <c r="G32" s="18">
        <v>78</v>
      </c>
      <c r="H32" s="19">
        <v>2</v>
      </c>
      <c r="I32" s="18"/>
      <c r="J32" s="18"/>
      <c r="K32" s="20">
        <v>124</v>
      </c>
      <c r="L32" s="18">
        <v>260</v>
      </c>
      <c r="M32" s="18">
        <v>240</v>
      </c>
      <c r="N32" s="18">
        <v>283</v>
      </c>
      <c r="O32" s="18">
        <v>84</v>
      </c>
      <c r="P32" s="18">
        <v>231</v>
      </c>
      <c r="Q32" s="17">
        <v>3</v>
      </c>
      <c r="R32" s="17">
        <v>2</v>
      </c>
      <c r="S32" s="17">
        <v>0</v>
      </c>
      <c r="T32" s="17">
        <v>2</v>
      </c>
      <c r="U32" s="17">
        <v>3</v>
      </c>
      <c r="V32" s="3">
        <v>8</v>
      </c>
      <c r="W32" s="20">
        <v>54</v>
      </c>
      <c r="X32" s="3">
        <v>8</v>
      </c>
      <c r="Y32" s="3">
        <v>5</v>
      </c>
      <c r="Z32" s="3">
        <v>0</v>
      </c>
      <c r="AA32" s="20">
        <v>840</v>
      </c>
      <c r="AB32" s="3"/>
      <c r="AC32" s="3"/>
      <c r="AD32" s="20"/>
      <c r="AE32" s="3"/>
      <c r="AF32" s="3"/>
      <c r="AG32" s="20"/>
      <c r="AH32" s="107"/>
      <c r="AI32" s="107"/>
      <c r="AJ32" s="107"/>
      <c r="AK32" s="107"/>
      <c r="AL32" s="108"/>
      <c r="AN32" s="67">
        <f t="shared" si="2"/>
        <v>-1.5330281190206847</v>
      </c>
      <c r="AO32" s="67">
        <f t="shared" si="2"/>
        <v>-0.66012412105094143</v>
      </c>
      <c r="AP32" s="67">
        <f t="shared" si="2"/>
        <v>-1.1508299243794795</v>
      </c>
      <c r="AY32" s="67">
        <f t="shared" si="0"/>
        <v>284.53302811902068</v>
      </c>
      <c r="AZ32" s="67">
        <f t="shared" si="1"/>
        <v>84.660124121050941</v>
      </c>
      <c r="BA32" s="67">
        <f t="shared" si="3"/>
        <v>232.15082992437948</v>
      </c>
      <c r="BC32">
        <f t="shared" si="4"/>
        <v>33.608860260136439</v>
      </c>
      <c r="BD32">
        <v>1013.2</v>
      </c>
      <c r="BE32">
        <f t="shared" si="5"/>
        <v>29.827639714302066</v>
      </c>
    </row>
    <row r="33" spans="1:57" x14ac:dyDescent="0.2">
      <c r="A33" s="13">
        <v>24</v>
      </c>
      <c r="B33" s="3">
        <v>22</v>
      </c>
      <c r="C33" s="17">
        <v>7</v>
      </c>
      <c r="D33" s="3">
        <v>4</v>
      </c>
      <c r="E33" s="18">
        <v>6</v>
      </c>
      <c r="F33" s="18">
        <v>10</v>
      </c>
      <c r="G33" s="18">
        <v>70</v>
      </c>
      <c r="H33" s="19">
        <v>1</v>
      </c>
      <c r="I33" s="18">
        <v>5</v>
      </c>
      <c r="J33" s="18">
        <v>22</v>
      </c>
      <c r="K33" s="20">
        <v>134</v>
      </c>
      <c r="L33" s="18">
        <v>250</v>
      </c>
      <c r="M33" s="18">
        <v>233</v>
      </c>
      <c r="N33" s="18">
        <v>280</v>
      </c>
      <c r="O33" s="18">
        <v>87</v>
      </c>
      <c r="P33" s="18">
        <v>225</v>
      </c>
      <c r="Q33" s="17">
        <v>7</v>
      </c>
      <c r="R33" s="17">
        <v>8</v>
      </c>
      <c r="S33" s="17" t="s">
        <v>89</v>
      </c>
      <c r="T33" s="17" t="s">
        <v>89</v>
      </c>
      <c r="U33" s="17">
        <v>4</v>
      </c>
      <c r="V33" s="3">
        <v>8</v>
      </c>
      <c r="W33" s="20">
        <v>54</v>
      </c>
      <c r="X33" s="3">
        <v>8</v>
      </c>
      <c r="Y33" s="3">
        <v>5</v>
      </c>
      <c r="Z33" s="3">
        <v>6</v>
      </c>
      <c r="AA33" s="20">
        <v>105</v>
      </c>
      <c r="AB33" s="3"/>
      <c r="AC33" s="3"/>
      <c r="AD33" s="20"/>
      <c r="AE33" s="3"/>
      <c r="AF33" s="3"/>
      <c r="AG33" s="20"/>
      <c r="AH33" s="107" t="s">
        <v>85</v>
      </c>
      <c r="AI33" s="107"/>
      <c r="AJ33" s="107"/>
      <c r="AK33" s="107"/>
      <c r="AL33" s="108"/>
      <c r="AN33" s="67">
        <f t="shared" si="2"/>
        <v>5.7207529170368616</v>
      </c>
      <c r="AO33" s="67">
        <f t="shared" si="2"/>
        <v>0.39158614579345397</v>
      </c>
      <c r="AP33" s="67">
        <f t="shared" si="2"/>
        <v>-1.09645205489511</v>
      </c>
      <c r="AY33" s="67">
        <f t="shared" si="0"/>
        <v>274.27924708296314</v>
      </c>
      <c r="AZ33" s="67">
        <f t="shared" si="1"/>
        <v>86.608413854206546</v>
      </c>
      <c r="BA33" s="67">
        <f t="shared" si="3"/>
        <v>226.09645205489511</v>
      </c>
      <c r="BC33">
        <f t="shared" si="4"/>
        <v>31.668891609615997</v>
      </c>
      <c r="BD33">
        <v>1013.2</v>
      </c>
      <c r="BE33">
        <f t="shared" si="5"/>
        <v>28.595195942964317</v>
      </c>
    </row>
    <row r="34" spans="1:57" x14ac:dyDescent="0.2">
      <c r="A34" s="13">
        <v>25</v>
      </c>
      <c r="B34" s="3">
        <v>22</v>
      </c>
      <c r="C34" s="17">
        <v>5</v>
      </c>
      <c r="D34" s="3">
        <v>4</v>
      </c>
      <c r="E34" s="18">
        <v>0</v>
      </c>
      <c r="F34" s="18">
        <v>0</v>
      </c>
      <c r="G34" s="18">
        <v>78</v>
      </c>
      <c r="H34" s="19">
        <v>2</v>
      </c>
      <c r="I34" s="18"/>
      <c r="J34" s="18"/>
      <c r="K34" s="20">
        <v>141</v>
      </c>
      <c r="L34" s="18">
        <v>255</v>
      </c>
      <c r="M34" s="18">
        <v>235</v>
      </c>
      <c r="N34" s="18">
        <v>273</v>
      </c>
      <c r="O34" s="18">
        <v>83</v>
      </c>
      <c r="P34" s="18">
        <v>225</v>
      </c>
      <c r="Q34" s="17">
        <v>5</v>
      </c>
      <c r="R34" s="17">
        <v>8</v>
      </c>
      <c r="S34" s="17">
        <v>0</v>
      </c>
      <c r="T34" s="17">
        <v>2</v>
      </c>
      <c r="U34" s="17">
        <v>1</v>
      </c>
      <c r="V34" s="3">
        <v>8</v>
      </c>
      <c r="W34" s="20">
        <v>66</v>
      </c>
      <c r="X34" s="3">
        <v>8</v>
      </c>
      <c r="Y34" s="3">
        <v>5</v>
      </c>
      <c r="Z34" s="3">
        <v>6</v>
      </c>
      <c r="AA34" s="20">
        <v>135</v>
      </c>
      <c r="AB34" s="3"/>
      <c r="AC34" s="3"/>
      <c r="AD34" s="20"/>
      <c r="AE34" s="3"/>
      <c r="AF34" s="3"/>
      <c r="AG34" s="20"/>
      <c r="AH34" s="107"/>
      <c r="AI34" s="107"/>
      <c r="AJ34" s="107"/>
      <c r="AK34" s="107"/>
      <c r="AL34" s="108"/>
      <c r="AN34" s="67">
        <f t="shared" si="2"/>
        <v>-2.6911779836501069</v>
      </c>
      <c r="AO34" s="67">
        <f t="shared" si="2"/>
        <v>-1.4997740441993983</v>
      </c>
      <c r="AP34" s="67">
        <f t="shared" si="2"/>
        <v>-1.941786784432793</v>
      </c>
      <c r="AY34" s="67">
        <f t="shared" si="0"/>
        <v>275.69117798365011</v>
      </c>
      <c r="AZ34" s="67">
        <f t="shared" si="1"/>
        <v>84.499774044199398</v>
      </c>
      <c r="BA34" s="67">
        <f t="shared" si="3"/>
        <v>226.94178678443279</v>
      </c>
      <c r="BC34">
        <f t="shared" si="4"/>
        <v>32.626262153014039</v>
      </c>
      <c r="BD34">
        <v>1013.2</v>
      </c>
      <c r="BE34">
        <f t="shared" si="5"/>
        <v>28.94268568196501</v>
      </c>
    </row>
    <row r="35" spans="1:57" x14ac:dyDescent="0.2">
      <c r="A35" s="13">
        <v>26</v>
      </c>
      <c r="B35" s="3">
        <v>22</v>
      </c>
      <c r="C35" s="17">
        <v>2</v>
      </c>
      <c r="D35" s="3">
        <v>4</v>
      </c>
      <c r="E35" s="18">
        <v>8</v>
      </c>
      <c r="F35" s="18">
        <v>8</v>
      </c>
      <c r="G35" s="18">
        <v>72</v>
      </c>
      <c r="H35" s="19">
        <v>1</v>
      </c>
      <c r="I35" s="18">
        <v>6</v>
      </c>
      <c r="J35" s="18">
        <v>0</v>
      </c>
      <c r="K35" s="20">
        <v>145</v>
      </c>
      <c r="L35" s="18">
        <v>265</v>
      </c>
      <c r="M35" s="18">
        <v>245</v>
      </c>
      <c r="N35" s="18">
        <v>292</v>
      </c>
      <c r="O35" s="18">
        <v>84</v>
      </c>
      <c r="P35" s="18">
        <v>236</v>
      </c>
      <c r="Q35" s="17">
        <v>1</v>
      </c>
      <c r="R35" s="17">
        <v>8</v>
      </c>
      <c r="S35" s="17">
        <v>6</v>
      </c>
      <c r="T35" s="17">
        <v>1</v>
      </c>
      <c r="U35" s="17">
        <v>1</v>
      </c>
      <c r="V35" s="3">
        <v>8</v>
      </c>
      <c r="W35" s="20">
        <v>54</v>
      </c>
      <c r="X35" s="3">
        <v>8</v>
      </c>
      <c r="Y35" s="3"/>
      <c r="Z35" s="3"/>
      <c r="AA35" s="20"/>
      <c r="AB35" s="3"/>
      <c r="AC35" s="3"/>
      <c r="AD35" s="20"/>
      <c r="AE35" s="3"/>
      <c r="AF35" s="3"/>
      <c r="AG35" s="20"/>
      <c r="AH35" s="107" t="s">
        <v>85</v>
      </c>
      <c r="AI35" s="107"/>
      <c r="AJ35" s="107"/>
      <c r="AK35" s="107"/>
      <c r="AL35" s="108"/>
      <c r="AN35" s="67">
        <f t="shared" si="2"/>
        <v>-1.6109191472706925</v>
      </c>
      <c r="AO35" s="67">
        <f t="shared" si="2"/>
        <v>-0.81637005629677617</v>
      </c>
      <c r="AP35" s="67">
        <f t="shared" si="2"/>
        <v>-1.3534322275399404</v>
      </c>
      <c r="AY35" s="67">
        <f t="shared" si="0"/>
        <v>293.61091914727069</v>
      </c>
      <c r="AZ35" s="67">
        <f t="shared" si="1"/>
        <v>84.816370056296776</v>
      </c>
      <c r="BA35" s="67">
        <f t="shared" si="3"/>
        <v>237.35343222753994</v>
      </c>
      <c r="BC35">
        <f t="shared" si="4"/>
        <v>34.617246523564582</v>
      </c>
      <c r="BD35">
        <v>1013.2</v>
      </c>
      <c r="BE35">
        <f t="shared" si="5"/>
        <v>30.736197835927069</v>
      </c>
    </row>
    <row r="36" spans="1:57" x14ac:dyDescent="0.2">
      <c r="A36" s="13">
        <v>27</v>
      </c>
      <c r="B36" s="3">
        <v>22</v>
      </c>
      <c r="C36" s="17">
        <v>6</v>
      </c>
      <c r="D36" s="3">
        <v>4</v>
      </c>
      <c r="E36" s="18">
        <v>8</v>
      </c>
      <c r="F36" s="18">
        <v>14</v>
      </c>
      <c r="G36" s="18">
        <v>64</v>
      </c>
      <c r="H36" s="19">
        <v>1</v>
      </c>
      <c r="I36" s="18">
        <v>80</v>
      </c>
      <c r="J36" s="18">
        <v>22</v>
      </c>
      <c r="K36" s="20">
        <v>146</v>
      </c>
      <c r="L36" s="18">
        <v>262</v>
      </c>
      <c r="M36" s="18">
        <v>247</v>
      </c>
      <c r="N36" s="18">
        <v>300</v>
      </c>
      <c r="O36" s="18">
        <v>88</v>
      </c>
      <c r="P36" s="18">
        <v>241</v>
      </c>
      <c r="Q36" s="17">
        <v>4</v>
      </c>
      <c r="R36" s="17">
        <v>8</v>
      </c>
      <c r="S36" s="17">
        <v>0</v>
      </c>
      <c r="T36" s="17">
        <v>1</v>
      </c>
      <c r="U36" s="17">
        <v>3</v>
      </c>
      <c r="V36" s="3">
        <v>8</v>
      </c>
      <c r="W36" s="20">
        <v>54</v>
      </c>
      <c r="X36" s="3">
        <v>8</v>
      </c>
      <c r="Y36" s="3">
        <v>3</v>
      </c>
      <c r="Z36" s="3">
        <v>0</v>
      </c>
      <c r="AA36" s="20">
        <v>840</v>
      </c>
      <c r="AB36" s="3"/>
      <c r="AC36" s="3"/>
      <c r="AD36" s="20"/>
      <c r="AE36" s="3"/>
      <c r="AF36" s="3"/>
      <c r="AG36" s="20"/>
      <c r="AH36" s="107" t="s">
        <v>222</v>
      </c>
      <c r="AI36" s="107"/>
      <c r="AJ36" s="107"/>
      <c r="AK36" s="107"/>
      <c r="AL36" s="108"/>
      <c r="AN36" s="67">
        <f t="shared" si="2"/>
        <v>-0.74788833359025375</v>
      </c>
      <c r="AO36" s="67">
        <f t="shared" si="2"/>
        <v>-0.43162282158102983</v>
      </c>
      <c r="AP36" s="67">
        <f t="shared" si="2"/>
        <v>-0.34567161374030775</v>
      </c>
      <c r="AY36" s="67">
        <f t="shared" si="0"/>
        <v>300.74788833359025</v>
      </c>
      <c r="AZ36" s="67">
        <f t="shared" si="1"/>
        <v>88.43162282158103</v>
      </c>
      <c r="BA36" s="67">
        <f t="shared" si="3"/>
        <v>241.34567161374031</v>
      </c>
      <c r="BC36">
        <f t="shared" si="4"/>
        <v>34.009088461531107</v>
      </c>
      <c r="BD36">
        <v>1013.2</v>
      </c>
      <c r="BE36">
        <f t="shared" si="5"/>
        <v>31.106348979899021</v>
      </c>
    </row>
    <row r="37" spans="1:57" x14ac:dyDescent="0.2">
      <c r="A37" s="13">
        <v>28</v>
      </c>
      <c r="B37" s="3">
        <v>22</v>
      </c>
      <c r="C37" s="17">
        <v>2</v>
      </c>
      <c r="D37" s="3">
        <v>4</v>
      </c>
      <c r="E37" s="18">
        <v>8</v>
      </c>
      <c r="F37" s="18">
        <v>7</v>
      </c>
      <c r="G37" s="18">
        <v>67</v>
      </c>
      <c r="H37" s="19">
        <v>1</v>
      </c>
      <c r="I37" s="18">
        <v>5</v>
      </c>
      <c r="J37" s="18">
        <v>0</v>
      </c>
      <c r="K37" s="20">
        <v>159</v>
      </c>
      <c r="L37" s="18">
        <v>271</v>
      </c>
      <c r="M37" s="18">
        <v>246</v>
      </c>
      <c r="N37" s="18">
        <v>290</v>
      </c>
      <c r="O37" s="18">
        <v>80</v>
      </c>
      <c r="P37" s="18">
        <v>235</v>
      </c>
      <c r="Q37" s="17">
        <v>2</v>
      </c>
      <c r="R37" s="17">
        <v>8</v>
      </c>
      <c r="S37" s="17">
        <v>0</v>
      </c>
      <c r="T37" s="17">
        <v>0</v>
      </c>
      <c r="U37" s="17">
        <v>2</v>
      </c>
      <c r="V37" s="3">
        <v>8</v>
      </c>
      <c r="W37" s="20">
        <v>63</v>
      </c>
      <c r="X37" s="3">
        <v>8</v>
      </c>
      <c r="Y37" s="3"/>
      <c r="Z37" s="3"/>
      <c r="AA37" s="20"/>
      <c r="AB37" s="3"/>
      <c r="AC37" s="3"/>
      <c r="AD37" s="20"/>
      <c r="AE37" s="3"/>
      <c r="AF37" s="3"/>
      <c r="AG37" s="20"/>
      <c r="AH37" s="107" t="s">
        <v>85</v>
      </c>
      <c r="AI37" s="107"/>
      <c r="AJ37" s="107"/>
      <c r="AK37" s="107"/>
      <c r="AL37" s="108"/>
      <c r="AN37" s="67">
        <f t="shared" si="2"/>
        <v>-2.017139048929721</v>
      </c>
      <c r="AO37" s="67">
        <f t="shared" si="2"/>
        <v>-1.4276621053530647</v>
      </c>
      <c r="AP37" s="67">
        <f t="shared" si="2"/>
        <v>-1.4503171912500363</v>
      </c>
      <c r="AY37" s="67">
        <f t="shared" si="0"/>
        <v>292.01713904892972</v>
      </c>
      <c r="AZ37" s="67">
        <f t="shared" si="1"/>
        <v>81.427662105353065</v>
      </c>
      <c r="BA37" s="67">
        <f t="shared" si="3"/>
        <v>236.45031719125004</v>
      </c>
      <c r="BC37">
        <f t="shared" si="4"/>
        <v>35.862154395530958</v>
      </c>
      <c r="BD37">
        <v>1013.2</v>
      </c>
      <c r="BE37">
        <f t="shared" si="5"/>
        <v>30.920788561092973</v>
      </c>
    </row>
    <row r="38" spans="1:57" x14ac:dyDescent="0.2">
      <c r="A38" s="13">
        <v>29</v>
      </c>
      <c r="B38" s="3">
        <v>22</v>
      </c>
      <c r="C38" s="17">
        <v>5</v>
      </c>
      <c r="D38" s="3">
        <v>4</v>
      </c>
      <c r="E38" s="18">
        <v>7</v>
      </c>
      <c r="F38" s="18">
        <v>10</v>
      </c>
      <c r="G38" s="18">
        <v>62</v>
      </c>
      <c r="H38" s="19">
        <v>1</v>
      </c>
      <c r="I38" s="18">
        <v>5</v>
      </c>
      <c r="J38" s="18">
        <v>22</v>
      </c>
      <c r="K38" s="20">
        <v>145</v>
      </c>
      <c r="L38" s="18">
        <v>255</v>
      </c>
      <c r="M38" s="18">
        <v>240</v>
      </c>
      <c r="N38" s="18">
        <v>286</v>
      </c>
      <c r="O38" s="18">
        <v>88</v>
      </c>
      <c r="P38" s="18">
        <v>233</v>
      </c>
      <c r="Q38" s="17">
        <v>5</v>
      </c>
      <c r="R38" s="17">
        <v>8</v>
      </c>
      <c r="S38" s="17" t="s">
        <v>89</v>
      </c>
      <c r="T38" s="17" t="s">
        <v>89</v>
      </c>
      <c r="U38" s="17">
        <v>2</v>
      </c>
      <c r="V38" s="3">
        <v>8</v>
      </c>
      <c r="W38" s="20">
        <v>57</v>
      </c>
      <c r="X38" s="3">
        <v>8</v>
      </c>
      <c r="Y38" s="3">
        <v>4</v>
      </c>
      <c r="Z38" s="3">
        <v>6</v>
      </c>
      <c r="AA38" s="20">
        <v>105</v>
      </c>
      <c r="AB38" s="3"/>
      <c r="AC38" s="3"/>
      <c r="AD38" s="20"/>
      <c r="AE38" s="3"/>
      <c r="AF38" s="3"/>
      <c r="AG38" s="20"/>
      <c r="AH38" s="107" t="s">
        <v>85</v>
      </c>
      <c r="AI38" s="107"/>
      <c r="AJ38" s="107"/>
      <c r="AK38" s="107"/>
      <c r="AL38" s="108"/>
      <c r="AN38" s="67">
        <f t="shared" si="2"/>
        <v>-1.9688703750206855</v>
      </c>
      <c r="AO38" s="67">
        <f t="shared" si="2"/>
        <v>-0.26290582245501071</v>
      </c>
      <c r="AP38" s="67">
        <f t="shared" si="2"/>
        <v>-1.13680772947896</v>
      </c>
      <c r="AY38" s="67">
        <f t="shared" si="0"/>
        <v>287.96887037502069</v>
      </c>
      <c r="AZ38" s="67">
        <f t="shared" si="1"/>
        <v>88.262905822455011</v>
      </c>
      <c r="BA38" s="67">
        <f t="shared" si="3"/>
        <v>234.13680772947896</v>
      </c>
      <c r="BC38">
        <f t="shared" si="4"/>
        <v>32.626262153014039</v>
      </c>
      <c r="BD38">
        <v>1013.2</v>
      </c>
      <c r="BE38">
        <f t="shared" si="5"/>
        <v>29.827639714302066</v>
      </c>
    </row>
    <row r="39" spans="1:57" x14ac:dyDescent="0.2">
      <c r="A39" s="13">
        <v>30</v>
      </c>
      <c r="B39" s="3">
        <v>22</v>
      </c>
      <c r="C39" s="17">
        <v>5</v>
      </c>
      <c r="D39" s="3">
        <v>4</v>
      </c>
      <c r="E39" s="18">
        <v>8</v>
      </c>
      <c r="F39" s="18">
        <v>15</v>
      </c>
      <c r="G39" s="18">
        <v>70</v>
      </c>
      <c r="H39" s="19">
        <v>1</v>
      </c>
      <c r="I39" s="18">
        <v>5</v>
      </c>
      <c r="J39" s="18">
        <v>11</v>
      </c>
      <c r="K39" s="20">
        <v>130</v>
      </c>
      <c r="L39" s="18">
        <v>265</v>
      </c>
      <c r="M39" s="18">
        <v>235</v>
      </c>
      <c r="N39" s="18">
        <v>266</v>
      </c>
      <c r="O39" s="18">
        <v>77</v>
      </c>
      <c r="P39" s="18">
        <v>221</v>
      </c>
      <c r="Q39" s="17">
        <v>5</v>
      </c>
      <c r="R39" s="17">
        <v>8</v>
      </c>
      <c r="S39" s="17">
        <v>0</v>
      </c>
      <c r="T39" s="17">
        <v>0</v>
      </c>
      <c r="U39" s="17">
        <v>2</v>
      </c>
      <c r="V39" s="3">
        <v>8</v>
      </c>
      <c r="W39" s="20">
        <v>54</v>
      </c>
      <c r="X39" s="3">
        <v>8</v>
      </c>
      <c r="Y39" s="3">
        <v>4</v>
      </c>
      <c r="Z39" s="3">
        <v>6</v>
      </c>
      <c r="AA39" s="20">
        <v>120</v>
      </c>
      <c r="AB39" s="3"/>
      <c r="AC39" s="3"/>
      <c r="AD39" s="20"/>
      <c r="AE39" s="3"/>
      <c r="AF39" s="3"/>
      <c r="AG39" s="20"/>
      <c r="AH39" s="107" t="s">
        <v>85</v>
      </c>
      <c r="AI39" s="107"/>
      <c r="AJ39" s="107"/>
      <c r="AK39" s="107"/>
      <c r="AL39" s="108"/>
      <c r="AN39" s="67">
        <f t="shared" si="2"/>
        <v>-2.82333856565009</v>
      </c>
      <c r="AO39" s="67">
        <f t="shared" si="2"/>
        <v>-0.65589859455090505</v>
      </c>
      <c r="AP39" s="67">
        <f t="shared" si="2"/>
        <v>-1.7936983896336471</v>
      </c>
      <c r="AY39" s="67">
        <f t="shared" si="0"/>
        <v>268.82333856565009</v>
      </c>
      <c r="AZ39" s="67">
        <f t="shared" si="1"/>
        <v>77.655898594550905</v>
      </c>
      <c r="BA39" s="67">
        <f t="shared" si="3"/>
        <v>222.79369838963365</v>
      </c>
      <c r="BC39">
        <f t="shared" si="4"/>
        <v>34.617246523564582</v>
      </c>
      <c r="BD39">
        <v>1013.2</v>
      </c>
      <c r="BE39">
        <f t="shared" si="5"/>
        <v>28.94268568196501</v>
      </c>
    </row>
    <row r="40" spans="1:57" x14ac:dyDescent="0.2">
      <c r="A40" s="13"/>
      <c r="B40" s="3"/>
      <c r="C40" s="17"/>
      <c r="D40" s="3"/>
      <c r="E40" s="18"/>
      <c r="F40" s="18"/>
      <c r="G40" s="18"/>
      <c r="H40" s="19"/>
      <c r="I40" s="18"/>
      <c r="J40" s="18"/>
      <c r="K40" s="20"/>
      <c r="L40" s="18"/>
      <c r="M40" s="18"/>
      <c r="N40" s="18"/>
      <c r="O40" s="18"/>
      <c r="P40" s="18"/>
      <c r="Q40" s="17"/>
      <c r="R40" s="17"/>
      <c r="S40" s="17"/>
      <c r="T40" s="17"/>
      <c r="U40" s="17"/>
      <c r="V40" s="3"/>
      <c r="W40" s="20"/>
      <c r="X40" s="3"/>
      <c r="Y40" s="3"/>
      <c r="Z40" s="3"/>
      <c r="AA40" s="20"/>
      <c r="AB40" s="3"/>
      <c r="AC40" s="3"/>
      <c r="AD40" s="20"/>
      <c r="AE40" s="3"/>
      <c r="AF40" s="3"/>
      <c r="AG40" s="20"/>
      <c r="AH40" s="107"/>
      <c r="AI40" s="107"/>
      <c r="AJ40" s="107"/>
      <c r="AK40" s="107"/>
      <c r="AL40" s="108"/>
      <c r="AN40" s="67"/>
      <c r="AO40" s="67"/>
      <c r="AP40" s="67"/>
      <c r="AY40" s="67">
        <f t="shared" si="0"/>
        <v>61.120000000000005</v>
      </c>
      <c r="AZ40" s="67">
        <f t="shared" si="1"/>
        <v>100</v>
      </c>
      <c r="BA40" s="67">
        <f t="shared" si="3"/>
        <v>0</v>
      </c>
      <c r="BC40">
        <f t="shared" si="4"/>
        <v>6.1120000000000001</v>
      </c>
      <c r="BD40">
        <v>1013.2</v>
      </c>
      <c r="BE40">
        <f t="shared" si="5"/>
        <v>6.1120000000000001</v>
      </c>
    </row>
    <row r="41" spans="1:57" x14ac:dyDescent="0.2">
      <c r="A41" s="18"/>
      <c r="B41" s="3"/>
      <c r="C41" s="17"/>
      <c r="D41" s="3"/>
      <c r="E41" s="18"/>
      <c r="F41" s="18"/>
      <c r="G41" s="18"/>
      <c r="H41" s="19"/>
      <c r="I41" s="18"/>
      <c r="J41" s="18"/>
      <c r="K41" s="20"/>
      <c r="L41" s="18"/>
      <c r="M41" s="18"/>
      <c r="N41" s="18"/>
      <c r="O41" s="18"/>
      <c r="P41" s="18"/>
      <c r="Q41" s="17"/>
      <c r="R41" s="17"/>
      <c r="S41" s="17"/>
      <c r="T41" s="17"/>
      <c r="U41" s="17"/>
      <c r="V41" s="3"/>
      <c r="W41" s="20"/>
      <c r="X41" s="3"/>
      <c r="Y41" s="3"/>
      <c r="Z41" s="3"/>
      <c r="AA41" s="20"/>
      <c r="AB41" s="3"/>
      <c r="AC41" s="3"/>
      <c r="AD41" s="20"/>
      <c r="AE41" s="3"/>
      <c r="AF41" s="3"/>
      <c r="AG41" s="20"/>
      <c r="AH41" s="109" t="s">
        <v>236</v>
      </c>
      <c r="AI41" s="107"/>
      <c r="AJ41" s="107"/>
      <c r="AK41" s="107"/>
      <c r="AL41" s="108"/>
      <c r="AN41" s="67"/>
      <c r="AO41" s="67"/>
      <c r="AP41" s="67"/>
    </row>
    <row r="42" spans="1:57" x14ac:dyDescent="0.2">
      <c r="A42" s="13" t="s">
        <v>9</v>
      </c>
      <c r="B42" s="1"/>
      <c r="C42" s="21">
        <f>SUM(C10:C40)</f>
        <v>117</v>
      </c>
      <c r="D42" s="1"/>
      <c r="E42" s="13"/>
      <c r="F42" s="13">
        <f>SUM(F10:F40)</f>
        <v>241</v>
      </c>
      <c r="G42" s="13"/>
      <c r="H42" s="2"/>
      <c r="I42" s="13"/>
      <c r="J42" s="13"/>
      <c r="K42" s="22">
        <f>SUM(K10:K40)</f>
        <v>4085</v>
      </c>
      <c r="L42" s="13">
        <f>SUM(L10:L40)</f>
        <v>7907</v>
      </c>
      <c r="M42" s="13">
        <f>SUM(M10:M40)</f>
        <v>7254</v>
      </c>
      <c r="N42" s="13">
        <f>SUM(N10:N40)</f>
        <v>8554</v>
      </c>
      <c r="O42" s="13">
        <f>SUM(O10:O40)</f>
        <v>2484</v>
      </c>
      <c r="P42" s="13">
        <f t="shared" ref="P42" si="6">SUM(P10:P40)</f>
        <v>6955</v>
      </c>
      <c r="Q42" s="21">
        <f>SUM(Q10:Q40)</f>
        <v>66</v>
      </c>
      <c r="R42" s="21"/>
      <c r="S42" s="21"/>
      <c r="T42" s="21"/>
      <c r="U42" s="21"/>
      <c r="V42" s="1"/>
      <c r="W42" s="22"/>
      <c r="X42" s="1"/>
      <c r="Y42" s="1"/>
      <c r="Z42" s="1"/>
      <c r="AA42" s="22"/>
      <c r="AB42" s="1"/>
      <c r="AC42" s="1"/>
      <c r="AD42" s="22"/>
      <c r="AE42" s="1"/>
      <c r="AF42" s="1"/>
      <c r="AG42" s="22"/>
      <c r="AH42" s="116"/>
      <c r="AI42" s="116"/>
      <c r="AJ42" s="116"/>
      <c r="AK42" s="116"/>
      <c r="AL42" s="117"/>
      <c r="AN42" s="67"/>
      <c r="AO42" s="67"/>
      <c r="AP42" s="67"/>
    </row>
    <row r="43" spans="1:57" ht="13.5" thickBot="1" x14ac:dyDescent="0.25">
      <c r="A43" s="23" t="s">
        <v>10</v>
      </c>
      <c r="B43" s="24"/>
      <c r="C43" s="25">
        <f>AVERAGE(C10:C40)</f>
        <v>3.9</v>
      </c>
      <c r="D43" s="24"/>
      <c r="E43" s="23">
        <f>MODE(E10:E40)</f>
        <v>8</v>
      </c>
      <c r="F43" s="23">
        <f>AVERAGE(F10:F40)</f>
        <v>8.0333333333333332</v>
      </c>
      <c r="G43" s="23"/>
      <c r="H43" s="26"/>
      <c r="I43" s="23"/>
      <c r="J43" s="23"/>
      <c r="K43" s="27">
        <f>AVERAGE(K10:K40)</f>
        <v>136.16666666666666</v>
      </c>
      <c r="L43" s="23">
        <f t="shared" ref="L43:Q43" si="7">AVERAGE(L10:L40)</f>
        <v>263.56666666666666</v>
      </c>
      <c r="M43" s="23">
        <f t="shared" si="7"/>
        <v>241.8</v>
      </c>
      <c r="N43" s="23">
        <f t="shared" si="7"/>
        <v>285.13333333333333</v>
      </c>
      <c r="O43" s="23">
        <f t="shared" si="7"/>
        <v>82.8</v>
      </c>
      <c r="P43" s="23">
        <f>AVERAGE(P10:P40)</f>
        <v>231.83333333333334</v>
      </c>
      <c r="Q43" s="25">
        <f t="shared" si="7"/>
        <v>2.2000000000000002</v>
      </c>
      <c r="R43" s="25"/>
      <c r="S43" s="25"/>
      <c r="T43" s="25"/>
      <c r="U43" s="25"/>
      <c r="V43" s="24"/>
      <c r="W43" s="27"/>
      <c r="X43" s="24"/>
      <c r="Y43" s="24"/>
      <c r="Z43" s="24"/>
      <c r="AA43" s="27"/>
      <c r="AB43" s="24"/>
      <c r="AC43" s="24"/>
      <c r="AD43" s="27"/>
      <c r="AE43" s="24"/>
      <c r="AF43" s="24"/>
      <c r="AG43" s="27"/>
      <c r="AH43" s="111"/>
      <c r="AI43" s="111"/>
      <c r="AJ43" s="111"/>
      <c r="AK43" s="111"/>
      <c r="AL43" s="112"/>
      <c r="AN43" s="67">
        <f>AVERAGE(AN10:AN40)</f>
        <v>-1.6154180235700533</v>
      </c>
      <c r="AO43" s="67">
        <f t="shared" ref="AO43:AP43" si="8">AVERAGE(AO10:AO40)</f>
        <v>-0.73330085877945572</v>
      </c>
      <c r="AP43" s="67">
        <f t="shared" si="8"/>
        <v>-1.4495796119884667</v>
      </c>
    </row>
    <row r="44" spans="1:57" x14ac:dyDescent="0.2">
      <c r="E44" s="11"/>
      <c r="G44" s="11"/>
      <c r="K44" s="4"/>
      <c r="M44" s="11"/>
      <c r="P44" s="11"/>
      <c r="Q44" s="11"/>
      <c r="W44" s="4"/>
      <c r="AA44" s="4"/>
      <c r="AD44" s="4"/>
    </row>
    <row r="45" spans="1:57" x14ac:dyDescent="0.2">
      <c r="E45" s="11"/>
      <c r="G45" s="11"/>
      <c r="K45" s="4"/>
      <c r="M45" s="11"/>
      <c r="P45" s="11"/>
      <c r="Q45" s="11"/>
      <c r="W45" s="4"/>
      <c r="AA45" s="4"/>
    </row>
    <row r="46" spans="1:57" x14ac:dyDescent="0.2">
      <c r="E46" s="11"/>
      <c r="G46" s="11"/>
      <c r="M46" s="11"/>
      <c r="P46" s="11"/>
      <c r="Q46" s="11"/>
      <c r="W46" s="4"/>
      <c r="AA46" s="4"/>
    </row>
    <row r="47" spans="1:57" x14ac:dyDescent="0.2">
      <c r="E47" s="11"/>
      <c r="G47" s="11"/>
      <c r="M47" s="11"/>
      <c r="P47" s="11"/>
      <c r="Q47" s="11"/>
    </row>
    <row r="48" spans="1:57" x14ac:dyDescent="0.2">
      <c r="E48" s="11"/>
      <c r="G48" s="11"/>
      <c r="M48" s="11"/>
      <c r="P48" s="11"/>
      <c r="Q48" s="11"/>
    </row>
    <row r="49" spans="5:17" x14ac:dyDescent="0.2">
      <c r="E49" s="11"/>
      <c r="G49" s="11"/>
      <c r="M49" s="11"/>
      <c r="P49" s="11"/>
      <c r="Q49" s="11"/>
    </row>
  </sheetData>
  <mergeCells count="72">
    <mergeCell ref="AH43:AL43"/>
    <mergeCell ref="AH41:AL41"/>
    <mergeCell ref="AH42:AL42"/>
    <mergeCell ref="AH36:AL36"/>
    <mergeCell ref="AH37:AL37"/>
    <mergeCell ref="AH38:AL38"/>
    <mergeCell ref="AH39:AL39"/>
    <mergeCell ref="AH40:AL40"/>
    <mergeCell ref="AH31:AL31"/>
    <mergeCell ref="AH32:AL32"/>
    <mergeCell ref="AH34:AL34"/>
    <mergeCell ref="AH35:AL35"/>
    <mergeCell ref="AH33:AL33"/>
    <mergeCell ref="AH26:AL26"/>
    <mergeCell ref="AH27:AL27"/>
    <mergeCell ref="AH28:AL28"/>
    <mergeCell ref="AH29:AL29"/>
    <mergeCell ref="AH30:AL30"/>
    <mergeCell ref="AH21:AL21"/>
    <mergeCell ref="AH22:AL22"/>
    <mergeCell ref="AH23:AL23"/>
    <mergeCell ref="AH24:AL24"/>
    <mergeCell ref="AH25:AL25"/>
    <mergeCell ref="AH16:AL16"/>
    <mergeCell ref="AH17:AL17"/>
    <mergeCell ref="AH18:AL18"/>
    <mergeCell ref="AH19:AL19"/>
    <mergeCell ref="AH20:AL20"/>
    <mergeCell ref="AH11:AL11"/>
    <mergeCell ref="AH12:AL12"/>
    <mergeCell ref="AH13:AL13"/>
    <mergeCell ref="AH14:AL14"/>
    <mergeCell ref="AH15:AL15"/>
    <mergeCell ref="U8:W8"/>
    <mergeCell ref="X8:AA8"/>
    <mergeCell ref="AB8:AD8"/>
    <mergeCell ref="AE8:AG8"/>
    <mergeCell ref="AH10:AL10"/>
    <mergeCell ref="AH7:AL9"/>
    <mergeCell ref="P8:P9"/>
    <mergeCell ref="Q8:Q9"/>
    <mergeCell ref="R8:R9"/>
    <mergeCell ref="S8:S9"/>
    <mergeCell ref="T8:T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3:T3"/>
    <mergeCell ref="E7:F7"/>
    <mergeCell ref="L7:P7"/>
    <mergeCell ref="Q7:T7"/>
    <mergeCell ref="U7:AG7"/>
    <mergeCell ref="AN7:AP7"/>
    <mergeCell ref="AY7:BA7"/>
    <mergeCell ref="AN8:AN9"/>
    <mergeCell ref="AO8:AO9"/>
    <mergeCell ref="AP8:AP9"/>
    <mergeCell ref="AY8:AY9"/>
    <mergeCell ref="AZ8:AZ9"/>
    <mergeCell ref="BA8:BA9"/>
  </mergeCells>
  <phoneticPr fontId="2" type="noConversion"/>
  <dataValidations count="5">
    <dataValidation type="whole" allowBlank="1" showInputMessage="1" showErrorMessage="1" sqref="C10:C40" xr:uid="{00000000-0002-0000-1600-000000000000}">
      <formula1>0</formula1>
      <formula2>9</formula2>
    </dataValidation>
    <dataValidation type="whole" allowBlank="1" showInputMessage="1" showErrorMessage="1" sqref="Y10:Y40" xr:uid="{00000000-0002-0000-1600-000001000000}">
      <formula1>3</formula1>
      <formula2>9</formula2>
    </dataValidation>
    <dataValidation type="whole" allowBlank="1" showInputMessage="1" showErrorMessage="1" sqref="AB10:AB40" xr:uid="{00000000-0002-0000-1600-000002000000}">
      <formula1>5</formula1>
      <formula2>9</formula2>
    </dataValidation>
    <dataValidation type="whole" allowBlank="1" showInputMessage="1" showErrorMessage="1" sqref="D10:D40" xr:uid="{00000000-0002-0000-1600-000003000000}">
      <formula1>0</formula1>
      <formula2>4</formula2>
    </dataValidation>
    <dataValidation type="whole" allowBlank="1" showInputMessage="1" showErrorMessage="1" sqref="AE10:AE40" xr:uid="{00000000-0002-0000-1600-000004000000}">
      <formula1>1</formula1>
      <formula2>9</formula2>
    </dataValidation>
  </dataValidations>
  <pageMargins left="0.75" right="0.75" top="1" bottom="1" header="0.5" footer="0.5"/>
  <pageSetup orientation="portrait" horizont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E49"/>
  <sheetViews>
    <sheetView workbookViewId="0">
      <pane xSplit="2" ySplit="9" topLeftCell="C10" activePane="bottomRight" state="frozen"/>
      <selection activeCell="AM2" sqref="AM2"/>
      <selection pane="topRight" activeCell="AM2" sqref="AM2"/>
      <selection pane="bottomLeft" activeCell="AM2" sqref="AM2"/>
      <selection pane="bottomRight" activeCell="W18" sqref="W18"/>
    </sheetView>
  </sheetViews>
  <sheetFormatPr defaultRowHeight="12.75" x14ac:dyDescent="0.2"/>
  <cols>
    <col min="1" max="1" width="4.28515625" bestFit="1" customWidth="1"/>
    <col min="2" max="2" width="5.140625" bestFit="1" customWidth="1"/>
    <col min="3" max="3" width="4" bestFit="1" customWidth="1"/>
    <col min="4" max="5" width="3" bestFit="1" customWidth="1"/>
    <col min="6" max="6" width="4" bestFit="1" customWidth="1"/>
    <col min="7" max="10" width="3" bestFit="1" customWidth="1"/>
    <col min="11" max="11" width="8.5703125" bestFit="1" customWidth="1"/>
    <col min="12" max="16" width="5" bestFit="1" customWidth="1"/>
    <col min="17" max="22" width="3" bestFit="1" customWidth="1"/>
    <col min="23" max="23" width="5.28515625" bestFit="1" customWidth="1"/>
    <col min="24" max="26" width="3" bestFit="1" customWidth="1"/>
    <col min="27" max="27" width="5.28515625" bestFit="1" customWidth="1"/>
    <col min="28" max="29" width="3" bestFit="1" customWidth="1"/>
    <col min="30" max="30" width="5.28515625" bestFit="1" customWidth="1"/>
    <col min="31" max="32" width="3" bestFit="1" customWidth="1"/>
    <col min="33" max="33" width="5.28515625" bestFit="1" customWidth="1"/>
    <col min="34" max="34" width="5.42578125" customWidth="1"/>
    <col min="40" max="42" width="4.7109375" customWidth="1"/>
    <col min="50" max="58" width="0" hidden="1" customWidth="1"/>
  </cols>
  <sheetData>
    <row r="1" spans="1:5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  <c r="P1" s="1"/>
      <c r="Q1" s="1"/>
      <c r="R1" s="1"/>
    </row>
    <row r="2" spans="1:57" ht="36.75" customHeight="1" x14ac:dyDescent="0.2">
      <c r="A2" s="1"/>
      <c r="B2" s="1"/>
      <c r="C2" s="1"/>
      <c r="D2" s="1"/>
      <c r="E2" s="1"/>
      <c r="F2" s="1"/>
      <c r="G2" s="1"/>
      <c r="H2" s="1"/>
      <c r="I2" s="2"/>
      <c r="J2" s="2"/>
      <c r="K2" s="1"/>
      <c r="L2" s="1"/>
      <c r="M2" s="1"/>
      <c r="O2" s="2"/>
      <c r="P2" s="1"/>
      <c r="Q2" s="1"/>
      <c r="R2" s="1"/>
    </row>
    <row r="3" spans="1:5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80"/>
      <c r="Q3" s="80"/>
      <c r="R3" s="80"/>
      <c r="S3" s="80"/>
      <c r="T3" s="80"/>
    </row>
    <row r="4" spans="1:5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7" spans="1:57" ht="14.25" x14ac:dyDescent="0.25">
      <c r="A7" s="7"/>
      <c r="B7" s="7"/>
      <c r="C7" s="7"/>
      <c r="D7" s="7"/>
      <c r="E7" s="81" t="s">
        <v>20</v>
      </c>
      <c r="F7" s="81"/>
      <c r="G7" s="7"/>
      <c r="H7" s="7"/>
      <c r="I7" s="7"/>
      <c r="J7" s="7"/>
      <c r="K7" s="7"/>
      <c r="L7" s="82" t="s">
        <v>11</v>
      </c>
      <c r="M7" s="82"/>
      <c r="N7" s="82"/>
      <c r="O7" s="82"/>
      <c r="P7" s="82"/>
      <c r="Q7" s="83" t="s">
        <v>29</v>
      </c>
      <c r="R7" s="83"/>
      <c r="S7" s="83"/>
      <c r="T7" s="83"/>
      <c r="U7" s="84" t="s">
        <v>33</v>
      </c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98" t="s">
        <v>8</v>
      </c>
      <c r="AI7" s="99"/>
      <c r="AJ7" s="99"/>
      <c r="AK7" s="99"/>
      <c r="AL7" s="100"/>
      <c r="AN7" s="73" t="s">
        <v>80</v>
      </c>
      <c r="AO7" s="74"/>
      <c r="AP7" s="75"/>
      <c r="AY7" s="76" t="s">
        <v>81</v>
      </c>
      <c r="AZ7" s="77"/>
      <c r="BA7" s="78"/>
    </row>
    <row r="8" spans="1:57" ht="16.5" customHeight="1" x14ac:dyDescent="0.2">
      <c r="A8" s="85" t="s">
        <v>18</v>
      </c>
      <c r="B8" s="89" t="s">
        <v>19</v>
      </c>
      <c r="C8" s="90" t="s">
        <v>23</v>
      </c>
      <c r="D8" s="88" t="s">
        <v>24</v>
      </c>
      <c r="E8" s="91" t="s">
        <v>25</v>
      </c>
      <c r="F8" s="86" t="s">
        <v>26</v>
      </c>
      <c r="G8" s="88" t="s">
        <v>27</v>
      </c>
      <c r="H8" s="88" t="s">
        <v>0</v>
      </c>
      <c r="I8" s="88" t="s">
        <v>21</v>
      </c>
      <c r="J8" s="88" t="s">
        <v>22</v>
      </c>
      <c r="K8" s="85" t="s">
        <v>28</v>
      </c>
      <c r="L8" s="79" t="s">
        <v>1</v>
      </c>
      <c r="M8" s="79" t="s">
        <v>2</v>
      </c>
      <c r="N8" s="79" t="s">
        <v>3</v>
      </c>
      <c r="O8" s="79" t="s">
        <v>4</v>
      </c>
      <c r="P8" s="79" t="s">
        <v>5</v>
      </c>
      <c r="Q8" s="92" t="s">
        <v>34</v>
      </c>
      <c r="R8" s="92" t="s">
        <v>30</v>
      </c>
      <c r="S8" s="92" t="s">
        <v>31</v>
      </c>
      <c r="T8" s="92" t="s">
        <v>32</v>
      </c>
      <c r="U8" s="93" t="s">
        <v>38</v>
      </c>
      <c r="V8" s="93"/>
      <c r="W8" s="93"/>
      <c r="X8" s="93" t="s">
        <v>39</v>
      </c>
      <c r="Y8" s="93"/>
      <c r="Z8" s="93"/>
      <c r="AA8" s="93"/>
      <c r="AB8" s="93" t="s">
        <v>40</v>
      </c>
      <c r="AC8" s="93"/>
      <c r="AD8" s="93"/>
      <c r="AE8" s="93" t="s">
        <v>41</v>
      </c>
      <c r="AF8" s="94"/>
      <c r="AG8" s="95"/>
      <c r="AH8" s="101"/>
      <c r="AI8" s="102"/>
      <c r="AJ8" s="102"/>
      <c r="AK8" s="102"/>
      <c r="AL8" s="103"/>
      <c r="AN8" s="79" t="s">
        <v>3</v>
      </c>
      <c r="AO8" s="79" t="s">
        <v>4</v>
      </c>
      <c r="AP8" s="79" t="s">
        <v>5</v>
      </c>
      <c r="AY8" s="79" t="s">
        <v>3</v>
      </c>
      <c r="AZ8" s="79" t="s">
        <v>4</v>
      </c>
      <c r="BA8" s="79" t="s">
        <v>5</v>
      </c>
    </row>
    <row r="9" spans="1:57" s="3" customFormat="1" ht="72" customHeight="1" x14ac:dyDescent="0.2">
      <c r="A9" s="85"/>
      <c r="B9" s="89"/>
      <c r="C9" s="90"/>
      <c r="D9" s="88"/>
      <c r="E9" s="91"/>
      <c r="F9" s="87"/>
      <c r="G9" s="88"/>
      <c r="H9" s="88"/>
      <c r="I9" s="88"/>
      <c r="J9" s="88"/>
      <c r="K9" s="85"/>
      <c r="L9" s="79"/>
      <c r="M9" s="79"/>
      <c r="N9" s="79"/>
      <c r="O9" s="79"/>
      <c r="P9" s="79"/>
      <c r="Q9" s="92"/>
      <c r="R9" s="92"/>
      <c r="S9" s="92"/>
      <c r="T9" s="92"/>
      <c r="U9" s="8" t="s">
        <v>16</v>
      </c>
      <c r="V9" s="8" t="s">
        <v>6</v>
      </c>
      <c r="W9" s="9" t="s">
        <v>7</v>
      </c>
      <c r="X9" s="8" t="s">
        <v>17</v>
      </c>
      <c r="Y9" s="8" t="s">
        <v>16</v>
      </c>
      <c r="Z9" s="8" t="s">
        <v>6</v>
      </c>
      <c r="AA9" s="9" t="s">
        <v>7</v>
      </c>
      <c r="AB9" s="8" t="s">
        <v>16</v>
      </c>
      <c r="AC9" s="8" t="s">
        <v>6</v>
      </c>
      <c r="AD9" s="9" t="s">
        <v>7</v>
      </c>
      <c r="AE9" s="8" t="s">
        <v>16</v>
      </c>
      <c r="AF9" s="8" t="s">
        <v>6</v>
      </c>
      <c r="AG9" s="9" t="s">
        <v>7</v>
      </c>
      <c r="AH9" s="104"/>
      <c r="AI9" s="105"/>
      <c r="AJ9" s="105"/>
      <c r="AK9" s="105"/>
      <c r="AL9" s="106"/>
      <c r="AN9" s="79"/>
      <c r="AO9" s="79"/>
      <c r="AP9" s="79"/>
      <c r="AY9" s="79"/>
      <c r="AZ9" s="79"/>
      <c r="BA9" s="79"/>
      <c r="BC9" s="3" t="s">
        <v>82</v>
      </c>
      <c r="BD9" s="3" t="s">
        <v>83</v>
      </c>
      <c r="BE9" s="3" t="s">
        <v>84</v>
      </c>
    </row>
    <row r="10" spans="1:57" x14ac:dyDescent="0.2">
      <c r="A10" s="13">
        <v>1</v>
      </c>
      <c r="B10" s="3">
        <v>21</v>
      </c>
      <c r="C10" s="17">
        <v>5</v>
      </c>
      <c r="D10" s="3">
        <v>4</v>
      </c>
      <c r="E10" s="18">
        <v>9</v>
      </c>
      <c r="F10" s="18">
        <v>10</v>
      </c>
      <c r="G10" s="18">
        <v>76</v>
      </c>
      <c r="H10" s="19">
        <v>2</v>
      </c>
      <c r="I10" s="18"/>
      <c r="J10" s="18"/>
      <c r="K10" s="20">
        <v>135</v>
      </c>
      <c r="L10" s="18">
        <v>268</v>
      </c>
      <c r="M10" s="18">
        <v>245</v>
      </c>
      <c r="N10" s="18">
        <v>290</v>
      </c>
      <c r="O10" s="18">
        <v>82</v>
      </c>
      <c r="P10" s="18">
        <v>235</v>
      </c>
      <c r="Q10" s="17">
        <v>1</v>
      </c>
      <c r="R10" s="17">
        <v>2</v>
      </c>
      <c r="S10" s="17">
        <v>0</v>
      </c>
      <c r="T10" s="17">
        <v>2</v>
      </c>
      <c r="U10" s="17">
        <v>1</v>
      </c>
      <c r="V10" s="3">
        <v>8</v>
      </c>
      <c r="W10" s="20">
        <v>63</v>
      </c>
      <c r="X10" s="3">
        <v>8</v>
      </c>
      <c r="Y10" s="3">
        <v>4</v>
      </c>
      <c r="Z10" s="3">
        <v>0</v>
      </c>
      <c r="AA10" s="20">
        <v>840</v>
      </c>
      <c r="AB10" s="3"/>
      <c r="AC10" s="3"/>
      <c r="AD10" s="20"/>
      <c r="AE10" s="3"/>
      <c r="AF10" s="3"/>
      <c r="AG10" s="20"/>
      <c r="AH10" s="96"/>
      <c r="AI10" s="96"/>
      <c r="AJ10" s="96"/>
      <c r="AK10" s="96"/>
      <c r="AL10" s="97"/>
      <c r="AN10" s="67">
        <f>N10-AY10</f>
        <v>-1.5482602654706739</v>
      </c>
      <c r="AO10" s="67">
        <f>O10-AZ10</f>
        <v>-0.74418656868023447</v>
      </c>
      <c r="AP10" s="67">
        <f>P10-BA10</f>
        <v>-1.1838053580768531</v>
      </c>
      <c r="AY10" s="67">
        <f t="shared" ref="AY10:AY40" si="0">10*(BE10-BD10*((L10/10)-(M10/10))*0.00066*(1+(0.00115*(M10/10))))</f>
        <v>291.54826026547067</v>
      </c>
      <c r="AZ10" s="67">
        <f t="shared" ref="AZ10:AZ40" si="1">((AY10/10)*100)/BC10</f>
        <v>82.744186568680234</v>
      </c>
      <c r="BA10" s="67">
        <f>(243.5*LN((AY10/10)/6.112))/(17.67-LN((AY10/10)/6.112))*10</f>
        <v>236.18380535807685</v>
      </c>
      <c r="BC10">
        <f>6.112*2.718^((17.67*(L10/10))/((L10/10)+243.5))</f>
        <v>35.234893514056914</v>
      </c>
      <c r="BD10">
        <v>1013.2</v>
      </c>
      <c r="BE10">
        <f>6.112*2.718^((17.67*(M10/10))/((M10/10)+243.5))</f>
        <v>30.736197835927069</v>
      </c>
    </row>
    <row r="11" spans="1:57" x14ac:dyDescent="0.2">
      <c r="A11" s="13">
        <v>2</v>
      </c>
      <c r="B11" s="3">
        <v>21</v>
      </c>
      <c r="C11" s="17">
        <v>5</v>
      </c>
      <c r="D11" s="3">
        <v>4</v>
      </c>
      <c r="E11" s="18">
        <v>8</v>
      </c>
      <c r="F11" s="18">
        <v>12</v>
      </c>
      <c r="G11" s="18">
        <v>75</v>
      </c>
      <c r="H11" s="19">
        <v>2</v>
      </c>
      <c r="I11" s="18"/>
      <c r="J11" s="18"/>
      <c r="K11" s="20">
        <v>129</v>
      </c>
      <c r="L11" s="18">
        <v>267</v>
      </c>
      <c r="M11" s="18">
        <v>243</v>
      </c>
      <c r="N11" s="18">
        <v>285</v>
      </c>
      <c r="O11" s="18">
        <v>81</v>
      </c>
      <c r="P11" s="18">
        <v>232</v>
      </c>
      <c r="Q11" s="17">
        <v>2</v>
      </c>
      <c r="R11" s="17">
        <v>8</v>
      </c>
      <c r="S11" s="17">
        <v>0</v>
      </c>
      <c r="T11" s="17">
        <v>2</v>
      </c>
      <c r="U11" s="17">
        <v>1</v>
      </c>
      <c r="V11" s="3">
        <v>8</v>
      </c>
      <c r="W11" s="20">
        <v>60</v>
      </c>
      <c r="X11" s="3">
        <v>8</v>
      </c>
      <c r="Y11" s="3">
        <v>5</v>
      </c>
      <c r="Z11" s="3">
        <v>0</v>
      </c>
      <c r="AA11" s="20">
        <v>840</v>
      </c>
      <c r="AB11" s="3"/>
      <c r="AC11" s="3"/>
      <c r="AD11" s="20"/>
      <c r="AE11" s="3"/>
      <c r="AF11" s="3"/>
      <c r="AG11" s="20"/>
      <c r="AH11" s="107"/>
      <c r="AI11" s="107"/>
      <c r="AJ11" s="107"/>
      <c r="AK11" s="107"/>
      <c r="AL11" s="108"/>
      <c r="AN11" s="67">
        <f t="shared" ref="AN11:AP39" si="2">N11-AY11</f>
        <v>-2.2015031285581586</v>
      </c>
      <c r="AO11" s="67">
        <f t="shared" si="2"/>
        <v>-0.99209771632432364</v>
      </c>
      <c r="AP11" s="67">
        <f t="shared" si="2"/>
        <v>-1.6950631030901491</v>
      </c>
      <c r="AY11" s="67">
        <f t="shared" si="0"/>
        <v>287.20150312855816</v>
      </c>
      <c r="AZ11" s="67">
        <f t="shared" si="1"/>
        <v>81.992097716324324</v>
      </c>
      <c r="BA11" s="67">
        <f t="shared" ref="BA11:BA40" si="3">(243.5*LN((AY11/10)/6.112))/(17.67-LN((AY11/10)/6.112))*10</f>
        <v>233.69506310309015</v>
      </c>
      <c r="BC11">
        <f t="shared" ref="BC11:BC40" si="4">6.112*2.718^((17.67*(L11/10))/((L11/10)+243.5))</f>
        <v>35.027949171664794</v>
      </c>
      <c r="BD11">
        <v>1013.2</v>
      </c>
      <c r="BE11">
        <f t="shared" ref="BE11:BE40" si="5">6.112*2.718^((17.67*(M11/10))/((M11/10)+243.5))</f>
        <v>30.369908289271816</v>
      </c>
    </row>
    <row r="12" spans="1:57" x14ac:dyDescent="0.2">
      <c r="A12" s="13">
        <v>3</v>
      </c>
      <c r="B12" s="3">
        <v>21</v>
      </c>
      <c r="C12" s="17">
        <v>1</v>
      </c>
      <c r="D12" s="3">
        <v>4</v>
      </c>
      <c r="E12" s="18">
        <v>7</v>
      </c>
      <c r="F12" s="18">
        <v>8</v>
      </c>
      <c r="G12" s="18">
        <v>75</v>
      </c>
      <c r="H12" s="19">
        <v>2</v>
      </c>
      <c r="I12" s="18"/>
      <c r="J12" s="18"/>
      <c r="K12" s="20">
        <v>135</v>
      </c>
      <c r="L12" s="18">
        <v>266</v>
      </c>
      <c r="M12" s="18">
        <v>241</v>
      </c>
      <c r="N12" s="18">
        <v>279</v>
      </c>
      <c r="O12" s="18">
        <v>80</v>
      </c>
      <c r="P12" s="18">
        <v>229</v>
      </c>
      <c r="Q12" s="17">
        <v>1</v>
      </c>
      <c r="R12" s="17">
        <v>2</v>
      </c>
      <c r="S12" s="17">
        <v>0</v>
      </c>
      <c r="T12" s="17">
        <v>2</v>
      </c>
      <c r="U12" s="17">
        <v>1</v>
      </c>
      <c r="V12" s="3">
        <v>8</v>
      </c>
      <c r="W12" s="20">
        <v>63</v>
      </c>
      <c r="X12" s="3">
        <v>8</v>
      </c>
      <c r="Y12" s="3"/>
      <c r="Z12" s="3"/>
      <c r="AA12" s="20"/>
      <c r="AB12" s="3"/>
      <c r="AC12" s="3"/>
      <c r="AD12" s="20"/>
      <c r="AE12" s="3"/>
      <c r="AF12" s="3"/>
      <c r="AG12" s="20"/>
      <c r="AH12" s="107"/>
      <c r="AI12" s="107"/>
      <c r="AJ12" s="107"/>
      <c r="AK12" s="107"/>
      <c r="AL12" s="108"/>
      <c r="AN12" s="67">
        <f t="shared" si="2"/>
        <v>-3.8933275538911971</v>
      </c>
      <c r="AO12" s="67">
        <f t="shared" si="2"/>
        <v>-1.2396680267185047</v>
      </c>
      <c r="AP12" s="67">
        <f t="shared" si="2"/>
        <v>-2.1956387046100474</v>
      </c>
      <c r="AY12" s="67">
        <f t="shared" si="0"/>
        <v>282.8933275538912</v>
      </c>
      <c r="AZ12" s="67">
        <f t="shared" si="1"/>
        <v>81.239668026718505</v>
      </c>
      <c r="BA12" s="67">
        <f t="shared" si="3"/>
        <v>231.19563870461005</v>
      </c>
      <c r="BC12">
        <f t="shared" si="4"/>
        <v>34.822068384234633</v>
      </c>
      <c r="BD12">
        <v>1013.2</v>
      </c>
      <c r="BE12">
        <f t="shared" si="5"/>
        <v>30.007446138089119</v>
      </c>
    </row>
    <row r="13" spans="1:57" x14ac:dyDescent="0.2">
      <c r="A13" s="13">
        <v>4</v>
      </c>
      <c r="B13" s="3">
        <v>21</v>
      </c>
      <c r="C13" s="17">
        <v>2</v>
      </c>
      <c r="D13" s="3">
        <v>4</v>
      </c>
      <c r="E13" s="18">
        <v>10</v>
      </c>
      <c r="F13" s="18">
        <v>13</v>
      </c>
      <c r="G13" s="18">
        <v>80</v>
      </c>
      <c r="H13" s="19">
        <v>2</v>
      </c>
      <c r="I13" s="18"/>
      <c r="J13" s="18"/>
      <c r="K13" s="20">
        <v>139</v>
      </c>
      <c r="L13" s="18">
        <v>271</v>
      </c>
      <c r="M13" s="18">
        <v>250</v>
      </c>
      <c r="N13" s="18">
        <v>300</v>
      </c>
      <c r="O13" s="18">
        <v>83</v>
      </c>
      <c r="P13" s="18">
        <v>241</v>
      </c>
      <c r="Q13" s="17">
        <v>1</v>
      </c>
      <c r="R13" s="17">
        <v>2</v>
      </c>
      <c r="S13" s="17">
        <v>0</v>
      </c>
      <c r="T13" s="17">
        <v>2</v>
      </c>
      <c r="U13" s="17">
        <v>2</v>
      </c>
      <c r="V13" s="3">
        <v>8</v>
      </c>
      <c r="W13" s="20">
        <v>63</v>
      </c>
      <c r="X13" s="3">
        <v>8</v>
      </c>
      <c r="Y13" s="3"/>
      <c r="Z13" s="3"/>
      <c r="AA13" s="20"/>
      <c r="AB13" s="3"/>
      <c r="AC13" s="3"/>
      <c r="AD13" s="20"/>
      <c r="AE13" s="3"/>
      <c r="AF13" s="3"/>
      <c r="AG13" s="20"/>
      <c r="AH13" s="107"/>
      <c r="AI13" s="107"/>
      <c r="AJ13" s="107"/>
      <c r="AK13" s="107"/>
      <c r="AL13" s="108"/>
      <c r="AN13" s="67">
        <f t="shared" si="2"/>
        <v>-2.2422292261599637</v>
      </c>
      <c r="AO13" s="67">
        <f t="shared" si="2"/>
        <v>-1.2788823818751212</v>
      </c>
      <c r="AP13" s="67">
        <f t="shared" si="2"/>
        <v>-1.1710501702949045</v>
      </c>
      <c r="AY13" s="67">
        <f t="shared" si="0"/>
        <v>302.24222922615996</v>
      </c>
      <c r="AZ13" s="67">
        <f t="shared" si="1"/>
        <v>84.278882381875121</v>
      </c>
      <c r="BA13" s="67">
        <f t="shared" si="3"/>
        <v>242.1710501702949</v>
      </c>
      <c r="BC13">
        <f t="shared" si="4"/>
        <v>35.862154395530958</v>
      </c>
      <c r="BD13">
        <v>1013.2</v>
      </c>
      <c r="BE13">
        <f t="shared" si="5"/>
        <v>31.668891609615997</v>
      </c>
    </row>
    <row r="14" spans="1:57" x14ac:dyDescent="0.2">
      <c r="A14" s="13">
        <v>5</v>
      </c>
      <c r="B14" s="3">
        <v>21</v>
      </c>
      <c r="C14" s="17">
        <v>4</v>
      </c>
      <c r="D14" s="3">
        <v>4</v>
      </c>
      <c r="E14" s="18">
        <v>8</v>
      </c>
      <c r="F14" s="18">
        <v>12</v>
      </c>
      <c r="G14" s="18">
        <v>78</v>
      </c>
      <c r="H14" s="19">
        <v>2</v>
      </c>
      <c r="I14" s="18"/>
      <c r="J14" s="18"/>
      <c r="K14" s="20">
        <v>134</v>
      </c>
      <c r="L14" s="18">
        <v>270</v>
      </c>
      <c r="M14" s="18">
        <v>247</v>
      </c>
      <c r="N14" s="18">
        <v>293</v>
      </c>
      <c r="O14" s="18">
        <v>82</v>
      </c>
      <c r="P14" s="18">
        <v>237</v>
      </c>
      <c r="Q14" s="17">
        <v>1</v>
      </c>
      <c r="R14" s="17">
        <v>2</v>
      </c>
      <c r="S14" s="17">
        <v>0</v>
      </c>
      <c r="T14" s="17">
        <v>1</v>
      </c>
      <c r="U14" s="17">
        <v>1</v>
      </c>
      <c r="V14" s="3">
        <v>8</v>
      </c>
      <c r="W14" s="20">
        <v>60</v>
      </c>
      <c r="X14" s="3">
        <v>8</v>
      </c>
      <c r="Y14" s="3">
        <v>4</v>
      </c>
      <c r="Z14" s="3">
        <v>0</v>
      </c>
      <c r="AA14" s="20">
        <v>900</v>
      </c>
      <c r="AB14" s="3"/>
      <c r="AC14" s="3"/>
      <c r="AD14" s="20"/>
      <c r="AE14" s="3"/>
      <c r="AF14" s="3"/>
      <c r="AG14" s="20"/>
      <c r="AH14" s="107"/>
      <c r="AI14" s="107"/>
      <c r="AJ14" s="107"/>
      <c r="AK14" s="107"/>
      <c r="AL14" s="108"/>
      <c r="AN14" s="67">
        <f t="shared" si="2"/>
        <v>-2.2462342187101854</v>
      </c>
      <c r="AO14" s="67">
        <f t="shared" si="2"/>
        <v>-0.81339194531973646</v>
      </c>
      <c r="AP14" s="67">
        <f t="shared" si="2"/>
        <v>-1.2756313741485314</v>
      </c>
      <c r="AY14" s="67">
        <f t="shared" si="0"/>
        <v>295.24623421871019</v>
      </c>
      <c r="AZ14" s="67">
        <f t="shared" si="1"/>
        <v>82.813391945319736</v>
      </c>
      <c r="BA14" s="67">
        <f t="shared" si="3"/>
        <v>238.27563137414853</v>
      </c>
      <c r="BC14">
        <f t="shared" si="4"/>
        <v>35.651991457330503</v>
      </c>
      <c r="BD14">
        <v>1013.2</v>
      </c>
      <c r="BE14">
        <f t="shared" si="5"/>
        <v>31.106348979899021</v>
      </c>
    </row>
    <row r="15" spans="1:57" x14ac:dyDescent="0.2">
      <c r="A15" s="13">
        <v>6</v>
      </c>
      <c r="B15" s="3">
        <v>21</v>
      </c>
      <c r="C15" s="17">
        <v>2</v>
      </c>
      <c r="D15" s="3">
        <v>4</v>
      </c>
      <c r="E15" s="18">
        <v>9</v>
      </c>
      <c r="F15" s="18">
        <v>12</v>
      </c>
      <c r="G15" s="18">
        <v>80</v>
      </c>
      <c r="H15" s="19">
        <v>2</v>
      </c>
      <c r="I15" s="18"/>
      <c r="J15" s="18"/>
      <c r="K15" s="20">
        <v>129</v>
      </c>
      <c r="L15" s="18">
        <v>267</v>
      </c>
      <c r="M15" s="18">
        <v>247</v>
      </c>
      <c r="N15" s="18">
        <v>295</v>
      </c>
      <c r="O15" s="18">
        <v>84</v>
      </c>
      <c r="P15" s="18">
        <v>238</v>
      </c>
      <c r="Q15" s="17">
        <v>1</v>
      </c>
      <c r="R15" s="17">
        <v>1</v>
      </c>
      <c r="S15" s="17">
        <v>0</v>
      </c>
      <c r="T15" s="17">
        <v>1</v>
      </c>
      <c r="U15" s="17">
        <v>1</v>
      </c>
      <c r="V15" s="3">
        <v>8</v>
      </c>
      <c r="W15" s="20">
        <v>66</v>
      </c>
      <c r="X15" s="3">
        <v>8</v>
      </c>
      <c r="Y15" s="3"/>
      <c r="Z15" s="3"/>
      <c r="AA15" s="20"/>
      <c r="AB15" s="3"/>
      <c r="AC15" s="3"/>
      <c r="AD15" s="20"/>
      <c r="AE15" s="3"/>
      <c r="AF15" s="3"/>
      <c r="AG15" s="20"/>
      <c r="AH15" s="107"/>
      <c r="AI15" s="107"/>
      <c r="AJ15" s="107"/>
      <c r="AK15" s="107"/>
      <c r="AL15" s="108"/>
      <c r="AN15" s="67">
        <f t="shared" si="2"/>
        <v>-2.3093545117902181</v>
      </c>
      <c r="AO15" s="67">
        <f t="shared" si="2"/>
        <v>-0.87775092248136843</v>
      </c>
      <c r="AP15" s="67">
        <f t="shared" si="2"/>
        <v>-1.4327212788296606</v>
      </c>
      <c r="AY15" s="67">
        <f t="shared" si="0"/>
        <v>297.30935451179022</v>
      </c>
      <c r="AZ15" s="67">
        <f t="shared" si="1"/>
        <v>84.877750922481368</v>
      </c>
      <c r="BA15" s="67">
        <f t="shared" si="3"/>
        <v>239.43272127882966</v>
      </c>
      <c r="BC15">
        <f t="shared" si="4"/>
        <v>35.027949171664794</v>
      </c>
      <c r="BD15">
        <v>1013.2</v>
      </c>
      <c r="BE15">
        <f t="shared" si="5"/>
        <v>31.106348979899021</v>
      </c>
    </row>
    <row r="16" spans="1:57" x14ac:dyDescent="0.2">
      <c r="A16" s="13">
        <v>7</v>
      </c>
      <c r="B16" s="3">
        <v>21</v>
      </c>
      <c r="C16" s="17">
        <v>4</v>
      </c>
      <c r="D16" s="3">
        <v>4</v>
      </c>
      <c r="E16" s="18">
        <v>10</v>
      </c>
      <c r="F16" s="18">
        <v>12</v>
      </c>
      <c r="G16" s="18">
        <v>75</v>
      </c>
      <c r="H16" s="19">
        <v>2</v>
      </c>
      <c r="I16" s="18"/>
      <c r="J16" s="18"/>
      <c r="K16" s="20">
        <v>116</v>
      </c>
      <c r="L16" s="18">
        <v>266</v>
      </c>
      <c r="M16" s="18">
        <v>240</v>
      </c>
      <c r="N16" s="18">
        <v>279</v>
      </c>
      <c r="O16" s="18">
        <v>79</v>
      </c>
      <c r="P16" s="18">
        <v>228</v>
      </c>
      <c r="Q16" s="17">
        <v>1</v>
      </c>
      <c r="R16" s="17">
        <v>2</v>
      </c>
      <c r="S16" s="17">
        <v>0</v>
      </c>
      <c r="T16" s="17">
        <v>2</v>
      </c>
      <c r="U16" s="17">
        <v>1</v>
      </c>
      <c r="V16" s="3">
        <v>8</v>
      </c>
      <c r="W16" s="20">
        <v>66</v>
      </c>
      <c r="X16" s="3">
        <v>8</v>
      </c>
      <c r="Y16" s="3">
        <v>3</v>
      </c>
      <c r="Z16" s="3">
        <v>0</v>
      </c>
      <c r="AA16" s="20">
        <v>840</v>
      </c>
      <c r="AB16" s="3"/>
      <c r="AC16" s="3"/>
      <c r="AD16" s="20"/>
      <c r="AE16" s="3"/>
      <c r="AF16" s="3"/>
      <c r="AG16" s="20"/>
      <c r="AH16" s="107"/>
      <c r="AI16" s="107"/>
      <c r="AJ16" s="107"/>
      <c r="AK16" s="107"/>
      <c r="AL16" s="108"/>
      <c r="AN16" s="67">
        <f t="shared" si="2"/>
        <v>-1.410017411820661</v>
      </c>
      <c r="AO16" s="67">
        <f t="shared" si="2"/>
        <v>-1.526525396973156</v>
      </c>
      <c r="AP16" s="67">
        <f t="shared" si="2"/>
        <v>-1.7397347096412261</v>
      </c>
      <c r="AY16" s="67">
        <f t="shared" si="0"/>
        <v>280.41001741182066</v>
      </c>
      <c r="AZ16" s="67">
        <f t="shared" si="1"/>
        <v>80.526525396973156</v>
      </c>
      <c r="BA16" s="67">
        <f t="shared" si="3"/>
        <v>229.73973470964123</v>
      </c>
      <c r="BC16">
        <f t="shared" si="4"/>
        <v>34.822068384234633</v>
      </c>
      <c r="BD16">
        <v>1013.2</v>
      </c>
      <c r="BE16">
        <f t="shared" si="5"/>
        <v>29.827639714302066</v>
      </c>
    </row>
    <row r="17" spans="1:57" x14ac:dyDescent="0.2">
      <c r="A17" s="13">
        <v>8</v>
      </c>
      <c r="B17" s="3">
        <v>21</v>
      </c>
      <c r="C17" s="17">
        <v>1</v>
      </c>
      <c r="D17" s="3">
        <v>4</v>
      </c>
      <c r="E17" s="18">
        <v>10</v>
      </c>
      <c r="F17" s="18">
        <v>14</v>
      </c>
      <c r="G17" s="18">
        <v>75</v>
      </c>
      <c r="H17" s="19">
        <v>2</v>
      </c>
      <c r="I17" s="18"/>
      <c r="J17" s="18"/>
      <c r="K17" s="20">
        <v>123</v>
      </c>
      <c r="L17" s="18">
        <v>271</v>
      </c>
      <c r="M17" s="18">
        <v>252</v>
      </c>
      <c r="N17" s="18">
        <v>306</v>
      </c>
      <c r="O17" s="18">
        <v>85</v>
      </c>
      <c r="P17" s="18">
        <v>244</v>
      </c>
      <c r="Q17" s="17">
        <v>1</v>
      </c>
      <c r="R17" s="17">
        <v>2</v>
      </c>
      <c r="S17" s="17">
        <v>0</v>
      </c>
      <c r="T17" s="17">
        <v>0</v>
      </c>
      <c r="U17" s="17">
        <v>1</v>
      </c>
      <c r="V17" s="3">
        <v>8</v>
      </c>
      <c r="W17" s="20">
        <v>60</v>
      </c>
      <c r="X17" s="3">
        <v>8</v>
      </c>
      <c r="Y17" s="3"/>
      <c r="Z17" s="3"/>
      <c r="AA17" s="20"/>
      <c r="AB17" s="3"/>
      <c r="AC17" s="3"/>
      <c r="AD17" s="20"/>
      <c r="AE17" s="3"/>
      <c r="AF17" s="3"/>
      <c r="AG17" s="20"/>
      <c r="AH17" s="107"/>
      <c r="AI17" s="107"/>
      <c r="AJ17" s="107"/>
      <c r="AK17" s="107"/>
      <c r="AL17" s="108"/>
      <c r="AN17" s="67">
        <f t="shared" si="2"/>
        <v>-1.414745680625856</v>
      </c>
      <c r="AO17" s="67">
        <f t="shared" si="2"/>
        <v>-0.72121526500789912</v>
      </c>
      <c r="AP17" s="67">
        <f t="shared" si="2"/>
        <v>-1.0006971855543441</v>
      </c>
      <c r="AY17" s="67">
        <f t="shared" si="0"/>
        <v>307.41474568062586</v>
      </c>
      <c r="AZ17" s="67">
        <f t="shared" si="1"/>
        <v>85.721215265007899</v>
      </c>
      <c r="BA17" s="67">
        <f t="shared" si="3"/>
        <v>245.00069718555434</v>
      </c>
      <c r="BC17">
        <f t="shared" si="4"/>
        <v>35.862154395530958</v>
      </c>
      <c r="BD17">
        <v>1013.2</v>
      </c>
      <c r="BE17">
        <f t="shared" si="5"/>
        <v>32.048847988206589</v>
      </c>
    </row>
    <row r="18" spans="1:57" x14ac:dyDescent="0.2">
      <c r="A18" s="13">
        <v>9</v>
      </c>
      <c r="B18" s="3">
        <v>21</v>
      </c>
      <c r="C18" s="17">
        <v>5</v>
      </c>
      <c r="D18" s="3">
        <v>4</v>
      </c>
      <c r="E18" s="18">
        <v>9</v>
      </c>
      <c r="F18" s="18">
        <v>13</v>
      </c>
      <c r="G18" s="18">
        <v>78</v>
      </c>
      <c r="H18" s="19">
        <v>2</v>
      </c>
      <c r="I18" s="18"/>
      <c r="J18" s="18"/>
      <c r="K18" s="20">
        <v>126</v>
      </c>
      <c r="L18" s="18">
        <v>270</v>
      </c>
      <c r="M18" s="18">
        <v>245</v>
      </c>
      <c r="N18" s="18">
        <v>288</v>
      </c>
      <c r="O18" s="18">
        <v>80</v>
      </c>
      <c r="P18" s="18">
        <v>234</v>
      </c>
      <c r="Q18" s="17">
        <v>1</v>
      </c>
      <c r="R18" s="17">
        <v>2</v>
      </c>
      <c r="S18" s="17">
        <v>0</v>
      </c>
      <c r="T18" s="17">
        <v>1</v>
      </c>
      <c r="U18" s="17">
        <v>1</v>
      </c>
      <c r="V18" s="3">
        <v>8</v>
      </c>
      <c r="W18" s="20">
        <v>63</v>
      </c>
      <c r="X18" s="3">
        <v>8</v>
      </c>
      <c r="Y18" s="3">
        <v>4</v>
      </c>
      <c r="Z18" s="3">
        <v>0</v>
      </c>
      <c r="AA18" s="20">
        <v>900</v>
      </c>
      <c r="AB18" s="3"/>
      <c r="AC18" s="3"/>
      <c r="AD18" s="20"/>
      <c r="AE18" s="3"/>
      <c r="AF18" s="3"/>
      <c r="AG18" s="20"/>
      <c r="AH18" s="107"/>
      <c r="AI18" s="107"/>
      <c r="AJ18" s="107"/>
      <c r="AK18" s="107"/>
      <c r="AL18" s="108"/>
      <c r="AN18" s="67">
        <f t="shared" si="2"/>
        <v>-2.1731543442706993</v>
      </c>
      <c r="AO18" s="67">
        <f t="shared" si="2"/>
        <v>-1.3904476252216256</v>
      </c>
      <c r="AP18" s="67">
        <f t="shared" si="2"/>
        <v>-1.4000211914740817</v>
      </c>
      <c r="AY18" s="67">
        <f t="shared" si="0"/>
        <v>290.1731543442707</v>
      </c>
      <c r="AZ18" s="67">
        <f t="shared" si="1"/>
        <v>81.390447625221626</v>
      </c>
      <c r="BA18" s="67">
        <f t="shared" si="3"/>
        <v>235.40002119147408</v>
      </c>
      <c r="BC18">
        <f t="shared" si="4"/>
        <v>35.651991457330503</v>
      </c>
      <c r="BD18">
        <v>1013.2</v>
      </c>
      <c r="BE18">
        <f t="shared" si="5"/>
        <v>30.736197835927069</v>
      </c>
    </row>
    <row r="19" spans="1:57" x14ac:dyDescent="0.2">
      <c r="A19" s="13">
        <v>10</v>
      </c>
      <c r="B19" s="3">
        <v>21</v>
      </c>
      <c r="C19" s="17">
        <v>3</v>
      </c>
      <c r="D19" s="3">
        <v>4</v>
      </c>
      <c r="E19" s="18">
        <v>8</v>
      </c>
      <c r="F19" s="18">
        <v>12</v>
      </c>
      <c r="G19" s="18">
        <v>75</v>
      </c>
      <c r="H19" s="19">
        <v>2</v>
      </c>
      <c r="I19" s="18"/>
      <c r="J19" s="18"/>
      <c r="K19" s="20">
        <v>100</v>
      </c>
      <c r="L19" s="18">
        <v>269</v>
      </c>
      <c r="M19" s="18">
        <v>246</v>
      </c>
      <c r="N19" s="18">
        <v>291</v>
      </c>
      <c r="O19" s="18">
        <v>82</v>
      </c>
      <c r="P19" s="18">
        <v>236</v>
      </c>
      <c r="Q19" s="17">
        <v>1</v>
      </c>
      <c r="R19" s="17">
        <v>2</v>
      </c>
      <c r="S19" s="17">
        <v>0</v>
      </c>
      <c r="T19" s="17">
        <v>1</v>
      </c>
      <c r="U19" s="17">
        <v>1</v>
      </c>
      <c r="V19" s="3">
        <v>8</v>
      </c>
      <c r="W19" s="20">
        <v>63</v>
      </c>
      <c r="X19" s="3">
        <v>8</v>
      </c>
      <c r="Y19" s="3">
        <v>3</v>
      </c>
      <c r="Z19" s="3">
        <v>0</v>
      </c>
      <c r="AA19" s="20">
        <v>900</v>
      </c>
      <c r="AB19" s="3"/>
      <c r="AC19" s="3"/>
      <c r="AD19" s="20"/>
      <c r="AE19" s="3"/>
      <c r="AF19" s="3"/>
      <c r="AG19" s="20"/>
      <c r="AH19" s="107"/>
      <c r="AI19" s="107"/>
      <c r="AJ19" s="107"/>
      <c r="AK19" s="107"/>
      <c r="AL19" s="108"/>
      <c r="AN19" s="67">
        <f t="shared" si="2"/>
        <v>-2.3923987738897949</v>
      </c>
      <c r="AO19" s="67">
        <f t="shared" si="2"/>
        <v>-0.77887775688614624</v>
      </c>
      <c r="AP19" s="67">
        <f t="shared" si="2"/>
        <v>-1.2298620738831119</v>
      </c>
      <c r="AY19" s="67">
        <f t="shared" si="0"/>
        <v>293.39239877388979</v>
      </c>
      <c r="AZ19" s="67">
        <f t="shared" si="1"/>
        <v>82.778877756886146</v>
      </c>
      <c r="BA19" s="67">
        <f t="shared" si="3"/>
        <v>237.22986207388311</v>
      </c>
      <c r="BC19">
        <f t="shared" si="4"/>
        <v>35.442906055764126</v>
      </c>
      <c r="BD19">
        <v>1013.2</v>
      </c>
      <c r="BE19">
        <f t="shared" si="5"/>
        <v>30.920788561092973</v>
      </c>
    </row>
    <row r="20" spans="1:57" x14ac:dyDescent="0.2">
      <c r="A20" s="13">
        <v>11</v>
      </c>
      <c r="B20" s="3">
        <v>21</v>
      </c>
      <c r="C20" s="17">
        <v>5</v>
      </c>
      <c r="D20" s="3">
        <v>4</v>
      </c>
      <c r="E20" s="18">
        <v>0</v>
      </c>
      <c r="F20" s="18">
        <v>0</v>
      </c>
      <c r="G20" s="18">
        <v>72</v>
      </c>
      <c r="H20" s="19">
        <v>1</v>
      </c>
      <c r="I20" s="18">
        <v>5</v>
      </c>
      <c r="J20" s="18">
        <v>22</v>
      </c>
      <c r="K20" s="20">
        <v>111</v>
      </c>
      <c r="L20" s="18">
        <v>256</v>
      </c>
      <c r="M20" s="18">
        <v>237</v>
      </c>
      <c r="N20" s="18">
        <v>278</v>
      </c>
      <c r="O20" s="18">
        <v>85</v>
      </c>
      <c r="P20" s="18">
        <v>228</v>
      </c>
      <c r="Q20" s="17">
        <v>1</v>
      </c>
      <c r="R20" s="17">
        <v>2</v>
      </c>
      <c r="S20" s="17">
        <v>0</v>
      </c>
      <c r="T20" s="17">
        <v>2</v>
      </c>
      <c r="U20" s="17">
        <v>1</v>
      </c>
      <c r="V20" s="3">
        <v>8</v>
      </c>
      <c r="W20" s="20">
        <v>54</v>
      </c>
      <c r="X20" s="3">
        <v>8</v>
      </c>
      <c r="Y20" s="3">
        <v>5</v>
      </c>
      <c r="Z20" s="3">
        <v>0</v>
      </c>
      <c r="AA20" s="20">
        <v>840</v>
      </c>
      <c r="AB20" s="3"/>
      <c r="AC20" s="3"/>
      <c r="AD20" s="20"/>
      <c r="AE20" s="3"/>
      <c r="AF20" s="3"/>
      <c r="AG20" s="20"/>
      <c r="AH20" s="107" t="s">
        <v>85</v>
      </c>
      <c r="AI20" s="107"/>
      <c r="AJ20" s="107"/>
      <c r="AK20" s="107"/>
      <c r="AL20" s="108"/>
      <c r="AN20" s="67">
        <f t="shared" si="2"/>
        <v>-1.8868671377945816</v>
      </c>
      <c r="AO20" s="67">
        <f t="shared" si="2"/>
        <v>-0.27742455334644944</v>
      </c>
      <c r="AP20" s="67">
        <f t="shared" si="2"/>
        <v>-1.4315846703811701</v>
      </c>
      <c r="AY20" s="67">
        <f t="shared" si="0"/>
        <v>279.88686713779458</v>
      </c>
      <c r="AZ20" s="67">
        <f t="shared" si="1"/>
        <v>85.277424553346449</v>
      </c>
      <c r="BA20" s="67">
        <f t="shared" si="3"/>
        <v>229.43158467038117</v>
      </c>
      <c r="BC20">
        <f t="shared" si="4"/>
        <v>32.820745772253893</v>
      </c>
      <c r="BD20">
        <v>1013.2</v>
      </c>
      <c r="BE20">
        <f t="shared" si="5"/>
        <v>29.293868430343458</v>
      </c>
    </row>
    <row r="21" spans="1:57" x14ac:dyDescent="0.2">
      <c r="A21" s="13">
        <v>12</v>
      </c>
      <c r="B21" s="3">
        <v>21</v>
      </c>
      <c r="C21" s="17">
        <v>6</v>
      </c>
      <c r="D21" s="3">
        <v>4</v>
      </c>
      <c r="E21" s="18">
        <v>0</v>
      </c>
      <c r="F21" s="18">
        <v>0</v>
      </c>
      <c r="G21" s="18">
        <v>75</v>
      </c>
      <c r="H21" s="19">
        <v>2</v>
      </c>
      <c r="I21" s="18"/>
      <c r="J21" s="18"/>
      <c r="K21" s="20">
        <v>127</v>
      </c>
      <c r="L21" s="18">
        <v>260</v>
      </c>
      <c r="M21" s="18">
        <v>236</v>
      </c>
      <c r="N21" s="18">
        <v>273</v>
      </c>
      <c r="O21" s="18">
        <v>81</v>
      </c>
      <c r="P21" s="18">
        <v>225</v>
      </c>
      <c r="Q21" s="17">
        <v>1</v>
      </c>
      <c r="R21" s="17">
        <v>8</v>
      </c>
      <c r="S21" s="17">
        <v>0</v>
      </c>
      <c r="T21" s="17">
        <v>2</v>
      </c>
      <c r="U21" s="17">
        <v>1</v>
      </c>
      <c r="V21" s="3">
        <v>8</v>
      </c>
      <c r="W21" s="20">
        <v>63</v>
      </c>
      <c r="X21" s="3">
        <v>8</v>
      </c>
      <c r="Y21" s="3">
        <v>5</v>
      </c>
      <c r="Z21" s="3">
        <v>0</v>
      </c>
      <c r="AA21" s="20">
        <v>840</v>
      </c>
      <c r="AB21" s="3"/>
      <c r="AC21" s="3"/>
      <c r="AD21" s="20"/>
      <c r="AE21" s="3"/>
      <c r="AF21" s="3"/>
      <c r="AG21" s="20"/>
      <c r="AH21" s="107"/>
      <c r="AI21" s="107"/>
      <c r="AJ21" s="107"/>
      <c r="AK21" s="107"/>
      <c r="AL21" s="108"/>
      <c r="AN21" s="67">
        <f t="shared" si="2"/>
        <v>-1.6934733351532714</v>
      </c>
      <c r="AO21" s="67">
        <f t="shared" si="2"/>
        <v>-0.73245721782714668</v>
      </c>
      <c r="AP21" s="67">
        <f t="shared" si="2"/>
        <v>-1.3448472478338829</v>
      </c>
      <c r="AY21" s="67">
        <f t="shared" si="0"/>
        <v>274.69347333515327</v>
      </c>
      <c r="AZ21" s="67">
        <f t="shared" si="1"/>
        <v>81.732457217827147</v>
      </c>
      <c r="BA21" s="67">
        <f t="shared" si="3"/>
        <v>226.34484724783388</v>
      </c>
      <c r="BC21">
        <f t="shared" si="4"/>
        <v>33.608860260136439</v>
      </c>
      <c r="BD21">
        <v>1013.2</v>
      </c>
      <c r="BE21">
        <f t="shared" si="5"/>
        <v>29.117813358347327</v>
      </c>
    </row>
    <row r="22" spans="1:57" x14ac:dyDescent="0.2">
      <c r="A22" s="13">
        <v>13</v>
      </c>
      <c r="B22" s="3">
        <v>21</v>
      </c>
      <c r="C22" s="17">
        <v>2</v>
      </c>
      <c r="D22" s="3">
        <v>4</v>
      </c>
      <c r="E22" s="18">
        <v>6</v>
      </c>
      <c r="F22" s="18">
        <v>4</v>
      </c>
      <c r="G22" s="18">
        <v>74</v>
      </c>
      <c r="H22" s="19">
        <v>1</v>
      </c>
      <c r="I22" s="18">
        <v>5</v>
      </c>
      <c r="J22" s="18">
        <v>0</v>
      </c>
      <c r="K22" s="20">
        <v>133</v>
      </c>
      <c r="L22" s="18">
        <v>265</v>
      </c>
      <c r="M22" s="18">
        <v>240</v>
      </c>
      <c r="N22" s="18">
        <v>278</v>
      </c>
      <c r="O22" s="18">
        <v>80</v>
      </c>
      <c r="P22" s="18">
        <v>228</v>
      </c>
      <c r="Q22" s="17">
        <v>1</v>
      </c>
      <c r="R22" s="17">
        <v>2</v>
      </c>
      <c r="S22" s="17">
        <v>0</v>
      </c>
      <c r="T22" s="17">
        <v>1</v>
      </c>
      <c r="U22" s="17">
        <v>1</v>
      </c>
      <c r="V22" s="3">
        <v>8</v>
      </c>
      <c r="W22" s="20">
        <v>54</v>
      </c>
      <c r="X22" s="3">
        <v>8</v>
      </c>
      <c r="Y22" s="3"/>
      <c r="Z22" s="3"/>
      <c r="AA22" s="20"/>
      <c r="AB22" s="3"/>
      <c r="AC22" s="3"/>
      <c r="AD22" s="20"/>
      <c r="AE22" s="3"/>
      <c r="AF22" s="3"/>
      <c r="AG22" s="20"/>
      <c r="AH22" s="107" t="s">
        <v>85</v>
      </c>
      <c r="AI22" s="107"/>
      <c r="AJ22" s="107"/>
      <c r="AK22" s="107"/>
      <c r="AL22" s="108"/>
      <c r="AN22" s="67">
        <f t="shared" si="2"/>
        <v>-3.097185863020627</v>
      </c>
      <c r="AO22" s="67">
        <f t="shared" si="2"/>
        <v>-1.2014859909995153</v>
      </c>
      <c r="AP22" s="67">
        <f t="shared" si="2"/>
        <v>-2.1437315896329778</v>
      </c>
      <c r="AY22" s="67">
        <f t="shared" si="0"/>
        <v>281.09718586302063</v>
      </c>
      <c r="AZ22" s="67">
        <f t="shared" si="1"/>
        <v>81.201485990999515</v>
      </c>
      <c r="BA22" s="67">
        <f t="shared" si="3"/>
        <v>230.14373158963298</v>
      </c>
      <c r="BC22">
        <f t="shared" si="4"/>
        <v>34.617246523564582</v>
      </c>
      <c r="BD22">
        <v>1013.2</v>
      </c>
      <c r="BE22">
        <f t="shared" si="5"/>
        <v>29.827639714302066</v>
      </c>
    </row>
    <row r="23" spans="1:57" x14ac:dyDescent="0.2">
      <c r="A23" s="13">
        <v>14</v>
      </c>
      <c r="B23" s="3">
        <v>21</v>
      </c>
      <c r="C23" s="17">
        <v>5</v>
      </c>
      <c r="D23" s="3">
        <v>4</v>
      </c>
      <c r="E23" s="18">
        <v>7</v>
      </c>
      <c r="F23" s="18">
        <v>6</v>
      </c>
      <c r="G23" s="18">
        <v>74</v>
      </c>
      <c r="H23" s="19">
        <v>1</v>
      </c>
      <c r="I23" s="18">
        <v>6</v>
      </c>
      <c r="J23" s="18">
        <v>22</v>
      </c>
      <c r="K23" s="20">
        <v>125</v>
      </c>
      <c r="L23" s="18">
        <v>262</v>
      </c>
      <c r="M23" s="18">
        <v>236</v>
      </c>
      <c r="N23" s="18">
        <v>272</v>
      </c>
      <c r="O23" s="18">
        <v>80</v>
      </c>
      <c r="P23" s="18">
        <v>224</v>
      </c>
      <c r="Q23" s="17">
        <v>1</v>
      </c>
      <c r="R23" s="17">
        <v>8</v>
      </c>
      <c r="S23" s="17">
        <v>0</v>
      </c>
      <c r="T23" s="17">
        <v>1</v>
      </c>
      <c r="U23" s="17">
        <v>1</v>
      </c>
      <c r="V23" s="3">
        <v>8</v>
      </c>
      <c r="W23" s="20">
        <v>54</v>
      </c>
      <c r="X23" s="3">
        <v>8</v>
      </c>
      <c r="Y23" s="3">
        <v>5</v>
      </c>
      <c r="Z23" s="3">
        <v>0</v>
      </c>
      <c r="AA23" s="20">
        <v>840</v>
      </c>
      <c r="AB23" s="3"/>
      <c r="AC23" s="3"/>
      <c r="AD23" s="20"/>
      <c r="AE23" s="3"/>
      <c r="AF23" s="3"/>
      <c r="AG23" s="20"/>
      <c r="AH23" s="107" t="s">
        <v>85</v>
      </c>
      <c r="AI23" s="107"/>
      <c r="AJ23" s="107"/>
      <c r="AK23" s="107"/>
      <c r="AL23" s="108"/>
      <c r="AN23" s="67">
        <f t="shared" si="2"/>
        <v>-1.3197516477932822</v>
      </c>
      <c r="AO23" s="67">
        <f t="shared" si="2"/>
        <v>-0.3666796177013083</v>
      </c>
      <c r="AP23" s="67">
        <f t="shared" si="2"/>
        <v>-1.5198153192774271</v>
      </c>
      <c r="AY23" s="67">
        <f t="shared" si="0"/>
        <v>273.31975164779328</v>
      </c>
      <c r="AZ23" s="67">
        <f t="shared" si="1"/>
        <v>80.366679617701308</v>
      </c>
      <c r="BA23" s="67">
        <f t="shared" si="3"/>
        <v>225.51981531927743</v>
      </c>
      <c r="BC23">
        <f t="shared" si="4"/>
        <v>34.009088461531107</v>
      </c>
      <c r="BD23">
        <v>1013.2</v>
      </c>
      <c r="BE23">
        <f t="shared" si="5"/>
        <v>29.117813358347327</v>
      </c>
    </row>
    <row r="24" spans="1:57" x14ac:dyDescent="0.2">
      <c r="A24" s="13">
        <v>15</v>
      </c>
      <c r="B24" s="3">
        <v>21</v>
      </c>
      <c r="C24" s="17">
        <v>2</v>
      </c>
      <c r="D24" s="3">
        <v>4</v>
      </c>
      <c r="E24" s="18">
        <v>0</v>
      </c>
      <c r="F24" s="18">
        <v>0</v>
      </c>
      <c r="G24" s="18">
        <v>78</v>
      </c>
      <c r="H24" s="19">
        <v>2</v>
      </c>
      <c r="I24" s="18"/>
      <c r="J24" s="18"/>
      <c r="K24" s="20">
        <v>126</v>
      </c>
      <c r="L24" s="18">
        <v>259</v>
      </c>
      <c r="M24" s="18">
        <v>229</v>
      </c>
      <c r="N24" s="18">
        <v>255</v>
      </c>
      <c r="O24" s="18">
        <v>76</v>
      </c>
      <c r="P24" s="18">
        <v>214</v>
      </c>
      <c r="Q24" s="17">
        <v>1</v>
      </c>
      <c r="R24" s="17">
        <v>1</v>
      </c>
      <c r="S24" s="17">
        <v>0</v>
      </c>
      <c r="T24" s="17">
        <v>1</v>
      </c>
      <c r="U24" s="17">
        <v>1</v>
      </c>
      <c r="V24" s="3">
        <v>8</v>
      </c>
      <c r="W24" s="20">
        <v>66</v>
      </c>
      <c r="X24" s="3">
        <v>8</v>
      </c>
      <c r="Y24" s="3"/>
      <c r="Z24" s="3"/>
      <c r="AA24" s="20"/>
      <c r="AB24" s="3"/>
      <c r="AC24" s="3"/>
      <c r="AD24" s="20"/>
      <c r="AE24" s="3"/>
      <c r="AF24" s="3"/>
      <c r="AG24" s="20"/>
      <c r="AH24" s="107"/>
      <c r="AI24" s="107"/>
      <c r="AJ24" s="107"/>
      <c r="AK24" s="107"/>
      <c r="AL24" s="108"/>
      <c r="AN24" s="67">
        <f t="shared" si="2"/>
        <v>-3.5219614929621912</v>
      </c>
      <c r="AO24" s="67">
        <f t="shared" si="2"/>
        <v>-1.377932858675706</v>
      </c>
      <c r="AP24" s="67">
        <f t="shared" si="2"/>
        <v>-2.3942063083692631</v>
      </c>
      <c r="AY24" s="67">
        <f t="shared" si="0"/>
        <v>258.52196149296219</v>
      </c>
      <c r="AZ24" s="67">
        <f t="shared" si="1"/>
        <v>77.377932858675706</v>
      </c>
      <c r="BA24" s="67">
        <f t="shared" si="3"/>
        <v>216.39420630836926</v>
      </c>
      <c r="BC24">
        <f t="shared" si="4"/>
        <v>33.410295667258367</v>
      </c>
      <c r="BD24">
        <v>1013.2</v>
      </c>
      <c r="BE24">
        <f t="shared" si="5"/>
        <v>27.911163740856217</v>
      </c>
    </row>
    <row r="25" spans="1:57" x14ac:dyDescent="0.2">
      <c r="A25" s="13">
        <v>16</v>
      </c>
      <c r="B25" s="3">
        <v>21</v>
      </c>
      <c r="C25" s="17">
        <v>5</v>
      </c>
      <c r="D25" s="3">
        <v>4</v>
      </c>
      <c r="E25" s="18">
        <v>7</v>
      </c>
      <c r="F25" s="18">
        <v>6</v>
      </c>
      <c r="G25" s="18">
        <v>75</v>
      </c>
      <c r="H25" s="19">
        <v>2</v>
      </c>
      <c r="I25" s="18"/>
      <c r="J25" s="18"/>
      <c r="K25" s="20">
        <v>141</v>
      </c>
      <c r="L25" s="18">
        <v>265</v>
      </c>
      <c r="M25" s="18">
        <v>234</v>
      </c>
      <c r="N25" s="18">
        <v>264</v>
      </c>
      <c r="O25" s="18">
        <v>76</v>
      </c>
      <c r="P25" s="18">
        <v>219</v>
      </c>
      <c r="Q25" s="17">
        <v>2</v>
      </c>
      <c r="R25" s="17">
        <v>8</v>
      </c>
      <c r="S25" s="17">
        <v>0</v>
      </c>
      <c r="T25" s="17">
        <v>2</v>
      </c>
      <c r="U25" s="17">
        <v>2</v>
      </c>
      <c r="V25" s="3">
        <v>8</v>
      </c>
      <c r="W25" s="20">
        <v>54</v>
      </c>
      <c r="X25" s="3">
        <v>8</v>
      </c>
      <c r="Y25" s="3">
        <v>5</v>
      </c>
      <c r="Z25" s="3">
        <v>0</v>
      </c>
      <c r="AA25" s="20">
        <v>840</v>
      </c>
      <c r="AB25" s="3"/>
      <c r="AC25" s="3"/>
      <c r="AD25" s="20"/>
      <c r="AE25" s="3"/>
      <c r="AF25" s="3"/>
      <c r="AG25" s="20"/>
      <c r="AH25" s="107"/>
      <c r="AI25" s="107"/>
      <c r="AJ25" s="107"/>
      <c r="AK25" s="107"/>
      <c r="AL25" s="108"/>
      <c r="AN25" s="67">
        <f t="shared" si="2"/>
        <v>-2.3968943044957314</v>
      </c>
      <c r="AO25" s="67">
        <f t="shared" si="2"/>
        <v>-0.95496351021290593</v>
      </c>
      <c r="AP25" s="67">
        <f t="shared" si="2"/>
        <v>-2.3059324485792558</v>
      </c>
      <c r="AY25" s="67">
        <f t="shared" si="0"/>
        <v>266.39689430449573</v>
      </c>
      <c r="AZ25" s="67">
        <f t="shared" si="1"/>
        <v>76.954963510212906</v>
      </c>
      <c r="BA25" s="67">
        <f t="shared" si="3"/>
        <v>221.30593244857926</v>
      </c>
      <c r="BC25">
        <f t="shared" si="4"/>
        <v>34.617246523564582</v>
      </c>
      <c r="BD25">
        <v>1013.2</v>
      </c>
      <c r="BE25">
        <f t="shared" si="5"/>
        <v>28.768481254201571</v>
      </c>
    </row>
    <row r="26" spans="1:57" x14ac:dyDescent="0.2">
      <c r="A26" s="13">
        <v>17</v>
      </c>
      <c r="B26" s="3">
        <v>21</v>
      </c>
      <c r="C26" s="17">
        <v>8</v>
      </c>
      <c r="D26" s="3">
        <v>4</v>
      </c>
      <c r="E26" s="18">
        <v>10</v>
      </c>
      <c r="F26" s="18">
        <v>3</v>
      </c>
      <c r="G26" s="18">
        <v>70</v>
      </c>
      <c r="H26" s="19">
        <v>1</v>
      </c>
      <c r="I26" s="18">
        <v>5</v>
      </c>
      <c r="J26" s="18">
        <v>22</v>
      </c>
      <c r="K26" s="20">
        <v>148</v>
      </c>
      <c r="L26" s="18">
        <v>251</v>
      </c>
      <c r="M26" s="18">
        <v>241</v>
      </c>
      <c r="N26" s="18">
        <v>294</v>
      </c>
      <c r="O26" s="18">
        <v>91</v>
      </c>
      <c r="P26" s="18">
        <v>237</v>
      </c>
      <c r="Q26" s="17">
        <v>6</v>
      </c>
      <c r="R26" s="17">
        <v>8</v>
      </c>
      <c r="S26" s="17">
        <v>4</v>
      </c>
      <c r="T26" s="17">
        <v>2</v>
      </c>
      <c r="U26" s="17">
        <v>3</v>
      </c>
      <c r="V26" s="3">
        <v>8</v>
      </c>
      <c r="W26" s="20">
        <v>48</v>
      </c>
      <c r="X26" s="3">
        <v>8</v>
      </c>
      <c r="Y26" s="3">
        <v>6</v>
      </c>
      <c r="Z26" s="3">
        <v>6</v>
      </c>
      <c r="AA26" s="20">
        <v>105</v>
      </c>
      <c r="AB26" s="3"/>
      <c r="AC26" s="3"/>
      <c r="AD26" s="20"/>
      <c r="AE26" s="3"/>
      <c r="AF26" s="3"/>
      <c r="AG26" s="20"/>
      <c r="AH26" s="107" t="s">
        <v>85</v>
      </c>
      <c r="AI26" s="107"/>
      <c r="AJ26" s="107"/>
      <c r="AK26" s="107"/>
      <c r="AL26" s="108"/>
      <c r="AN26" s="67">
        <f t="shared" si="2"/>
        <v>0.79799214990885048</v>
      </c>
      <c r="AO26" s="67">
        <f t="shared" si="2"/>
        <v>-1.0329477608319877</v>
      </c>
      <c r="AP26" s="67">
        <f t="shared" si="2"/>
        <v>-0.12213299744661299</v>
      </c>
      <c r="AY26" s="67">
        <f t="shared" si="0"/>
        <v>293.20200785009115</v>
      </c>
      <c r="AZ26" s="67">
        <f t="shared" si="1"/>
        <v>92.032947760831988</v>
      </c>
      <c r="BA26" s="67">
        <f t="shared" si="3"/>
        <v>237.12213299744661</v>
      </c>
      <c r="BC26">
        <f t="shared" si="4"/>
        <v>31.858374091422295</v>
      </c>
      <c r="BD26">
        <v>1013.2</v>
      </c>
      <c r="BE26">
        <f t="shared" si="5"/>
        <v>30.007446138089119</v>
      </c>
    </row>
    <row r="27" spans="1:57" x14ac:dyDescent="0.2">
      <c r="A27" s="13">
        <v>18</v>
      </c>
      <c r="B27" s="3">
        <v>21</v>
      </c>
      <c r="C27" s="17">
        <v>5</v>
      </c>
      <c r="D27" s="3">
        <v>4</v>
      </c>
      <c r="E27" s="18">
        <v>8</v>
      </c>
      <c r="F27" s="18">
        <v>10</v>
      </c>
      <c r="G27" s="18">
        <v>70</v>
      </c>
      <c r="H27" s="19">
        <v>1</v>
      </c>
      <c r="I27" s="18">
        <v>6</v>
      </c>
      <c r="J27" s="18">
        <v>22</v>
      </c>
      <c r="K27" s="20">
        <v>149</v>
      </c>
      <c r="L27" s="18">
        <v>268</v>
      </c>
      <c r="M27" s="18">
        <v>249</v>
      </c>
      <c r="N27" s="18">
        <v>300</v>
      </c>
      <c r="O27" s="18">
        <v>85</v>
      </c>
      <c r="P27" s="18">
        <v>241</v>
      </c>
      <c r="Q27" s="17">
        <v>3</v>
      </c>
      <c r="R27" s="17">
        <v>8</v>
      </c>
      <c r="S27" s="17">
        <v>0</v>
      </c>
      <c r="T27" s="17">
        <v>2</v>
      </c>
      <c r="U27" s="17">
        <v>2</v>
      </c>
      <c r="V27" s="3">
        <v>8</v>
      </c>
      <c r="W27" s="20">
        <v>54</v>
      </c>
      <c r="X27" s="3">
        <v>8</v>
      </c>
      <c r="Y27" s="3"/>
      <c r="Z27" s="3"/>
      <c r="AA27" s="20"/>
      <c r="AB27" s="3"/>
      <c r="AC27" s="3"/>
      <c r="AD27" s="20"/>
      <c r="AE27" s="3"/>
      <c r="AF27" s="3"/>
      <c r="AG27" s="20"/>
      <c r="AH27" s="107" t="s">
        <v>85</v>
      </c>
      <c r="AI27" s="107"/>
      <c r="AJ27" s="107"/>
      <c r="AK27" s="107"/>
      <c r="AL27" s="108"/>
      <c r="AN27" s="67">
        <f t="shared" si="2"/>
        <v>-1.7346108820595418</v>
      </c>
      <c r="AO27" s="67">
        <f t="shared" si="2"/>
        <v>-0.63517036362914325</v>
      </c>
      <c r="AP27" s="67">
        <f t="shared" si="2"/>
        <v>-0.89107570414623183</v>
      </c>
      <c r="AY27" s="67">
        <f t="shared" si="0"/>
        <v>301.73461088205954</v>
      </c>
      <c r="AZ27" s="67">
        <f t="shared" si="1"/>
        <v>85.635170363629143</v>
      </c>
      <c r="BA27" s="67">
        <f t="shared" si="3"/>
        <v>241.89107570414623</v>
      </c>
      <c r="BC27">
        <f t="shared" si="4"/>
        <v>35.234893514056914</v>
      </c>
      <c r="BD27">
        <v>1013.2</v>
      </c>
      <c r="BE27">
        <f t="shared" si="5"/>
        <v>31.480396167633955</v>
      </c>
    </row>
    <row r="28" spans="1:57" x14ac:dyDescent="0.2">
      <c r="A28" s="13">
        <v>19</v>
      </c>
      <c r="B28" s="3">
        <v>21</v>
      </c>
      <c r="C28" s="17">
        <v>5</v>
      </c>
      <c r="D28" s="3">
        <v>4</v>
      </c>
      <c r="E28" s="18">
        <v>8</v>
      </c>
      <c r="F28" s="18">
        <v>15</v>
      </c>
      <c r="G28" s="18">
        <v>72</v>
      </c>
      <c r="H28" s="19">
        <v>1</v>
      </c>
      <c r="I28" s="18">
        <v>5</v>
      </c>
      <c r="J28" s="18">
        <v>22</v>
      </c>
      <c r="K28" s="20">
        <v>133</v>
      </c>
      <c r="L28" s="18">
        <v>278</v>
      </c>
      <c r="M28" s="18">
        <v>250</v>
      </c>
      <c r="N28" s="18">
        <v>295</v>
      </c>
      <c r="O28" s="18">
        <v>79</v>
      </c>
      <c r="P28" s="18">
        <v>238</v>
      </c>
      <c r="Q28" s="17">
        <v>2</v>
      </c>
      <c r="R28" s="17">
        <v>8</v>
      </c>
      <c r="S28" s="17">
        <v>0</v>
      </c>
      <c r="T28" s="17">
        <v>1</v>
      </c>
      <c r="U28" s="17">
        <v>2</v>
      </c>
      <c r="V28" s="3">
        <v>8</v>
      </c>
      <c r="W28" s="20">
        <v>57</v>
      </c>
      <c r="X28" s="3">
        <v>8</v>
      </c>
      <c r="Y28" s="3">
        <v>4</v>
      </c>
      <c r="Z28" s="3">
        <v>0</v>
      </c>
      <c r="AA28" s="20">
        <v>870</v>
      </c>
      <c r="AB28" s="3"/>
      <c r="AC28" s="3"/>
      <c r="AD28" s="20"/>
      <c r="AE28" s="3"/>
      <c r="AF28" s="3"/>
      <c r="AG28" s="20"/>
      <c r="AH28" s="107" t="s">
        <v>85</v>
      </c>
      <c r="AI28" s="107"/>
      <c r="AJ28" s="107"/>
      <c r="AK28" s="107"/>
      <c r="AL28" s="108"/>
      <c r="AN28" s="67">
        <f t="shared" si="2"/>
        <v>-2.4266669361599611</v>
      </c>
      <c r="AO28" s="67">
        <f t="shared" si="2"/>
        <v>-0.60276291281019212</v>
      </c>
      <c r="AP28" s="67">
        <f t="shared" si="2"/>
        <v>-1.4983038224681309</v>
      </c>
      <c r="AY28" s="67">
        <f t="shared" si="0"/>
        <v>297.42666693615996</v>
      </c>
      <c r="AZ28" s="67">
        <f t="shared" si="1"/>
        <v>79.602762912810192</v>
      </c>
      <c r="BA28" s="67">
        <f t="shared" si="3"/>
        <v>239.49830382246813</v>
      </c>
      <c r="BC28">
        <f t="shared" si="4"/>
        <v>37.363862264672235</v>
      </c>
      <c r="BD28">
        <v>1013.2</v>
      </c>
      <c r="BE28">
        <f t="shared" si="5"/>
        <v>31.668891609615997</v>
      </c>
    </row>
    <row r="29" spans="1:57" x14ac:dyDescent="0.2">
      <c r="A29" s="13">
        <v>20</v>
      </c>
      <c r="B29" s="3">
        <v>21</v>
      </c>
      <c r="C29" s="17">
        <v>5</v>
      </c>
      <c r="D29" s="3">
        <v>4</v>
      </c>
      <c r="E29" s="18">
        <v>9</v>
      </c>
      <c r="F29" s="18">
        <v>10</v>
      </c>
      <c r="G29" s="18">
        <v>68</v>
      </c>
      <c r="H29" s="19">
        <v>1</v>
      </c>
      <c r="I29" s="18">
        <v>5</v>
      </c>
      <c r="J29" s="18">
        <v>22</v>
      </c>
      <c r="K29" s="20">
        <v>121</v>
      </c>
      <c r="L29" s="18">
        <v>263</v>
      </c>
      <c r="M29" s="18">
        <v>247</v>
      </c>
      <c r="N29" s="18">
        <v>299</v>
      </c>
      <c r="O29" s="18">
        <v>87</v>
      </c>
      <c r="P29" s="18">
        <v>240</v>
      </c>
      <c r="Q29" s="17">
        <v>2</v>
      </c>
      <c r="R29" s="17">
        <v>2</v>
      </c>
      <c r="S29" s="17">
        <v>0</v>
      </c>
      <c r="T29" s="17">
        <v>1</v>
      </c>
      <c r="U29" s="17">
        <v>2</v>
      </c>
      <c r="V29" s="3">
        <v>8</v>
      </c>
      <c r="W29" s="20">
        <v>54</v>
      </c>
      <c r="X29" s="3">
        <v>8</v>
      </c>
      <c r="Y29" s="3">
        <v>4</v>
      </c>
      <c r="Z29" s="3">
        <v>0</v>
      </c>
      <c r="AA29" s="20">
        <v>900</v>
      </c>
      <c r="AB29" s="3"/>
      <c r="AC29" s="3"/>
      <c r="AD29" s="20"/>
      <c r="AE29" s="3"/>
      <c r="AF29" s="3"/>
      <c r="AG29" s="20"/>
      <c r="AH29" s="107" t="s">
        <v>85</v>
      </c>
      <c r="AI29" s="107"/>
      <c r="AJ29" s="107"/>
      <c r="AK29" s="107"/>
      <c r="AL29" s="108"/>
      <c r="AN29" s="67">
        <f t="shared" si="2"/>
        <v>-1.060181569230167</v>
      </c>
      <c r="AO29" s="67">
        <f t="shared" si="2"/>
        <v>-0.70929715702705209</v>
      </c>
      <c r="AP29" s="67">
        <f t="shared" si="2"/>
        <v>-0.96461914346451749</v>
      </c>
      <c r="AY29" s="67">
        <f t="shared" si="0"/>
        <v>300.06018156923017</v>
      </c>
      <c r="AZ29" s="67">
        <f t="shared" si="1"/>
        <v>87.709297157027052</v>
      </c>
      <c r="BA29" s="67">
        <f t="shared" si="3"/>
        <v>240.96461914346452</v>
      </c>
      <c r="BC29">
        <f t="shared" si="4"/>
        <v>34.210761150215198</v>
      </c>
      <c r="BD29">
        <v>1013.2</v>
      </c>
      <c r="BE29">
        <f t="shared" si="5"/>
        <v>31.106348979899021</v>
      </c>
    </row>
    <row r="30" spans="1:57" x14ac:dyDescent="0.2">
      <c r="A30" s="13">
        <v>21</v>
      </c>
      <c r="B30" s="3">
        <v>21</v>
      </c>
      <c r="C30" s="17">
        <v>6</v>
      </c>
      <c r="D30" s="3">
        <v>4</v>
      </c>
      <c r="E30" s="18">
        <v>8</v>
      </c>
      <c r="F30" s="18">
        <v>11</v>
      </c>
      <c r="G30" s="18">
        <v>70</v>
      </c>
      <c r="H30" s="19">
        <v>1</v>
      </c>
      <c r="I30" s="18">
        <v>5</v>
      </c>
      <c r="J30" s="18">
        <v>22</v>
      </c>
      <c r="K30" s="20">
        <v>125</v>
      </c>
      <c r="L30" s="18">
        <v>274</v>
      </c>
      <c r="M30" s="18">
        <v>252</v>
      </c>
      <c r="N30" s="18">
        <v>305</v>
      </c>
      <c r="O30" s="18">
        <v>83</v>
      </c>
      <c r="P30" s="18">
        <v>243</v>
      </c>
      <c r="Q30" s="17">
        <v>3</v>
      </c>
      <c r="R30" s="17">
        <v>2</v>
      </c>
      <c r="S30" s="17">
        <v>0</v>
      </c>
      <c r="T30" s="17">
        <v>2</v>
      </c>
      <c r="U30" s="17">
        <v>3</v>
      </c>
      <c r="V30" s="3">
        <v>8</v>
      </c>
      <c r="W30" s="20">
        <v>54</v>
      </c>
      <c r="X30" s="3">
        <v>8</v>
      </c>
      <c r="Y30" s="3">
        <v>4</v>
      </c>
      <c r="Z30" s="3">
        <v>0</v>
      </c>
      <c r="AA30" s="20">
        <v>840</v>
      </c>
      <c r="AB30" s="3"/>
      <c r="AC30" s="3"/>
      <c r="AD30" s="20"/>
      <c r="AE30" s="3"/>
      <c r="AF30" s="3"/>
      <c r="AG30" s="20"/>
      <c r="AH30" s="107" t="s">
        <v>85</v>
      </c>
      <c r="AI30" s="107"/>
      <c r="AJ30" s="107"/>
      <c r="AK30" s="107"/>
      <c r="AL30" s="108"/>
      <c r="AN30" s="67">
        <f t="shared" si="2"/>
        <v>-0.35047185934587333</v>
      </c>
      <c r="AO30" s="67">
        <f t="shared" si="2"/>
        <v>-0.65959928708502957</v>
      </c>
      <c r="AP30" s="67">
        <f t="shared" si="2"/>
        <v>-0.87646266512268767</v>
      </c>
      <c r="AY30" s="67">
        <f t="shared" si="0"/>
        <v>305.35047185934587</v>
      </c>
      <c r="AZ30" s="67">
        <f t="shared" si="1"/>
        <v>83.65959928708503</v>
      </c>
      <c r="BA30" s="67">
        <f t="shared" si="3"/>
        <v>243.87646266512269</v>
      </c>
      <c r="BC30">
        <f t="shared" si="4"/>
        <v>36.499155441984577</v>
      </c>
      <c r="BD30">
        <v>1013.2</v>
      </c>
      <c r="BE30">
        <f t="shared" si="5"/>
        <v>32.048847988206589</v>
      </c>
    </row>
    <row r="31" spans="1:57" x14ac:dyDescent="0.2">
      <c r="A31" s="13">
        <v>22</v>
      </c>
      <c r="B31" s="3">
        <v>21</v>
      </c>
      <c r="C31" s="17">
        <v>2</v>
      </c>
      <c r="D31" s="3">
        <v>4</v>
      </c>
      <c r="E31" s="18">
        <v>7</v>
      </c>
      <c r="F31" s="18">
        <v>7</v>
      </c>
      <c r="G31" s="18">
        <v>72</v>
      </c>
      <c r="H31" s="19">
        <v>1</v>
      </c>
      <c r="I31" s="18">
        <v>5</v>
      </c>
      <c r="J31" s="18">
        <v>0</v>
      </c>
      <c r="K31" s="20">
        <v>127</v>
      </c>
      <c r="L31" s="18">
        <v>265</v>
      </c>
      <c r="M31" s="18">
        <v>238</v>
      </c>
      <c r="N31" s="18">
        <v>273</v>
      </c>
      <c r="O31" s="18">
        <v>79</v>
      </c>
      <c r="P31" s="18">
        <v>225</v>
      </c>
      <c r="Q31" s="17">
        <v>2</v>
      </c>
      <c r="R31" s="17">
        <v>8</v>
      </c>
      <c r="S31" s="17">
        <v>0</v>
      </c>
      <c r="T31" s="17">
        <v>0</v>
      </c>
      <c r="U31" s="17">
        <v>2</v>
      </c>
      <c r="V31" s="3">
        <v>8</v>
      </c>
      <c r="W31" s="20">
        <v>57</v>
      </c>
      <c r="X31" s="3">
        <v>8</v>
      </c>
      <c r="Y31" s="3"/>
      <c r="Z31" s="3"/>
      <c r="AA31" s="20"/>
      <c r="AB31" s="3"/>
      <c r="AC31" s="3"/>
      <c r="AD31" s="20"/>
      <c r="AE31" s="3"/>
      <c r="AF31" s="3"/>
      <c r="AG31" s="20"/>
      <c r="AH31" s="107" t="s">
        <v>85</v>
      </c>
      <c r="AI31" s="107"/>
      <c r="AJ31" s="107"/>
      <c r="AK31" s="107"/>
      <c r="AL31" s="108"/>
      <c r="AN31" s="67">
        <f t="shared" si="2"/>
        <v>-3.159155118008357</v>
      </c>
      <c r="AO31" s="67">
        <f t="shared" si="2"/>
        <v>-0.77502050315349891</v>
      </c>
      <c r="AP31" s="67">
        <f t="shared" si="2"/>
        <v>-2.2211315832397815</v>
      </c>
      <c r="AY31" s="67">
        <f t="shared" si="0"/>
        <v>276.15915511800836</v>
      </c>
      <c r="AZ31" s="67">
        <f t="shared" si="1"/>
        <v>79.775020503153499</v>
      </c>
      <c r="BA31" s="67">
        <f t="shared" si="3"/>
        <v>227.22113158323978</v>
      </c>
      <c r="BC31">
        <f t="shared" si="4"/>
        <v>34.617246523564582</v>
      </c>
      <c r="BD31">
        <v>1013.2</v>
      </c>
      <c r="BE31">
        <f t="shared" si="5"/>
        <v>29.470855059888834</v>
      </c>
    </row>
    <row r="32" spans="1:57" x14ac:dyDescent="0.2">
      <c r="A32" s="13">
        <v>23</v>
      </c>
      <c r="B32" s="3">
        <v>21</v>
      </c>
      <c r="C32" s="17">
        <v>6</v>
      </c>
      <c r="D32" s="3">
        <v>4</v>
      </c>
      <c r="E32" s="18">
        <v>7</v>
      </c>
      <c r="F32" s="18">
        <v>5</v>
      </c>
      <c r="G32" s="18">
        <v>78</v>
      </c>
      <c r="H32" s="19">
        <v>2</v>
      </c>
      <c r="I32" s="18"/>
      <c r="J32" s="18"/>
      <c r="K32" s="20">
        <v>120</v>
      </c>
      <c r="L32" s="18">
        <v>260</v>
      </c>
      <c r="M32" s="18">
        <v>240</v>
      </c>
      <c r="N32" s="18">
        <v>283</v>
      </c>
      <c r="O32" s="18">
        <v>84</v>
      </c>
      <c r="P32" s="18">
        <v>231</v>
      </c>
      <c r="Q32" s="17">
        <v>2</v>
      </c>
      <c r="R32" s="17">
        <v>2</v>
      </c>
      <c r="S32" s="17">
        <v>0</v>
      </c>
      <c r="T32" s="17">
        <v>2</v>
      </c>
      <c r="U32" s="17">
        <v>2</v>
      </c>
      <c r="V32" s="3">
        <v>8</v>
      </c>
      <c r="W32" s="20">
        <v>60</v>
      </c>
      <c r="X32" s="3">
        <v>8</v>
      </c>
      <c r="Y32" s="3">
        <v>6</v>
      </c>
      <c r="Z32" s="3">
        <v>0</v>
      </c>
      <c r="AA32" s="20">
        <v>840</v>
      </c>
      <c r="AB32" s="3"/>
      <c r="AC32" s="3"/>
      <c r="AD32" s="20"/>
      <c r="AE32" s="3"/>
      <c r="AF32" s="3"/>
      <c r="AG32" s="20"/>
      <c r="AH32" s="107"/>
      <c r="AI32" s="107"/>
      <c r="AJ32" s="107"/>
      <c r="AK32" s="107"/>
      <c r="AL32" s="108"/>
      <c r="AN32" s="67">
        <f t="shared" si="2"/>
        <v>-1.5330281190206847</v>
      </c>
      <c r="AO32" s="67">
        <f t="shared" si="2"/>
        <v>-0.66012412105094143</v>
      </c>
      <c r="AP32" s="67">
        <f t="shared" si="2"/>
        <v>-1.1508299243794795</v>
      </c>
      <c r="AY32" s="67">
        <f t="shared" si="0"/>
        <v>284.53302811902068</v>
      </c>
      <c r="AZ32" s="67">
        <f t="shared" si="1"/>
        <v>84.660124121050941</v>
      </c>
      <c r="BA32" s="67">
        <f t="shared" si="3"/>
        <v>232.15082992437948</v>
      </c>
      <c r="BC32">
        <f t="shared" si="4"/>
        <v>33.608860260136439</v>
      </c>
      <c r="BD32">
        <v>1013.2</v>
      </c>
      <c r="BE32">
        <f t="shared" si="5"/>
        <v>29.827639714302066</v>
      </c>
    </row>
    <row r="33" spans="1:57" x14ac:dyDescent="0.2">
      <c r="A33" s="13">
        <v>24</v>
      </c>
      <c r="B33" s="3">
        <v>21</v>
      </c>
      <c r="C33" s="17">
        <v>7</v>
      </c>
      <c r="D33" s="3">
        <v>4</v>
      </c>
      <c r="E33" s="18">
        <v>8</v>
      </c>
      <c r="F33" s="18">
        <v>10</v>
      </c>
      <c r="G33" s="18">
        <v>63</v>
      </c>
      <c r="H33" s="19">
        <v>1</v>
      </c>
      <c r="I33" s="18">
        <v>15</v>
      </c>
      <c r="J33" s="18">
        <v>22</v>
      </c>
      <c r="K33" s="20">
        <v>126</v>
      </c>
      <c r="L33" s="18">
        <v>250</v>
      </c>
      <c r="M33" s="18">
        <v>233</v>
      </c>
      <c r="N33" s="18">
        <v>270</v>
      </c>
      <c r="O33" s="18">
        <v>84</v>
      </c>
      <c r="P33" s="18">
        <v>225</v>
      </c>
      <c r="Q33" s="17">
        <v>7</v>
      </c>
      <c r="R33" s="17">
        <v>8</v>
      </c>
      <c r="S33" s="17" t="s">
        <v>89</v>
      </c>
      <c r="T33" s="17" t="s">
        <v>89</v>
      </c>
      <c r="U33" s="17">
        <v>5</v>
      </c>
      <c r="V33" s="3">
        <v>8</v>
      </c>
      <c r="W33" s="20">
        <v>42</v>
      </c>
      <c r="X33" s="3">
        <v>8</v>
      </c>
      <c r="Y33" s="3">
        <v>6</v>
      </c>
      <c r="Z33" s="3">
        <v>6</v>
      </c>
      <c r="AA33" s="20">
        <v>105</v>
      </c>
      <c r="AB33" s="3"/>
      <c r="AC33" s="3"/>
      <c r="AD33" s="20"/>
      <c r="AE33" s="3"/>
      <c r="AF33" s="3"/>
      <c r="AG33" s="20"/>
      <c r="AH33" s="107" t="s">
        <v>109</v>
      </c>
      <c r="AI33" s="107"/>
      <c r="AJ33" s="107"/>
      <c r="AK33" s="107"/>
      <c r="AL33" s="108"/>
      <c r="AN33" s="67">
        <f t="shared" si="2"/>
        <v>-4.2792470829631384</v>
      </c>
      <c r="AO33" s="67">
        <f t="shared" si="2"/>
        <v>-2.608413854206546</v>
      </c>
      <c r="AP33" s="67">
        <f t="shared" si="2"/>
        <v>-1.09645205489511</v>
      </c>
      <c r="AY33" s="67">
        <f t="shared" si="0"/>
        <v>274.27924708296314</v>
      </c>
      <c r="AZ33" s="67">
        <f t="shared" si="1"/>
        <v>86.608413854206546</v>
      </c>
      <c r="BA33" s="67">
        <f t="shared" si="3"/>
        <v>226.09645205489511</v>
      </c>
      <c r="BC33">
        <f t="shared" si="4"/>
        <v>31.668891609615997</v>
      </c>
      <c r="BD33">
        <v>1013.2</v>
      </c>
      <c r="BE33">
        <f t="shared" si="5"/>
        <v>28.595195942964317</v>
      </c>
    </row>
    <row r="34" spans="1:57" x14ac:dyDescent="0.2">
      <c r="A34" s="13">
        <v>25</v>
      </c>
      <c r="B34" s="3">
        <v>21</v>
      </c>
      <c r="C34" s="17">
        <v>5</v>
      </c>
      <c r="D34" s="3">
        <v>4</v>
      </c>
      <c r="E34" s="18">
        <v>0</v>
      </c>
      <c r="F34" s="18">
        <v>0</v>
      </c>
      <c r="G34" s="18">
        <v>76</v>
      </c>
      <c r="H34" s="19">
        <v>2</v>
      </c>
      <c r="I34" s="18"/>
      <c r="J34" s="18"/>
      <c r="K34" s="20">
        <v>134</v>
      </c>
      <c r="L34" s="18">
        <v>260</v>
      </c>
      <c r="M34" s="18">
        <v>240</v>
      </c>
      <c r="N34" s="18">
        <v>283</v>
      </c>
      <c r="O34" s="18">
        <v>84</v>
      </c>
      <c r="P34" s="18">
        <v>231</v>
      </c>
      <c r="Q34" s="17">
        <v>5</v>
      </c>
      <c r="R34" s="17">
        <v>8</v>
      </c>
      <c r="S34" s="17">
        <v>0</v>
      </c>
      <c r="T34" s="17">
        <v>2</v>
      </c>
      <c r="U34" s="17">
        <v>1</v>
      </c>
      <c r="V34" s="3">
        <v>8</v>
      </c>
      <c r="W34" s="20">
        <v>63</v>
      </c>
      <c r="X34" s="3">
        <v>8</v>
      </c>
      <c r="Y34" s="3">
        <v>5</v>
      </c>
      <c r="Z34" s="3">
        <v>6</v>
      </c>
      <c r="AA34" s="20">
        <f>45*3</f>
        <v>135</v>
      </c>
      <c r="AB34" s="3"/>
      <c r="AC34" s="3"/>
      <c r="AD34" s="20"/>
      <c r="AE34" s="3"/>
      <c r="AF34" s="3"/>
      <c r="AG34" s="20"/>
      <c r="AH34" s="107"/>
      <c r="AI34" s="107"/>
      <c r="AJ34" s="107"/>
      <c r="AK34" s="107"/>
      <c r="AL34" s="108"/>
      <c r="AN34" s="67">
        <f t="shared" si="2"/>
        <v>-1.5330281190206847</v>
      </c>
      <c r="AO34" s="67">
        <f t="shared" si="2"/>
        <v>-0.66012412105094143</v>
      </c>
      <c r="AP34" s="67">
        <f t="shared" si="2"/>
        <v>-1.1508299243794795</v>
      </c>
      <c r="AY34" s="67">
        <f t="shared" si="0"/>
        <v>284.53302811902068</v>
      </c>
      <c r="AZ34" s="67">
        <f t="shared" si="1"/>
        <v>84.660124121050941</v>
      </c>
      <c r="BA34" s="67">
        <f t="shared" si="3"/>
        <v>232.15082992437948</v>
      </c>
      <c r="BC34">
        <f t="shared" si="4"/>
        <v>33.608860260136439</v>
      </c>
      <c r="BD34">
        <v>1013.2</v>
      </c>
      <c r="BE34">
        <f t="shared" si="5"/>
        <v>29.827639714302066</v>
      </c>
    </row>
    <row r="35" spans="1:57" x14ac:dyDescent="0.2">
      <c r="A35" s="13">
        <v>26</v>
      </c>
      <c r="B35" s="3">
        <v>21</v>
      </c>
      <c r="C35" s="17">
        <v>4</v>
      </c>
      <c r="D35" s="3">
        <v>4</v>
      </c>
      <c r="E35" s="18">
        <v>8</v>
      </c>
      <c r="F35" s="18">
        <v>10</v>
      </c>
      <c r="G35" s="18">
        <v>68</v>
      </c>
      <c r="H35" s="19">
        <v>1</v>
      </c>
      <c r="I35" s="18">
        <v>6</v>
      </c>
      <c r="J35" s="18">
        <v>11</v>
      </c>
      <c r="K35" s="20">
        <v>139</v>
      </c>
      <c r="L35" s="18">
        <v>264</v>
      </c>
      <c r="M35" s="18">
        <v>245</v>
      </c>
      <c r="N35" s="18">
        <v>293</v>
      </c>
      <c r="O35" s="18">
        <v>85</v>
      </c>
      <c r="P35" s="18">
        <v>237</v>
      </c>
      <c r="Q35" s="17">
        <v>3</v>
      </c>
      <c r="R35" s="17">
        <v>8</v>
      </c>
      <c r="S35" s="17">
        <v>0</v>
      </c>
      <c r="T35" s="17">
        <v>2</v>
      </c>
      <c r="U35" s="17">
        <v>3</v>
      </c>
      <c r="V35" s="3">
        <v>8</v>
      </c>
      <c r="W35" s="20">
        <v>54</v>
      </c>
      <c r="X35" s="3">
        <v>8</v>
      </c>
      <c r="Y35" s="3"/>
      <c r="Z35" s="3"/>
      <c r="AA35" s="20"/>
      <c r="AB35" s="3"/>
      <c r="AC35" s="3"/>
      <c r="AD35" s="20"/>
      <c r="AE35" s="3"/>
      <c r="AF35" s="3"/>
      <c r="AG35" s="20"/>
      <c r="AH35" s="107" t="s">
        <v>85</v>
      </c>
      <c r="AI35" s="107"/>
      <c r="AJ35" s="107"/>
      <c r="AK35" s="107"/>
      <c r="AL35" s="108"/>
      <c r="AN35" s="67">
        <f t="shared" si="2"/>
        <v>-1.2984721078706798</v>
      </c>
      <c r="AO35" s="67">
        <f t="shared" si="2"/>
        <v>-0.51837269917913886</v>
      </c>
      <c r="AP35" s="67">
        <f t="shared" si="2"/>
        <v>-0.74170892200345406</v>
      </c>
      <c r="AY35" s="67">
        <f t="shared" si="0"/>
        <v>294.29847210787068</v>
      </c>
      <c r="AZ35" s="67">
        <f t="shared" si="1"/>
        <v>85.518372699179139</v>
      </c>
      <c r="BA35" s="67">
        <f t="shared" si="3"/>
        <v>237.74170892200345</v>
      </c>
      <c r="BC35">
        <f t="shared" si="4"/>
        <v>34.41347897756426</v>
      </c>
      <c r="BD35">
        <v>1013.2</v>
      </c>
      <c r="BE35">
        <f t="shared" si="5"/>
        <v>30.736197835927069</v>
      </c>
    </row>
    <row r="36" spans="1:57" x14ac:dyDescent="0.2">
      <c r="A36" s="13">
        <v>27</v>
      </c>
      <c r="B36" s="3">
        <v>21</v>
      </c>
      <c r="C36" s="17">
        <v>7</v>
      </c>
      <c r="D36" s="3">
        <v>4</v>
      </c>
      <c r="E36" s="18">
        <v>8</v>
      </c>
      <c r="F36" s="18">
        <v>12</v>
      </c>
      <c r="G36" s="18">
        <v>65</v>
      </c>
      <c r="H36" s="19">
        <v>1</v>
      </c>
      <c r="I36" s="18">
        <v>15</v>
      </c>
      <c r="J36" s="18">
        <v>22</v>
      </c>
      <c r="K36" s="20">
        <v>141</v>
      </c>
      <c r="L36" s="18">
        <v>263</v>
      </c>
      <c r="M36" s="18">
        <v>249</v>
      </c>
      <c r="N36" s="18">
        <v>304</v>
      </c>
      <c r="O36" s="18">
        <v>89</v>
      </c>
      <c r="P36" s="18">
        <v>243</v>
      </c>
      <c r="Q36" s="17">
        <v>7</v>
      </c>
      <c r="R36" s="17">
        <v>8</v>
      </c>
      <c r="S36" s="17">
        <v>4</v>
      </c>
      <c r="T36" s="17">
        <v>1</v>
      </c>
      <c r="U36" s="17">
        <v>2</v>
      </c>
      <c r="V36" s="3">
        <v>8</v>
      </c>
      <c r="W36" s="20">
        <v>54</v>
      </c>
      <c r="X36" s="3">
        <v>8</v>
      </c>
      <c r="Y36" s="3">
        <v>6</v>
      </c>
      <c r="Z36" s="3">
        <v>6</v>
      </c>
      <c r="AA36" s="20">
        <v>105</v>
      </c>
      <c r="AB36" s="3"/>
      <c r="AC36" s="3"/>
      <c r="AD36" s="20"/>
      <c r="AE36" s="3"/>
      <c r="AF36" s="3"/>
      <c r="AG36" s="20"/>
      <c r="AH36" s="107" t="s">
        <v>90</v>
      </c>
      <c r="AI36" s="107"/>
      <c r="AJ36" s="107"/>
      <c r="AK36" s="107"/>
      <c r="AL36" s="108"/>
      <c r="AN36" s="67">
        <f t="shared" si="2"/>
        <v>-1.1739137226595631</v>
      </c>
      <c r="AO36" s="67">
        <f t="shared" si="2"/>
        <v>-0.20407014116958067</v>
      </c>
      <c r="AP36" s="67">
        <f t="shared" si="2"/>
        <v>-0.77999784735945354</v>
      </c>
      <c r="AY36" s="67">
        <f t="shared" si="0"/>
        <v>305.17391372265956</v>
      </c>
      <c r="AZ36" s="67">
        <f t="shared" si="1"/>
        <v>89.204070141169581</v>
      </c>
      <c r="BA36" s="67">
        <f t="shared" si="3"/>
        <v>243.77999784735945</v>
      </c>
      <c r="BC36">
        <f t="shared" si="4"/>
        <v>34.210761150215198</v>
      </c>
      <c r="BD36">
        <v>1013.2</v>
      </c>
      <c r="BE36">
        <f t="shared" si="5"/>
        <v>31.480396167633955</v>
      </c>
    </row>
    <row r="37" spans="1:57" x14ac:dyDescent="0.2">
      <c r="A37" s="13">
        <v>28</v>
      </c>
      <c r="B37" s="3">
        <v>21</v>
      </c>
      <c r="C37" s="17">
        <v>2</v>
      </c>
      <c r="D37" s="3">
        <v>4</v>
      </c>
      <c r="E37" s="18">
        <v>8</v>
      </c>
      <c r="F37" s="18">
        <v>12</v>
      </c>
      <c r="G37" s="18">
        <v>67</v>
      </c>
      <c r="H37" s="19">
        <v>1</v>
      </c>
      <c r="I37" s="18">
        <v>5</v>
      </c>
      <c r="J37" s="18">
        <v>0</v>
      </c>
      <c r="K37" s="20">
        <v>154</v>
      </c>
      <c r="L37" s="18">
        <v>272</v>
      </c>
      <c r="M37" s="18">
        <v>245</v>
      </c>
      <c r="N37" s="18">
        <v>286</v>
      </c>
      <c r="O37" s="18">
        <v>79</v>
      </c>
      <c r="P37" s="18">
        <v>233</v>
      </c>
      <c r="Q37" s="17">
        <v>2</v>
      </c>
      <c r="R37" s="17">
        <v>8</v>
      </c>
      <c r="S37" s="17">
        <v>0</v>
      </c>
      <c r="T37" s="17">
        <v>0</v>
      </c>
      <c r="U37" s="17">
        <v>2</v>
      </c>
      <c r="V37" s="3">
        <v>8</v>
      </c>
      <c r="W37" s="20">
        <v>63</v>
      </c>
      <c r="X37" s="3">
        <v>8</v>
      </c>
      <c r="Y37" s="3"/>
      <c r="Z37" s="3"/>
      <c r="AA37" s="20"/>
      <c r="AB37" s="3"/>
      <c r="AC37" s="3"/>
      <c r="AD37" s="20"/>
      <c r="AE37" s="3"/>
      <c r="AF37" s="3"/>
      <c r="AG37" s="20"/>
      <c r="AH37" s="107" t="s">
        <v>85</v>
      </c>
      <c r="AI37" s="107"/>
      <c r="AJ37" s="107"/>
      <c r="AK37" s="107"/>
      <c r="AL37" s="108"/>
      <c r="AN37" s="67">
        <f t="shared" si="2"/>
        <v>-2.7980484230707248</v>
      </c>
      <c r="AO37" s="67">
        <f t="shared" si="2"/>
        <v>-1.0584508026231276</v>
      </c>
      <c r="AP37" s="67">
        <f t="shared" si="2"/>
        <v>-1.6129770076665864</v>
      </c>
      <c r="AY37" s="67">
        <f t="shared" si="0"/>
        <v>288.79804842307072</v>
      </c>
      <c r="AZ37" s="67">
        <f t="shared" si="1"/>
        <v>80.058450802623128</v>
      </c>
      <c r="BA37" s="67">
        <f t="shared" si="3"/>
        <v>234.61297700766659</v>
      </c>
      <c r="BC37">
        <f t="shared" si="4"/>
        <v>36.073399563411016</v>
      </c>
      <c r="BD37">
        <v>1013.2</v>
      </c>
      <c r="BE37">
        <f t="shared" si="5"/>
        <v>30.736197835927069</v>
      </c>
    </row>
    <row r="38" spans="1:57" x14ac:dyDescent="0.2">
      <c r="A38" s="13">
        <v>29</v>
      </c>
      <c r="B38" s="3">
        <v>21</v>
      </c>
      <c r="C38" s="17">
        <v>7</v>
      </c>
      <c r="D38" s="3">
        <v>4</v>
      </c>
      <c r="E38" s="18">
        <v>7</v>
      </c>
      <c r="F38" s="18">
        <v>7</v>
      </c>
      <c r="G38" s="18">
        <v>60</v>
      </c>
      <c r="H38" s="19">
        <v>1</v>
      </c>
      <c r="I38" s="18">
        <v>80</v>
      </c>
      <c r="J38" s="18">
        <v>22</v>
      </c>
      <c r="K38" s="20">
        <v>145</v>
      </c>
      <c r="L38" s="18">
        <v>245</v>
      </c>
      <c r="M38" s="18">
        <v>238</v>
      </c>
      <c r="N38" s="18">
        <v>290</v>
      </c>
      <c r="O38" s="18">
        <v>94</v>
      </c>
      <c r="P38" s="18">
        <v>235</v>
      </c>
      <c r="Q38" s="17">
        <v>7</v>
      </c>
      <c r="R38" s="17">
        <v>8</v>
      </c>
      <c r="S38" s="17" t="s">
        <v>89</v>
      </c>
      <c r="T38" s="17" t="s">
        <v>89</v>
      </c>
      <c r="U38" s="17">
        <v>5</v>
      </c>
      <c r="V38" s="3">
        <v>8</v>
      </c>
      <c r="W38" s="20">
        <v>54</v>
      </c>
      <c r="X38" s="3">
        <v>8</v>
      </c>
      <c r="Y38" s="3">
        <v>6</v>
      </c>
      <c r="Z38" s="3">
        <v>6</v>
      </c>
      <c r="AA38" s="20">
        <v>105</v>
      </c>
      <c r="AB38" s="3"/>
      <c r="AC38" s="3"/>
      <c r="AD38" s="20"/>
      <c r="AE38" s="3"/>
      <c r="AF38" s="3"/>
      <c r="AG38" s="20"/>
      <c r="AH38" s="107" t="s">
        <v>224</v>
      </c>
      <c r="AI38" s="107"/>
      <c r="AJ38" s="107"/>
      <c r="AK38" s="107"/>
      <c r="AL38" s="108"/>
      <c r="AN38" s="67">
        <f t="shared" si="2"/>
        <v>0.10055193319163891</v>
      </c>
      <c r="AO38" s="67">
        <f t="shared" si="2"/>
        <v>-0.31857824911230637</v>
      </c>
      <c r="AP38" s="67">
        <f t="shared" si="2"/>
        <v>-0.2436257367755843</v>
      </c>
      <c r="AY38" s="67">
        <f t="shared" si="0"/>
        <v>289.89944806680836</v>
      </c>
      <c r="AZ38" s="67">
        <f t="shared" si="1"/>
        <v>94.318578249112306</v>
      </c>
      <c r="BA38" s="67">
        <f t="shared" si="3"/>
        <v>235.24362573677558</v>
      </c>
      <c r="BC38">
        <f t="shared" si="4"/>
        <v>30.736197835927069</v>
      </c>
      <c r="BD38">
        <v>1013.2</v>
      </c>
      <c r="BE38">
        <f t="shared" si="5"/>
        <v>29.470855059888834</v>
      </c>
    </row>
    <row r="39" spans="1:57" x14ac:dyDescent="0.2">
      <c r="A39" s="13">
        <v>30</v>
      </c>
      <c r="B39" s="3">
        <v>21</v>
      </c>
      <c r="C39" s="17">
        <v>4</v>
      </c>
      <c r="D39" s="3">
        <v>4</v>
      </c>
      <c r="E39" s="18">
        <v>7</v>
      </c>
      <c r="F39" s="18">
        <v>11</v>
      </c>
      <c r="G39" s="18">
        <v>70</v>
      </c>
      <c r="H39" s="19">
        <v>1</v>
      </c>
      <c r="I39" s="18">
        <v>5</v>
      </c>
      <c r="J39" s="18">
        <v>0</v>
      </c>
      <c r="K39" s="20">
        <v>126</v>
      </c>
      <c r="L39" s="18">
        <v>264</v>
      </c>
      <c r="M39" s="18">
        <v>235</v>
      </c>
      <c r="N39" s="18">
        <v>266</v>
      </c>
      <c r="O39" s="18">
        <v>77</v>
      </c>
      <c r="P39" s="18">
        <v>221</v>
      </c>
      <c r="Q39" s="17">
        <v>4</v>
      </c>
      <c r="R39" s="17">
        <v>8</v>
      </c>
      <c r="S39" s="17">
        <v>0</v>
      </c>
      <c r="T39" s="17">
        <v>0</v>
      </c>
      <c r="U39" s="17">
        <v>2</v>
      </c>
      <c r="V39" s="3">
        <v>8</v>
      </c>
      <c r="W39" s="20">
        <v>54</v>
      </c>
      <c r="X39" s="3">
        <v>8</v>
      </c>
      <c r="Y39" s="3"/>
      <c r="Z39" s="3"/>
      <c r="AA39" s="20"/>
      <c r="AB39" s="3"/>
      <c r="AC39" s="3"/>
      <c r="AD39" s="20"/>
      <c r="AE39" s="3"/>
      <c r="AF39" s="3"/>
      <c r="AG39" s="20"/>
      <c r="AH39" s="107" t="s">
        <v>85</v>
      </c>
      <c r="AI39" s="107"/>
      <c r="AJ39" s="107"/>
      <c r="AK39" s="107"/>
      <c r="AL39" s="108"/>
      <c r="AN39" s="67">
        <f t="shared" si="2"/>
        <v>-3.5101225074500917</v>
      </c>
      <c r="AO39" s="67">
        <f t="shared" si="2"/>
        <v>-1.315279511018403</v>
      </c>
      <c r="AP39" s="67">
        <f t="shared" si="2"/>
        <v>-2.2126602243204445</v>
      </c>
      <c r="AY39" s="67">
        <f t="shared" si="0"/>
        <v>269.51012250745009</v>
      </c>
      <c r="AZ39" s="67">
        <f t="shared" si="1"/>
        <v>78.315279511018403</v>
      </c>
      <c r="BA39" s="67">
        <f t="shared" si="3"/>
        <v>223.21266022432044</v>
      </c>
      <c r="BC39">
        <f t="shared" si="4"/>
        <v>34.41347897756426</v>
      </c>
      <c r="BD39">
        <v>1013.2</v>
      </c>
      <c r="BE39">
        <f t="shared" si="5"/>
        <v>28.94268568196501</v>
      </c>
    </row>
    <row r="40" spans="1:57" x14ac:dyDescent="0.2">
      <c r="A40" s="13"/>
      <c r="B40" s="3"/>
      <c r="C40" s="17"/>
      <c r="D40" s="3"/>
      <c r="E40" s="18"/>
      <c r="F40" s="18"/>
      <c r="G40" s="18"/>
      <c r="H40" s="19"/>
      <c r="I40" s="18"/>
      <c r="J40" s="18"/>
      <c r="K40" s="20"/>
      <c r="L40" s="18"/>
      <c r="M40" s="18"/>
      <c r="N40" s="18"/>
      <c r="O40" s="18"/>
      <c r="P40" s="18"/>
      <c r="Q40" s="17"/>
      <c r="R40" s="17"/>
      <c r="S40" s="17"/>
      <c r="T40" s="17"/>
      <c r="U40" s="17"/>
      <c r="V40" s="3"/>
      <c r="W40" s="20"/>
      <c r="X40" s="3"/>
      <c r="Y40" s="3"/>
      <c r="Z40" s="3"/>
      <c r="AA40" s="20"/>
      <c r="AB40" s="3"/>
      <c r="AC40" s="3"/>
      <c r="AD40" s="20"/>
      <c r="AE40" s="3"/>
      <c r="AF40" s="3"/>
      <c r="AG40" s="20"/>
      <c r="AH40" s="107"/>
      <c r="AI40" s="107"/>
      <c r="AJ40" s="107"/>
      <c r="AK40" s="107"/>
      <c r="AL40" s="108"/>
      <c r="AN40" s="67"/>
      <c r="AO40" s="67"/>
      <c r="AP40" s="67"/>
      <c r="AY40" s="67">
        <f t="shared" si="0"/>
        <v>61.120000000000005</v>
      </c>
      <c r="AZ40" s="67">
        <f t="shared" si="1"/>
        <v>100</v>
      </c>
      <c r="BA40" s="67">
        <f t="shared" si="3"/>
        <v>0</v>
      </c>
      <c r="BC40">
        <f t="shared" si="4"/>
        <v>6.1120000000000001</v>
      </c>
      <c r="BD40">
        <v>1013.2</v>
      </c>
      <c r="BE40">
        <f t="shared" si="5"/>
        <v>6.1120000000000001</v>
      </c>
    </row>
    <row r="41" spans="1:57" x14ac:dyDescent="0.2">
      <c r="A41" s="18"/>
      <c r="B41" s="3"/>
      <c r="C41" s="17"/>
      <c r="D41" s="3"/>
      <c r="E41" s="18"/>
      <c r="F41" s="18"/>
      <c r="G41" s="18"/>
      <c r="H41" s="19"/>
      <c r="I41" s="18"/>
      <c r="J41" s="18"/>
      <c r="K41" s="20"/>
      <c r="L41" s="18"/>
      <c r="M41" s="18"/>
      <c r="N41" s="18"/>
      <c r="O41" s="18"/>
      <c r="P41" s="18"/>
      <c r="Q41" s="17"/>
      <c r="R41" s="17"/>
      <c r="S41" s="17"/>
      <c r="T41" s="17"/>
      <c r="U41" s="17"/>
      <c r="V41" s="3"/>
      <c r="W41" s="20"/>
      <c r="X41" s="3"/>
      <c r="Y41" s="3"/>
      <c r="Z41" s="3"/>
      <c r="AA41" s="20"/>
      <c r="AB41" s="3"/>
      <c r="AC41" s="3"/>
      <c r="AD41" s="20"/>
      <c r="AE41" s="3"/>
      <c r="AF41" s="3"/>
      <c r="AG41" s="20"/>
      <c r="AH41" s="109" t="s">
        <v>237</v>
      </c>
      <c r="AI41" s="107"/>
      <c r="AJ41" s="107"/>
      <c r="AK41" s="107"/>
      <c r="AL41" s="108"/>
      <c r="AN41" s="67"/>
      <c r="AO41" s="67"/>
      <c r="AP41" s="67"/>
    </row>
    <row r="42" spans="1:57" x14ac:dyDescent="0.2">
      <c r="A42" s="13" t="s">
        <v>9</v>
      </c>
      <c r="B42" s="1"/>
      <c r="C42" s="21">
        <f>SUM(C10:C40)</f>
        <v>130</v>
      </c>
      <c r="D42" s="1"/>
      <c r="E42" s="13"/>
      <c r="F42" s="13">
        <f>SUM(F10:F40)</f>
        <v>257</v>
      </c>
      <c r="G42" s="13"/>
      <c r="H42" s="2"/>
      <c r="I42" s="13"/>
      <c r="J42" s="13"/>
      <c r="K42" s="22">
        <f>SUM(K10:K40)</f>
        <v>3917</v>
      </c>
      <c r="L42" s="13">
        <f>SUM(L10:L40)</f>
        <v>7929</v>
      </c>
      <c r="M42" s="13">
        <f>SUM(M10:M40)</f>
        <v>7270</v>
      </c>
      <c r="N42" s="13">
        <f>SUM(N10:N40)</f>
        <v>8567</v>
      </c>
      <c r="O42" s="13">
        <f>SUM(O10:O40)</f>
        <v>2476</v>
      </c>
      <c r="P42" s="13">
        <f t="shared" ref="P42" si="6">SUM(P10:P40)</f>
        <v>6972</v>
      </c>
      <c r="Q42" s="21">
        <f>SUM(Q10:Q40)</f>
        <v>73</v>
      </c>
      <c r="R42" s="21"/>
      <c r="S42" s="21"/>
      <c r="T42" s="21"/>
      <c r="U42" s="21"/>
      <c r="V42" s="1"/>
      <c r="W42" s="22"/>
      <c r="X42" s="1"/>
      <c r="Y42" s="1"/>
      <c r="Z42" s="1"/>
      <c r="AA42" s="22"/>
      <c r="AB42" s="1"/>
      <c r="AC42" s="1"/>
      <c r="AD42" s="22"/>
      <c r="AE42" s="1"/>
      <c r="AF42" s="1"/>
      <c r="AG42" s="22"/>
      <c r="AH42" s="116"/>
      <c r="AI42" s="116"/>
      <c r="AJ42" s="116"/>
      <c r="AK42" s="116"/>
      <c r="AL42" s="117"/>
      <c r="AN42" s="67"/>
      <c r="AO42" s="67"/>
      <c r="AP42" s="67"/>
    </row>
    <row r="43" spans="1:57" ht="13.5" thickBot="1" x14ac:dyDescent="0.25">
      <c r="A43" s="23" t="s">
        <v>10</v>
      </c>
      <c r="B43" s="24"/>
      <c r="C43" s="25">
        <f>AVERAGE(C10:C40)</f>
        <v>4.333333333333333</v>
      </c>
      <c r="D43" s="24"/>
      <c r="E43" s="23">
        <f>MODE(E10:E40)</f>
        <v>8</v>
      </c>
      <c r="F43" s="23">
        <f>AVERAGE(F10:F40)</f>
        <v>8.5666666666666664</v>
      </c>
      <c r="G43" s="23"/>
      <c r="H43" s="26"/>
      <c r="I43" s="23"/>
      <c r="J43" s="23"/>
      <c r="K43" s="27">
        <f>AVERAGE(K10:K40)</f>
        <v>130.56666666666666</v>
      </c>
      <c r="L43" s="23">
        <f t="shared" ref="L43:Q43" si="7">AVERAGE(L10:L40)</f>
        <v>264.3</v>
      </c>
      <c r="M43" s="23">
        <f t="shared" si="7"/>
        <v>242.33333333333334</v>
      </c>
      <c r="N43" s="23">
        <f t="shared" si="7"/>
        <v>285.56666666666666</v>
      </c>
      <c r="O43" s="23">
        <f t="shared" si="7"/>
        <v>82.533333333333331</v>
      </c>
      <c r="P43" s="23">
        <f>AVERAGE(P10:P40)</f>
        <v>232.4</v>
      </c>
      <c r="Q43" s="25">
        <f t="shared" si="7"/>
        <v>2.4333333333333331</v>
      </c>
      <c r="R43" s="25"/>
      <c r="S43" s="25"/>
      <c r="T43" s="25"/>
      <c r="U43" s="25"/>
      <c r="V43" s="24"/>
      <c r="W43" s="27"/>
      <c r="X43" s="24"/>
      <c r="Y43" s="24"/>
      <c r="Z43" s="24"/>
      <c r="AA43" s="27"/>
      <c r="AB43" s="24"/>
      <c r="AC43" s="24"/>
      <c r="AD43" s="27"/>
      <c r="AE43" s="24"/>
      <c r="AF43" s="24"/>
      <c r="AG43" s="27"/>
      <c r="AH43" s="111"/>
      <c r="AI43" s="111"/>
      <c r="AJ43" s="111"/>
      <c r="AK43" s="111"/>
      <c r="AL43" s="112"/>
      <c r="AN43" s="67">
        <f>AVERAGE(AN10:AN40)</f>
        <v>-1.9901920420055357</v>
      </c>
      <c r="AO43" s="67">
        <f t="shared" ref="AO43:AP43" si="8">AVERAGE(AO10:AO40)</f>
        <v>-0.90107329460663455</v>
      </c>
      <c r="AP43" s="67">
        <f t="shared" si="8"/>
        <v>-1.367571676378148</v>
      </c>
    </row>
    <row r="44" spans="1:57" x14ac:dyDescent="0.2">
      <c r="E44" s="11"/>
      <c r="G44" s="11"/>
      <c r="K44" s="4"/>
      <c r="M44" s="11"/>
      <c r="P44" s="11"/>
      <c r="Q44" s="11"/>
      <c r="W44" s="4"/>
      <c r="AA44" s="4"/>
      <c r="AD44" s="4"/>
    </row>
    <row r="45" spans="1:57" x14ac:dyDescent="0.2">
      <c r="E45" s="11"/>
      <c r="G45" s="11"/>
      <c r="K45" s="4"/>
      <c r="M45" s="11"/>
      <c r="P45" s="11"/>
      <c r="Q45" s="11"/>
      <c r="W45" s="4"/>
      <c r="AA45" s="4"/>
    </row>
    <row r="46" spans="1:57" x14ac:dyDescent="0.2">
      <c r="E46" s="11"/>
      <c r="G46" s="11"/>
      <c r="M46" s="11"/>
      <c r="P46" s="11"/>
      <c r="Q46" s="11"/>
      <c r="W46" s="4"/>
      <c r="AA46" s="4"/>
    </row>
    <row r="47" spans="1:57" x14ac:dyDescent="0.2">
      <c r="E47" s="11"/>
      <c r="G47" s="11"/>
      <c r="M47" s="11"/>
      <c r="P47" s="11"/>
      <c r="Q47" s="11"/>
    </row>
    <row r="48" spans="1:57" x14ac:dyDescent="0.2">
      <c r="E48" s="11"/>
      <c r="G48" s="11"/>
      <c r="M48" s="11"/>
      <c r="P48" s="11"/>
      <c r="Q48" s="11"/>
    </row>
    <row r="49" spans="5:17" x14ac:dyDescent="0.2">
      <c r="E49" s="11"/>
      <c r="G49" s="11"/>
      <c r="M49" s="11"/>
      <c r="P49" s="11"/>
      <c r="Q49" s="11"/>
    </row>
  </sheetData>
  <mergeCells count="72">
    <mergeCell ref="AH41:AL41"/>
    <mergeCell ref="AH42:AL42"/>
    <mergeCell ref="AH43:AL43"/>
    <mergeCell ref="AH36:AL36"/>
    <mergeCell ref="AH37:AL37"/>
    <mergeCell ref="AH38:AL38"/>
    <mergeCell ref="AH39:AL39"/>
    <mergeCell ref="AH40:AL40"/>
    <mergeCell ref="AH31:AL31"/>
    <mergeCell ref="AH32:AL32"/>
    <mergeCell ref="AH33:AL33"/>
    <mergeCell ref="AH34:AL34"/>
    <mergeCell ref="AH35:AL35"/>
    <mergeCell ref="AH26:AL26"/>
    <mergeCell ref="AH27:AL27"/>
    <mergeCell ref="AH28:AL28"/>
    <mergeCell ref="AH29:AL29"/>
    <mergeCell ref="AH30:AL30"/>
    <mergeCell ref="AH21:AL21"/>
    <mergeCell ref="AH22:AL22"/>
    <mergeCell ref="AH23:AL23"/>
    <mergeCell ref="AH24:AL24"/>
    <mergeCell ref="AH25:AL25"/>
    <mergeCell ref="AH16:AL16"/>
    <mergeCell ref="AH17:AL17"/>
    <mergeCell ref="AH18:AL18"/>
    <mergeCell ref="AH19:AL19"/>
    <mergeCell ref="AH20:AL20"/>
    <mergeCell ref="AH11:AL11"/>
    <mergeCell ref="AH13:AL13"/>
    <mergeCell ref="AH14:AL14"/>
    <mergeCell ref="AH15:AL15"/>
    <mergeCell ref="U8:W8"/>
    <mergeCell ref="X8:AA8"/>
    <mergeCell ref="AB8:AD8"/>
    <mergeCell ref="AE8:AG8"/>
    <mergeCell ref="AH10:AL10"/>
    <mergeCell ref="AH7:AL9"/>
    <mergeCell ref="AH12:AL12"/>
    <mergeCell ref="P8:P9"/>
    <mergeCell ref="Q8:Q9"/>
    <mergeCell ref="R8:R9"/>
    <mergeCell ref="S8:S9"/>
    <mergeCell ref="T8:T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3:T3"/>
    <mergeCell ref="E7:F7"/>
    <mergeCell ref="L7:P7"/>
    <mergeCell ref="Q7:T7"/>
    <mergeCell ref="U7:AG7"/>
    <mergeCell ref="AN7:AP7"/>
    <mergeCell ref="AY7:BA7"/>
    <mergeCell ref="AN8:AN9"/>
    <mergeCell ref="AO8:AO9"/>
    <mergeCell ref="AP8:AP9"/>
    <mergeCell ref="AY8:AY9"/>
    <mergeCell ref="AZ8:AZ9"/>
    <mergeCell ref="BA8:BA9"/>
  </mergeCells>
  <phoneticPr fontId="2" type="noConversion"/>
  <dataValidations count="5">
    <dataValidation type="whole" allowBlank="1" showInputMessage="1" showErrorMessage="1" sqref="C10:C40" xr:uid="{00000000-0002-0000-1700-000000000000}">
      <formula1>0</formula1>
      <formula2>9</formula2>
    </dataValidation>
    <dataValidation type="whole" allowBlank="1" showInputMessage="1" showErrorMessage="1" sqref="Y10:Y40" xr:uid="{00000000-0002-0000-1700-000001000000}">
      <formula1>3</formula1>
      <formula2>9</formula2>
    </dataValidation>
    <dataValidation type="whole" allowBlank="1" showInputMessage="1" showErrorMessage="1" sqref="AB10:AB40" xr:uid="{00000000-0002-0000-1700-000002000000}">
      <formula1>5</formula1>
      <formula2>9</formula2>
    </dataValidation>
    <dataValidation type="whole" allowBlank="1" showInputMessage="1" showErrorMessage="1" sqref="D10:D40" xr:uid="{00000000-0002-0000-1700-000003000000}">
      <formula1>0</formula1>
      <formula2>4</formula2>
    </dataValidation>
    <dataValidation type="whole" allowBlank="1" showInputMessage="1" showErrorMessage="1" sqref="AE10:AE40" xr:uid="{00000000-0002-0000-1700-000004000000}">
      <formula1>1</formula1>
      <formula2>9</formula2>
    </dataValidation>
  </dataValidations>
  <pageMargins left="0.75" right="0.75" top="1" bottom="1" header="0.5" footer="0.5"/>
  <pageSetup orientation="portrait" horizontalDpi="3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E49"/>
  <sheetViews>
    <sheetView workbookViewId="0">
      <pane xSplit="2" ySplit="9" topLeftCell="C10" activePane="bottomRight" state="frozen"/>
      <selection activeCell="AM2" sqref="AM2"/>
      <selection pane="topRight" activeCell="AM2" sqref="AM2"/>
      <selection pane="bottomLeft" activeCell="AM2" sqref="AM2"/>
      <selection pane="bottomRight" activeCell="AH42" sqref="AH42:AL42"/>
    </sheetView>
  </sheetViews>
  <sheetFormatPr defaultRowHeight="12.75" x14ac:dyDescent="0.2"/>
  <cols>
    <col min="1" max="1" width="4.28515625" bestFit="1" customWidth="1"/>
    <col min="2" max="2" width="5.140625" bestFit="1" customWidth="1"/>
    <col min="3" max="3" width="4" bestFit="1" customWidth="1"/>
    <col min="4" max="4" width="3" bestFit="1" customWidth="1"/>
    <col min="5" max="5" width="5" bestFit="1" customWidth="1"/>
    <col min="6" max="6" width="4" bestFit="1" customWidth="1"/>
    <col min="7" max="7" width="3" bestFit="1" customWidth="1"/>
    <col min="8" max="8" width="4" bestFit="1" customWidth="1"/>
    <col min="9" max="10" width="3" bestFit="1" customWidth="1"/>
    <col min="11" max="11" width="8.5703125" bestFit="1" customWidth="1"/>
    <col min="12" max="16" width="5" bestFit="1" customWidth="1"/>
    <col min="17" max="22" width="3" bestFit="1" customWidth="1"/>
    <col min="23" max="23" width="5.28515625" bestFit="1" customWidth="1"/>
    <col min="24" max="26" width="3" bestFit="1" customWidth="1"/>
    <col min="27" max="27" width="5.28515625" bestFit="1" customWidth="1"/>
    <col min="28" max="29" width="3" bestFit="1" customWidth="1"/>
    <col min="30" max="30" width="5.28515625" bestFit="1" customWidth="1"/>
    <col min="31" max="32" width="3" bestFit="1" customWidth="1"/>
    <col min="33" max="33" width="5.28515625" bestFit="1" customWidth="1"/>
    <col min="34" max="34" width="5.42578125" customWidth="1"/>
    <col min="40" max="42" width="4.7109375" customWidth="1"/>
    <col min="50" max="58" width="0" hidden="1" customWidth="1"/>
  </cols>
  <sheetData>
    <row r="1" spans="1:5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  <c r="P1" s="1"/>
      <c r="Q1" s="1"/>
      <c r="R1" s="1"/>
    </row>
    <row r="2" spans="1:57" ht="36.75" customHeight="1" x14ac:dyDescent="0.2">
      <c r="A2" s="1"/>
      <c r="B2" s="1"/>
      <c r="C2" s="1"/>
      <c r="D2" s="1"/>
      <c r="E2" s="1"/>
      <c r="F2" s="1"/>
      <c r="G2" s="1"/>
      <c r="H2" s="1"/>
      <c r="I2" s="2"/>
      <c r="J2" s="2"/>
      <c r="K2" s="1"/>
      <c r="L2" s="1"/>
      <c r="M2" s="1"/>
      <c r="O2" s="2"/>
      <c r="P2" s="1"/>
      <c r="Q2" s="1"/>
      <c r="R2" s="1"/>
    </row>
    <row r="3" spans="1:5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80"/>
      <c r="Q3" s="80"/>
      <c r="R3" s="80"/>
      <c r="S3" s="80"/>
      <c r="T3" s="80"/>
    </row>
    <row r="4" spans="1:5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7" spans="1:57" ht="14.25" x14ac:dyDescent="0.25">
      <c r="A7" s="7"/>
      <c r="B7" s="7"/>
      <c r="C7" s="7"/>
      <c r="D7" s="7"/>
      <c r="E7" s="81" t="s">
        <v>20</v>
      </c>
      <c r="F7" s="81"/>
      <c r="G7" s="7"/>
      <c r="H7" s="7"/>
      <c r="I7" s="7"/>
      <c r="J7" s="7"/>
      <c r="K7" s="7"/>
      <c r="L7" s="82" t="s">
        <v>11</v>
      </c>
      <c r="M7" s="82"/>
      <c r="N7" s="82"/>
      <c r="O7" s="82"/>
      <c r="P7" s="82"/>
      <c r="Q7" s="83" t="s">
        <v>29</v>
      </c>
      <c r="R7" s="83"/>
      <c r="S7" s="83"/>
      <c r="T7" s="83"/>
      <c r="U7" s="84" t="s">
        <v>33</v>
      </c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98" t="s">
        <v>8</v>
      </c>
      <c r="AI7" s="99"/>
      <c r="AJ7" s="99"/>
      <c r="AK7" s="99"/>
      <c r="AL7" s="100"/>
      <c r="AN7" s="73" t="s">
        <v>80</v>
      </c>
      <c r="AO7" s="74"/>
      <c r="AP7" s="75"/>
      <c r="AY7" s="76" t="s">
        <v>81</v>
      </c>
      <c r="AZ7" s="77"/>
      <c r="BA7" s="78"/>
    </row>
    <row r="8" spans="1:57" ht="16.5" customHeight="1" x14ac:dyDescent="0.2">
      <c r="A8" s="85" t="s">
        <v>18</v>
      </c>
      <c r="B8" s="89" t="s">
        <v>19</v>
      </c>
      <c r="C8" s="90" t="s">
        <v>23</v>
      </c>
      <c r="D8" s="88" t="s">
        <v>24</v>
      </c>
      <c r="E8" s="91" t="s">
        <v>25</v>
      </c>
      <c r="F8" s="86" t="s">
        <v>26</v>
      </c>
      <c r="G8" s="88" t="s">
        <v>27</v>
      </c>
      <c r="H8" s="88" t="s">
        <v>0</v>
      </c>
      <c r="I8" s="88" t="s">
        <v>21</v>
      </c>
      <c r="J8" s="88" t="s">
        <v>22</v>
      </c>
      <c r="K8" s="85" t="s">
        <v>28</v>
      </c>
      <c r="L8" s="79" t="s">
        <v>1</v>
      </c>
      <c r="M8" s="79" t="s">
        <v>2</v>
      </c>
      <c r="N8" s="79" t="s">
        <v>3</v>
      </c>
      <c r="O8" s="79" t="s">
        <v>4</v>
      </c>
      <c r="P8" s="79" t="s">
        <v>5</v>
      </c>
      <c r="Q8" s="92" t="s">
        <v>34</v>
      </c>
      <c r="R8" s="92" t="s">
        <v>30</v>
      </c>
      <c r="S8" s="92" t="s">
        <v>31</v>
      </c>
      <c r="T8" s="92" t="s">
        <v>32</v>
      </c>
      <c r="U8" s="93" t="s">
        <v>38</v>
      </c>
      <c r="V8" s="93"/>
      <c r="W8" s="93"/>
      <c r="X8" s="93" t="s">
        <v>39</v>
      </c>
      <c r="Y8" s="93"/>
      <c r="Z8" s="93"/>
      <c r="AA8" s="93"/>
      <c r="AB8" s="93" t="s">
        <v>40</v>
      </c>
      <c r="AC8" s="93"/>
      <c r="AD8" s="93"/>
      <c r="AE8" s="93" t="s">
        <v>41</v>
      </c>
      <c r="AF8" s="94"/>
      <c r="AG8" s="95"/>
      <c r="AH8" s="101"/>
      <c r="AI8" s="102"/>
      <c r="AJ8" s="102"/>
      <c r="AK8" s="102"/>
      <c r="AL8" s="103"/>
      <c r="AN8" s="79" t="s">
        <v>3</v>
      </c>
      <c r="AO8" s="79" t="s">
        <v>4</v>
      </c>
      <c r="AP8" s="79" t="s">
        <v>5</v>
      </c>
      <c r="AY8" s="79" t="s">
        <v>3</v>
      </c>
      <c r="AZ8" s="79" t="s">
        <v>4</v>
      </c>
      <c r="BA8" s="79" t="s">
        <v>5</v>
      </c>
    </row>
    <row r="9" spans="1:57" s="3" customFormat="1" ht="72" customHeight="1" x14ac:dyDescent="0.2">
      <c r="A9" s="85"/>
      <c r="B9" s="89"/>
      <c r="C9" s="90"/>
      <c r="D9" s="88"/>
      <c r="E9" s="91"/>
      <c r="F9" s="87"/>
      <c r="G9" s="88"/>
      <c r="H9" s="88"/>
      <c r="I9" s="88"/>
      <c r="J9" s="88"/>
      <c r="K9" s="85"/>
      <c r="L9" s="79"/>
      <c r="M9" s="79"/>
      <c r="N9" s="79"/>
      <c r="O9" s="79"/>
      <c r="P9" s="79"/>
      <c r="Q9" s="92"/>
      <c r="R9" s="92"/>
      <c r="S9" s="92"/>
      <c r="T9" s="92"/>
      <c r="U9" s="8" t="s">
        <v>16</v>
      </c>
      <c r="V9" s="8" t="s">
        <v>6</v>
      </c>
      <c r="W9" s="9" t="s">
        <v>7</v>
      </c>
      <c r="X9" s="8" t="s">
        <v>17</v>
      </c>
      <c r="Y9" s="8" t="s">
        <v>16</v>
      </c>
      <c r="Z9" s="8" t="s">
        <v>6</v>
      </c>
      <c r="AA9" s="9" t="s">
        <v>7</v>
      </c>
      <c r="AB9" s="8" t="s">
        <v>16</v>
      </c>
      <c r="AC9" s="8" t="s">
        <v>6</v>
      </c>
      <c r="AD9" s="9" t="s">
        <v>7</v>
      </c>
      <c r="AE9" s="8" t="s">
        <v>16</v>
      </c>
      <c r="AF9" s="8" t="s">
        <v>6</v>
      </c>
      <c r="AG9" s="9" t="s">
        <v>7</v>
      </c>
      <c r="AH9" s="104"/>
      <c r="AI9" s="105"/>
      <c r="AJ9" s="105"/>
      <c r="AK9" s="105"/>
      <c r="AL9" s="106"/>
      <c r="AN9" s="79"/>
      <c r="AO9" s="79"/>
      <c r="AP9" s="79"/>
      <c r="AY9" s="79"/>
      <c r="AZ9" s="79"/>
      <c r="BA9" s="79"/>
      <c r="BC9" s="3" t="s">
        <v>82</v>
      </c>
      <c r="BD9" s="3" t="s">
        <v>83</v>
      </c>
      <c r="BE9" s="3" t="s">
        <v>84</v>
      </c>
    </row>
    <row r="10" spans="1:57" x14ac:dyDescent="0.2">
      <c r="A10" s="13">
        <v>1</v>
      </c>
      <c r="B10" s="3">
        <v>20</v>
      </c>
      <c r="C10" s="17">
        <v>5</v>
      </c>
      <c r="D10" s="3">
        <v>4</v>
      </c>
      <c r="E10" s="18">
        <v>9</v>
      </c>
      <c r="F10" s="18">
        <v>9</v>
      </c>
      <c r="G10" s="18">
        <v>76</v>
      </c>
      <c r="H10" s="19">
        <v>2</v>
      </c>
      <c r="I10" s="18"/>
      <c r="J10" s="18"/>
      <c r="K10" s="20">
        <v>131</v>
      </c>
      <c r="L10" s="18">
        <v>270</v>
      </c>
      <c r="M10" s="18">
        <v>247</v>
      </c>
      <c r="N10" s="18">
        <v>294</v>
      </c>
      <c r="O10" s="18">
        <v>82</v>
      </c>
      <c r="P10" s="18">
        <v>237</v>
      </c>
      <c r="Q10" s="17">
        <v>1</v>
      </c>
      <c r="R10" s="17">
        <v>2</v>
      </c>
      <c r="S10" s="17">
        <v>0</v>
      </c>
      <c r="T10" s="17">
        <v>2</v>
      </c>
      <c r="U10" s="17">
        <v>1</v>
      </c>
      <c r="V10" s="3">
        <v>8</v>
      </c>
      <c r="W10" s="20">
        <v>63</v>
      </c>
      <c r="X10" s="3">
        <v>8</v>
      </c>
      <c r="Y10" s="3">
        <v>4</v>
      </c>
      <c r="Z10" s="3">
        <v>0</v>
      </c>
      <c r="AA10" s="20">
        <v>870</v>
      </c>
      <c r="AB10" s="3"/>
      <c r="AC10" s="3"/>
      <c r="AD10" s="20"/>
      <c r="AE10" s="3"/>
      <c r="AF10" s="3"/>
      <c r="AG10" s="20"/>
      <c r="AH10" s="96"/>
      <c r="AI10" s="96"/>
      <c r="AJ10" s="96"/>
      <c r="AK10" s="96"/>
      <c r="AL10" s="97"/>
      <c r="AN10" s="67">
        <f>N10-AY10</f>
        <v>-1.2462342187101854</v>
      </c>
      <c r="AO10" s="67">
        <f>O10-AZ10</f>
        <v>-0.81339194531973646</v>
      </c>
      <c r="AP10" s="67">
        <f>P10-BA10</f>
        <v>-1.2756313741485314</v>
      </c>
      <c r="AY10" s="67">
        <f t="shared" ref="AY10:AY40" si="0">10*(BE10-BD10*((L10/10)-(M10/10))*0.00066*(1+(0.00115*(M10/10))))</f>
        <v>295.24623421871019</v>
      </c>
      <c r="AZ10" s="67">
        <f t="shared" ref="AZ10:AZ40" si="1">((AY10/10)*100)/BC10</f>
        <v>82.813391945319736</v>
      </c>
      <c r="BA10" s="67">
        <f>(243.5*LN((AY10/10)/6.112))/(17.67-LN((AY10/10)/6.112))*10</f>
        <v>238.27563137414853</v>
      </c>
      <c r="BC10">
        <f>6.112*2.718^((17.67*(L10/10))/((L10/10)+243.5))</f>
        <v>35.651991457330503</v>
      </c>
      <c r="BD10">
        <v>1013.2</v>
      </c>
      <c r="BE10">
        <f>6.112*2.718^((17.67*(M10/10))/((M10/10)+243.5))</f>
        <v>31.106348979899021</v>
      </c>
    </row>
    <row r="11" spans="1:57" x14ac:dyDescent="0.2">
      <c r="A11" s="13">
        <v>2</v>
      </c>
      <c r="B11" s="3">
        <v>20</v>
      </c>
      <c r="C11" s="17">
        <v>5</v>
      </c>
      <c r="D11" s="3">
        <v>4</v>
      </c>
      <c r="E11" s="18">
        <v>6</v>
      </c>
      <c r="F11" s="18">
        <v>8</v>
      </c>
      <c r="G11" s="18">
        <v>75</v>
      </c>
      <c r="H11" s="19">
        <v>2</v>
      </c>
      <c r="I11" s="18"/>
      <c r="J11" s="18"/>
      <c r="K11" s="20">
        <v>124</v>
      </c>
      <c r="L11" s="18">
        <v>269</v>
      </c>
      <c r="M11" s="18">
        <v>245</v>
      </c>
      <c r="N11" s="18">
        <v>288</v>
      </c>
      <c r="O11" s="18">
        <v>81</v>
      </c>
      <c r="P11" s="18">
        <v>234</v>
      </c>
      <c r="Q11" s="17">
        <v>1</v>
      </c>
      <c r="R11" s="17">
        <v>2</v>
      </c>
      <c r="S11" s="17">
        <v>0</v>
      </c>
      <c r="T11" s="17">
        <v>2</v>
      </c>
      <c r="U11" s="17">
        <v>1</v>
      </c>
      <c r="V11" s="3">
        <v>8</v>
      </c>
      <c r="W11" s="20">
        <v>60</v>
      </c>
      <c r="X11" s="3">
        <v>8</v>
      </c>
      <c r="Y11" s="3">
        <v>5</v>
      </c>
      <c r="Z11" s="3">
        <v>0</v>
      </c>
      <c r="AA11" s="20">
        <v>840</v>
      </c>
      <c r="AB11" s="3"/>
      <c r="AC11" s="3"/>
      <c r="AD11" s="20"/>
      <c r="AE11" s="3"/>
      <c r="AF11" s="3"/>
      <c r="AG11" s="20"/>
      <c r="AH11" s="107"/>
      <c r="AI11" s="107"/>
      <c r="AJ11" s="107"/>
      <c r="AK11" s="107"/>
      <c r="AL11" s="108"/>
      <c r="AN11" s="67">
        <f t="shared" ref="AN11:AP39" si="2">N11-AY11</f>
        <v>-2.8607073048706866</v>
      </c>
      <c r="AO11" s="67">
        <f t="shared" si="2"/>
        <v>-1.0645764337847226</v>
      </c>
      <c r="AP11" s="67">
        <f t="shared" si="2"/>
        <v>-1.7923189602715581</v>
      </c>
      <c r="AY11" s="67">
        <f t="shared" si="0"/>
        <v>290.86070730487069</v>
      </c>
      <c r="AZ11" s="67">
        <f t="shared" si="1"/>
        <v>82.064576433784723</v>
      </c>
      <c r="BA11" s="67">
        <f t="shared" ref="BA11:BA40" si="3">(243.5*LN((AY11/10)/6.112))/(17.67-LN((AY11/10)/6.112))*10</f>
        <v>235.79231896027156</v>
      </c>
      <c r="BC11">
        <f t="shared" ref="BC11:BC40" si="4">6.112*2.718^((17.67*(L11/10))/((L11/10)+243.5))</f>
        <v>35.442906055764126</v>
      </c>
      <c r="BD11">
        <v>1013.2</v>
      </c>
      <c r="BE11">
        <f t="shared" ref="BE11:BE40" si="5">6.112*2.718^((17.67*(M11/10))/((M11/10)+243.5))</f>
        <v>30.736197835927069</v>
      </c>
    </row>
    <row r="12" spans="1:57" x14ac:dyDescent="0.2">
      <c r="A12" s="13">
        <v>3</v>
      </c>
      <c r="B12" s="3">
        <v>20</v>
      </c>
      <c r="C12" s="17">
        <v>1</v>
      </c>
      <c r="D12" s="3">
        <v>4</v>
      </c>
      <c r="E12" s="18">
        <v>8</v>
      </c>
      <c r="F12" s="18">
        <v>8</v>
      </c>
      <c r="G12" s="18">
        <v>75</v>
      </c>
      <c r="H12" s="19">
        <v>2</v>
      </c>
      <c r="I12" s="18"/>
      <c r="J12" s="18"/>
      <c r="K12" s="20">
        <v>128</v>
      </c>
      <c r="L12" s="18">
        <v>266</v>
      </c>
      <c r="M12" s="18">
        <v>241</v>
      </c>
      <c r="N12" s="18">
        <v>279</v>
      </c>
      <c r="O12" s="18">
        <v>80</v>
      </c>
      <c r="P12" s="18">
        <v>229</v>
      </c>
      <c r="Q12" s="17">
        <v>1</v>
      </c>
      <c r="R12" s="17">
        <v>2</v>
      </c>
      <c r="S12" s="17">
        <v>0</v>
      </c>
      <c r="T12" s="17">
        <v>2</v>
      </c>
      <c r="U12" s="17">
        <v>1</v>
      </c>
      <c r="V12" s="3">
        <v>8</v>
      </c>
      <c r="W12" s="20">
        <v>63</v>
      </c>
      <c r="X12" s="3">
        <v>8</v>
      </c>
      <c r="Y12" s="3"/>
      <c r="Z12" s="3"/>
      <c r="AA12" s="20"/>
      <c r="AB12" s="3"/>
      <c r="AC12" s="3"/>
      <c r="AD12" s="20"/>
      <c r="AE12" s="3"/>
      <c r="AF12" s="3"/>
      <c r="AG12" s="20"/>
      <c r="AH12" s="107"/>
      <c r="AI12" s="107"/>
      <c r="AJ12" s="107"/>
      <c r="AK12" s="107"/>
      <c r="AL12" s="108"/>
      <c r="AN12" s="67">
        <f t="shared" si="2"/>
        <v>-3.8933275538911971</v>
      </c>
      <c r="AO12" s="67">
        <f t="shared" si="2"/>
        <v>-1.2396680267185047</v>
      </c>
      <c r="AP12" s="67">
        <f t="shared" si="2"/>
        <v>-2.1956387046100474</v>
      </c>
      <c r="AY12" s="67">
        <f t="shared" si="0"/>
        <v>282.8933275538912</v>
      </c>
      <c r="AZ12" s="67">
        <f t="shared" si="1"/>
        <v>81.239668026718505</v>
      </c>
      <c r="BA12" s="67">
        <f t="shared" si="3"/>
        <v>231.19563870461005</v>
      </c>
      <c r="BC12">
        <f t="shared" si="4"/>
        <v>34.822068384234633</v>
      </c>
      <c r="BD12">
        <v>1013.2</v>
      </c>
      <c r="BE12">
        <f t="shared" si="5"/>
        <v>30.007446138089119</v>
      </c>
    </row>
    <row r="13" spans="1:57" x14ac:dyDescent="0.2">
      <c r="A13" s="13">
        <v>4</v>
      </c>
      <c r="B13" s="3">
        <v>20</v>
      </c>
      <c r="C13" s="17">
        <v>1</v>
      </c>
      <c r="D13" s="3">
        <v>4</v>
      </c>
      <c r="E13" s="18">
        <v>9</v>
      </c>
      <c r="F13" s="18">
        <v>13</v>
      </c>
      <c r="G13" s="18">
        <v>80</v>
      </c>
      <c r="H13" s="19">
        <v>2</v>
      </c>
      <c r="I13" s="18"/>
      <c r="J13" s="18"/>
      <c r="K13" s="20">
        <v>130</v>
      </c>
      <c r="L13" s="18">
        <v>271</v>
      </c>
      <c r="M13" s="18">
        <v>250</v>
      </c>
      <c r="N13" s="18">
        <v>300</v>
      </c>
      <c r="O13" s="18">
        <v>83</v>
      </c>
      <c r="P13" s="18">
        <v>241</v>
      </c>
      <c r="Q13" s="17">
        <v>1</v>
      </c>
      <c r="R13" s="17">
        <v>2</v>
      </c>
      <c r="S13" s="17">
        <v>0</v>
      </c>
      <c r="T13" s="17">
        <v>2</v>
      </c>
      <c r="U13" s="17">
        <v>1</v>
      </c>
      <c r="V13" s="3">
        <v>8</v>
      </c>
      <c r="W13" s="20">
        <v>66</v>
      </c>
      <c r="X13" s="3">
        <v>8</v>
      </c>
      <c r="Y13" s="3"/>
      <c r="Z13" s="3"/>
      <c r="AA13" s="20"/>
      <c r="AB13" s="3"/>
      <c r="AC13" s="3"/>
      <c r="AD13" s="20"/>
      <c r="AE13" s="3"/>
      <c r="AF13" s="3"/>
      <c r="AG13" s="20"/>
      <c r="AH13" s="107"/>
      <c r="AI13" s="107"/>
      <c r="AJ13" s="107"/>
      <c r="AK13" s="107"/>
      <c r="AL13" s="108"/>
      <c r="AN13" s="67">
        <f t="shared" si="2"/>
        <v>-2.2422292261599637</v>
      </c>
      <c r="AO13" s="67">
        <f t="shared" si="2"/>
        <v>-1.2788823818751212</v>
      </c>
      <c r="AP13" s="67">
        <f t="shared" si="2"/>
        <v>-1.1710501702949045</v>
      </c>
      <c r="AY13" s="67">
        <f t="shared" si="0"/>
        <v>302.24222922615996</v>
      </c>
      <c r="AZ13" s="67">
        <f t="shared" si="1"/>
        <v>84.278882381875121</v>
      </c>
      <c r="BA13" s="67">
        <f t="shared" si="3"/>
        <v>242.1710501702949</v>
      </c>
      <c r="BC13">
        <f t="shared" si="4"/>
        <v>35.862154395530958</v>
      </c>
      <c r="BD13">
        <v>1013.2</v>
      </c>
      <c r="BE13">
        <f t="shared" si="5"/>
        <v>31.668891609615997</v>
      </c>
    </row>
    <row r="14" spans="1:57" x14ac:dyDescent="0.2">
      <c r="A14" s="13">
        <v>5</v>
      </c>
      <c r="B14" s="3">
        <v>20</v>
      </c>
      <c r="C14" s="17">
        <v>5</v>
      </c>
      <c r="D14" s="3">
        <v>4</v>
      </c>
      <c r="E14" s="18">
        <v>8</v>
      </c>
      <c r="F14" s="18">
        <v>11</v>
      </c>
      <c r="G14" s="18">
        <v>78</v>
      </c>
      <c r="H14" s="19">
        <v>2</v>
      </c>
      <c r="I14" s="18"/>
      <c r="J14" s="18"/>
      <c r="K14" s="20">
        <v>128</v>
      </c>
      <c r="L14" s="18">
        <v>268</v>
      </c>
      <c r="M14" s="18">
        <v>248</v>
      </c>
      <c r="N14" s="18">
        <v>297</v>
      </c>
      <c r="O14" s="18">
        <v>84</v>
      </c>
      <c r="P14" s="18">
        <v>239</v>
      </c>
      <c r="Q14" s="17">
        <v>1</v>
      </c>
      <c r="R14" s="17">
        <v>2</v>
      </c>
      <c r="S14" s="17">
        <v>0</v>
      </c>
      <c r="T14" s="17">
        <v>1</v>
      </c>
      <c r="U14" s="17">
        <v>1</v>
      </c>
      <c r="V14" s="3">
        <v>8</v>
      </c>
      <c r="W14" s="20">
        <v>60</v>
      </c>
      <c r="X14" s="3">
        <v>8</v>
      </c>
      <c r="Y14" s="3">
        <v>4</v>
      </c>
      <c r="Z14" s="3">
        <v>0</v>
      </c>
      <c r="AA14" s="20">
        <v>900</v>
      </c>
      <c r="AB14" s="3"/>
      <c r="AC14" s="3"/>
      <c r="AD14" s="20"/>
      <c r="AE14" s="3"/>
      <c r="AF14" s="3"/>
      <c r="AG14" s="20"/>
      <c r="AH14" s="107"/>
      <c r="AI14" s="107"/>
      <c r="AJ14" s="107"/>
      <c r="AK14" s="107"/>
      <c r="AL14" s="108"/>
      <c r="AN14" s="67">
        <f t="shared" si="2"/>
        <v>-2.1731607332450835</v>
      </c>
      <c r="AO14" s="67">
        <f t="shared" si="2"/>
        <v>-0.90820629666166042</v>
      </c>
      <c r="AP14" s="67">
        <f t="shared" si="2"/>
        <v>-1.4719975712660585</v>
      </c>
      <c r="AY14" s="67">
        <f t="shared" si="0"/>
        <v>299.17316073324508</v>
      </c>
      <c r="AZ14" s="67">
        <f t="shared" si="1"/>
        <v>84.90820629666166</v>
      </c>
      <c r="BA14" s="67">
        <f t="shared" si="3"/>
        <v>240.47199757126606</v>
      </c>
      <c r="BC14">
        <f t="shared" si="4"/>
        <v>35.234893514056914</v>
      </c>
      <c r="BD14">
        <v>1013.2</v>
      </c>
      <c r="BE14">
        <f t="shared" si="5"/>
        <v>31.29288340580451</v>
      </c>
    </row>
    <row r="15" spans="1:57" x14ac:dyDescent="0.2">
      <c r="A15" s="13">
        <v>6</v>
      </c>
      <c r="B15" s="3">
        <v>20</v>
      </c>
      <c r="C15" s="17">
        <v>2</v>
      </c>
      <c r="D15" s="3">
        <v>4</v>
      </c>
      <c r="E15" s="18">
        <v>9</v>
      </c>
      <c r="F15" s="18">
        <v>12</v>
      </c>
      <c r="G15" s="18">
        <v>80</v>
      </c>
      <c r="H15" s="19">
        <v>2</v>
      </c>
      <c r="I15" s="18"/>
      <c r="J15" s="18"/>
      <c r="K15" s="20">
        <v>121</v>
      </c>
      <c r="L15" s="18">
        <v>268</v>
      </c>
      <c r="M15" s="18">
        <v>244</v>
      </c>
      <c r="N15" s="18">
        <v>286</v>
      </c>
      <c r="O15" s="18">
        <v>81</v>
      </c>
      <c r="P15" s="18">
        <v>233</v>
      </c>
      <c r="Q15" s="17">
        <v>1</v>
      </c>
      <c r="R15" s="17">
        <v>1</v>
      </c>
      <c r="S15" s="17">
        <v>0</v>
      </c>
      <c r="T15" s="17">
        <v>1</v>
      </c>
      <c r="U15" s="17">
        <v>1</v>
      </c>
      <c r="V15" s="3">
        <v>8</v>
      </c>
      <c r="W15" s="20">
        <v>66</v>
      </c>
      <c r="X15" s="3">
        <v>8</v>
      </c>
      <c r="Y15" s="3"/>
      <c r="Z15" s="3"/>
      <c r="AA15" s="20"/>
      <c r="AB15" s="3"/>
      <c r="AC15" s="3"/>
      <c r="AD15" s="20"/>
      <c r="AE15" s="3"/>
      <c r="AF15" s="3"/>
      <c r="AG15" s="20"/>
      <c r="AH15" s="107"/>
      <c r="AI15" s="107"/>
      <c r="AJ15" s="107"/>
      <c r="AK15" s="107"/>
      <c r="AL15" s="108"/>
      <c r="AN15" s="67">
        <f t="shared" si="2"/>
        <v>-3.0262996534045215</v>
      </c>
      <c r="AO15" s="67">
        <f t="shared" si="2"/>
        <v>-1.0284300101823334</v>
      </c>
      <c r="AP15" s="67">
        <f t="shared" si="2"/>
        <v>-1.7438438703061081</v>
      </c>
      <c r="AY15" s="67">
        <f t="shared" si="0"/>
        <v>289.02629965340452</v>
      </c>
      <c r="AZ15" s="67">
        <f t="shared" si="1"/>
        <v>82.028430010182333</v>
      </c>
      <c r="BA15" s="67">
        <f t="shared" si="3"/>
        <v>234.74384387030611</v>
      </c>
      <c r="BC15">
        <f t="shared" si="4"/>
        <v>35.234893514056914</v>
      </c>
      <c r="BD15">
        <v>1013.2</v>
      </c>
      <c r="BE15">
        <f t="shared" si="5"/>
        <v>30.552572506268454</v>
      </c>
    </row>
    <row r="16" spans="1:57" x14ac:dyDescent="0.2">
      <c r="A16" s="13">
        <v>7</v>
      </c>
      <c r="B16" s="3">
        <v>20</v>
      </c>
      <c r="C16" s="17">
        <v>4</v>
      </c>
      <c r="D16" s="3">
        <v>4</v>
      </c>
      <c r="E16" s="18">
        <v>9</v>
      </c>
      <c r="F16" s="18">
        <v>14</v>
      </c>
      <c r="G16" s="18">
        <v>76</v>
      </c>
      <c r="H16" s="19">
        <v>2</v>
      </c>
      <c r="I16" s="18"/>
      <c r="J16" s="18"/>
      <c r="K16" s="20">
        <v>113</v>
      </c>
      <c r="L16" s="18">
        <v>266</v>
      </c>
      <c r="M16" s="18">
        <v>238</v>
      </c>
      <c r="N16" s="18">
        <v>273</v>
      </c>
      <c r="O16" s="18">
        <v>78</v>
      </c>
      <c r="P16" s="18">
        <v>225</v>
      </c>
      <c r="Q16" s="17">
        <v>1</v>
      </c>
      <c r="R16" s="17">
        <v>2</v>
      </c>
      <c r="S16" s="17">
        <v>0</v>
      </c>
      <c r="T16" s="17">
        <v>2</v>
      </c>
      <c r="U16" s="17">
        <v>1</v>
      </c>
      <c r="V16" s="3">
        <v>8</v>
      </c>
      <c r="W16" s="20">
        <v>69</v>
      </c>
      <c r="X16" s="3">
        <v>8</v>
      </c>
      <c r="Y16" s="3">
        <v>3</v>
      </c>
      <c r="Z16" s="3">
        <v>0</v>
      </c>
      <c r="AA16" s="20">
        <v>840</v>
      </c>
      <c r="AB16" s="3"/>
      <c r="AC16" s="3"/>
      <c r="AD16" s="20"/>
      <c r="AE16" s="3"/>
      <c r="AF16" s="3"/>
      <c r="AG16" s="20"/>
      <c r="AH16" s="107"/>
      <c r="AI16" s="107"/>
      <c r="AJ16" s="107"/>
      <c r="AK16" s="107"/>
      <c r="AL16" s="108"/>
      <c r="AN16" s="67">
        <f t="shared" si="2"/>
        <v>-2.4721404705683199</v>
      </c>
      <c r="AO16" s="67">
        <f t="shared" si="2"/>
        <v>-1.1084944842867941</v>
      </c>
      <c r="AP16" s="67">
        <f t="shared" si="2"/>
        <v>-1.810896187177093</v>
      </c>
      <c r="AY16" s="67">
        <f t="shared" si="0"/>
        <v>275.47214047056832</v>
      </c>
      <c r="AZ16" s="67">
        <f t="shared" si="1"/>
        <v>79.108494484286794</v>
      </c>
      <c r="BA16" s="67">
        <f t="shared" si="3"/>
        <v>226.81089618717709</v>
      </c>
      <c r="BC16">
        <f t="shared" si="4"/>
        <v>34.822068384234633</v>
      </c>
      <c r="BD16">
        <v>1013.2</v>
      </c>
      <c r="BE16">
        <f t="shared" si="5"/>
        <v>29.470855059888834</v>
      </c>
    </row>
    <row r="17" spans="1:57" x14ac:dyDescent="0.2">
      <c r="A17" s="13">
        <v>8</v>
      </c>
      <c r="B17" s="3">
        <v>20</v>
      </c>
      <c r="C17" s="17">
        <v>1</v>
      </c>
      <c r="D17" s="3">
        <v>4</v>
      </c>
      <c r="E17" s="18">
        <v>10</v>
      </c>
      <c r="F17" s="18">
        <v>13</v>
      </c>
      <c r="G17" s="18">
        <v>75</v>
      </c>
      <c r="H17" s="19">
        <v>2</v>
      </c>
      <c r="I17" s="18"/>
      <c r="J17" s="18"/>
      <c r="K17" s="20">
        <v>119</v>
      </c>
      <c r="L17" s="18">
        <v>271</v>
      </c>
      <c r="M17" s="18">
        <v>250</v>
      </c>
      <c r="N17" s="18">
        <v>300</v>
      </c>
      <c r="O17" s="18">
        <v>84</v>
      </c>
      <c r="P17" s="18">
        <v>241</v>
      </c>
      <c r="Q17" s="17">
        <v>1</v>
      </c>
      <c r="R17" s="17">
        <v>8</v>
      </c>
      <c r="S17" s="17">
        <v>0</v>
      </c>
      <c r="T17" s="17">
        <v>0</v>
      </c>
      <c r="U17" s="17">
        <v>1</v>
      </c>
      <c r="V17" s="3">
        <v>8</v>
      </c>
      <c r="W17" s="20">
        <v>63</v>
      </c>
      <c r="X17" s="3">
        <v>8</v>
      </c>
      <c r="Y17" s="3"/>
      <c r="Z17" s="3"/>
      <c r="AA17" s="20"/>
      <c r="AB17" s="3"/>
      <c r="AC17" s="3"/>
      <c r="AD17" s="20"/>
      <c r="AE17" s="3"/>
      <c r="AF17" s="3"/>
      <c r="AG17" s="20"/>
      <c r="AH17" s="107"/>
      <c r="AI17" s="107"/>
      <c r="AJ17" s="107"/>
      <c r="AK17" s="107"/>
      <c r="AL17" s="108"/>
      <c r="AN17" s="67">
        <f t="shared" si="2"/>
        <v>-2.2422292261599637</v>
      </c>
      <c r="AO17" s="67">
        <f t="shared" si="2"/>
        <v>-0.27888238187512115</v>
      </c>
      <c r="AP17" s="67">
        <f t="shared" si="2"/>
        <v>-1.1710501702949045</v>
      </c>
      <c r="AY17" s="67">
        <f t="shared" si="0"/>
        <v>302.24222922615996</v>
      </c>
      <c r="AZ17" s="67">
        <f t="shared" si="1"/>
        <v>84.278882381875121</v>
      </c>
      <c r="BA17" s="67">
        <f t="shared" si="3"/>
        <v>242.1710501702949</v>
      </c>
      <c r="BC17">
        <f t="shared" si="4"/>
        <v>35.862154395530958</v>
      </c>
      <c r="BD17">
        <v>1013.2</v>
      </c>
      <c r="BE17">
        <f t="shared" si="5"/>
        <v>31.668891609615997</v>
      </c>
    </row>
    <row r="18" spans="1:57" x14ac:dyDescent="0.2">
      <c r="A18" s="13">
        <v>9</v>
      </c>
      <c r="B18" s="3">
        <v>20</v>
      </c>
      <c r="C18" s="17">
        <v>5</v>
      </c>
      <c r="D18" s="3">
        <v>4</v>
      </c>
      <c r="E18" s="18">
        <v>9</v>
      </c>
      <c r="F18" s="18">
        <v>12</v>
      </c>
      <c r="G18" s="18">
        <v>78</v>
      </c>
      <c r="H18" s="19">
        <v>2</v>
      </c>
      <c r="I18" s="18"/>
      <c r="J18" s="18"/>
      <c r="K18" s="20">
        <v>120</v>
      </c>
      <c r="L18" s="18">
        <v>270</v>
      </c>
      <c r="M18" s="18">
        <v>246</v>
      </c>
      <c r="N18" s="18">
        <v>291</v>
      </c>
      <c r="O18" s="18">
        <v>82</v>
      </c>
      <c r="P18" s="18">
        <v>236</v>
      </c>
      <c r="Q18" s="17">
        <v>1</v>
      </c>
      <c r="R18" s="17">
        <v>2</v>
      </c>
      <c r="S18" s="17">
        <v>0</v>
      </c>
      <c r="T18" s="17">
        <v>1</v>
      </c>
      <c r="U18" s="17">
        <v>1</v>
      </c>
      <c r="V18" s="3">
        <v>8</v>
      </c>
      <c r="W18" s="20">
        <v>66</v>
      </c>
      <c r="X18" s="3">
        <v>8</v>
      </c>
      <c r="Y18" s="3">
        <v>5</v>
      </c>
      <c r="Z18" s="3">
        <v>0</v>
      </c>
      <c r="AA18" s="20">
        <v>900</v>
      </c>
      <c r="AB18" s="3"/>
      <c r="AC18" s="3"/>
      <c r="AD18" s="20"/>
      <c r="AE18" s="3"/>
      <c r="AF18" s="3"/>
      <c r="AG18" s="20"/>
      <c r="AH18" s="107"/>
      <c r="AI18" s="107"/>
      <c r="AJ18" s="107"/>
      <c r="AK18" s="107"/>
      <c r="AL18" s="108"/>
      <c r="AN18" s="67">
        <f t="shared" si="2"/>
        <v>-1.7047689114097011</v>
      </c>
      <c r="AO18" s="67">
        <f t="shared" si="2"/>
        <v>-0.10053827195839915</v>
      </c>
      <c r="AP18" s="67">
        <f t="shared" si="2"/>
        <v>-0.8404906043252538</v>
      </c>
      <c r="AY18" s="67">
        <f t="shared" si="0"/>
        <v>292.7047689114097</v>
      </c>
      <c r="AZ18" s="67">
        <f t="shared" si="1"/>
        <v>82.100538271958399</v>
      </c>
      <c r="BA18" s="67">
        <f t="shared" si="3"/>
        <v>236.84049060432525</v>
      </c>
      <c r="BC18">
        <f t="shared" si="4"/>
        <v>35.651991457330503</v>
      </c>
      <c r="BD18">
        <v>1013.2</v>
      </c>
      <c r="BE18">
        <f t="shared" si="5"/>
        <v>30.920788561092973</v>
      </c>
    </row>
    <row r="19" spans="1:57" x14ac:dyDescent="0.2">
      <c r="A19" s="13">
        <v>10</v>
      </c>
      <c r="B19" s="3">
        <v>20</v>
      </c>
      <c r="C19" s="17">
        <v>3</v>
      </c>
      <c r="D19" s="3">
        <v>4</v>
      </c>
      <c r="E19" s="18">
        <v>9</v>
      </c>
      <c r="F19" s="18">
        <v>10</v>
      </c>
      <c r="G19" s="18">
        <v>75</v>
      </c>
      <c r="H19" s="19">
        <v>2</v>
      </c>
      <c r="I19" s="18"/>
      <c r="J19" s="18"/>
      <c r="K19" s="20">
        <v>94</v>
      </c>
      <c r="L19" s="18">
        <v>270</v>
      </c>
      <c r="M19" s="18">
        <v>246</v>
      </c>
      <c r="N19" s="18">
        <v>290</v>
      </c>
      <c r="O19" s="18">
        <v>81</v>
      </c>
      <c r="P19" s="18">
        <v>235</v>
      </c>
      <c r="Q19" s="17">
        <v>1</v>
      </c>
      <c r="R19" s="17">
        <v>2</v>
      </c>
      <c r="S19" s="17">
        <v>0</v>
      </c>
      <c r="T19" s="17">
        <v>1</v>
      </c>
      <c r="U19" s="17">
        <v>1</v>
      </c>
      <c r="V19" s="3">
        <v>8</v>
      </c>
      <c r="W19" s="20">
        <v>66</v>
      </c>
      <c r="X19" s="3">
        <v>8</v>
      </c>
      <c r="Y19" s="3">
        <v>3</v>
      </c>
      <c r="Z19" s="3">
        <v>0</v>
      </c>
      <c r="AA19" s="20">
        <v>900</v>
      </c>
      <c r="AB19" s="3"/>
      <c r="AC19" s="3"/>
      <c r="AD19" s="20"/>
      <c r="AE19" s="3"/>
      <c r="AF19" s="3"/>
      <c r="AG19" s="20"/>
      <c r="AH19" s="107"/>
      <c r="AI19" s="107"/>
      <c r="AJ19" s="107"/>
      <c r="AK19" s="107"/>
      <c r="AL19" s="108"/>
      <c r="AN19" s="67">
        <f t="shared" si="2"/>
        <v>-2.7047689114097011</v>
      </c>
      <c r="AO19" s="67">
        <f t="shared" si="2"/>
        <v>-1.1005382719583992</v>
      </c>
      <c r="AP19" s="67">
        <f t="shared" si="2"/>
        <v>-1.8404906043252538</v>
      </c>
      <c r="AY19" s="67">
        <f t="shared" si="0"/>
        <v>292.7047689114097</v>
      </c>
      <c r="AZ19" s="67">
        <f t="shared" si="1"/>
        <v>82.100538271958399</v>
      </c>
      <c r="BA19" s="67">
        <f t="shared" si="3"/>
        <v>236.84049060432525</v>
      </c>
      <c r="BC19">
        <f t="shared" si="4"/>
        <v>35.651991457330503</v>
      </c>
      <c r="BD19">
        <v>1013.2</v>
      </c>
      <c r="BE19">
        <f t="shared" si="5"/>
        <v>30.920788561092973</v>
      </c>
    </row>
    <row r="20" spans="1:57" x14ac:dyDescent="0.2">
      <c r="A20" s="13">
        <v>11</v>
      </c>
      <c r="B20" s="3">
        <v>20</v>
      </c>
      <c r="C20" s="17">
        <v>6</v>
      </c>
      <c r="D20" s="3">
        <v>4</v>
      </c>
      <c r="E20" s="18">
        <v>0</v>
      </c>
      <c r="F20" s="18">
        <v>0</v>
      </c>
      <c r="G20" s="18">
        <v>70</v>
      </c>
      <c r="H20" s="19">
        <v>1</v>
      </c>
      <c r="I20" s="18">
        <v>5</v>
      </c>
      <c r="J20" s="18">
        <v>22</v>
      </c>
      <c r="K20" s="20">
        <v>106</v>
      </c>
      <c r="L20" s="18">
        <v>260</v>
      </c>
      <c r="M20" s="18">
        <v>237</v>
      </c>
      <c r="N20" s="18">
        <v>275</v>
      </c>
      <c r="O20" s="18">
        <v>82</v>
      </c>
      <c r="P20" s="18">
        <v>226</v>
      </c>
      <c r="Q20" s="17">
        <v>1</v>
      </c>
      <c r="R20" s="17">
        <v>2</v>
      </c>
      <c r="S20" s="17">
        <v>0</v>
      </c>
      <c r="T20" s="17">
        <v>2</v>
      </c>
      <c r="U20" s="17">
        <v>1</v>
      </c>
      <c r="V20" s="3">
        <v>8</v>
      </c>
      <c r="W20" s="20">
        <v>54</v>
      </c>
      <c r="X20" s="3">
        <v>8</v>
      </c>
      <c r="Y20" s="3">
        <v>6</v>
      </c>
      <c r="Z20" s="3">
        <v>0</v>
      </c>
      <c r="AA20" s="20">
        <v>840</v>
      </c>
      <c r="AB20" s="3"/>
      <c r="AC20" s="3"/>
      <c r="AD20" s="20"/>
      <c r="AE20" s="3"/>
      <c r="AF20" s="3"/>
      <c r="AG20" s="20"/>
      <c r="AH20" s="107" t="s">
        <v>85</v>
      </c>
      <c r="AI20" s="107"/>
      <c r="AJ20" s="107"/>
      <c r="AK20" s="107"/>
      <c r="AL20" s="108"/>
      <c r="AN20" s="67">
        <f t="shared" si="2"/>
        <v>-2.139116155554575</v>
      </c>
      <c r="AO20" s="67">
        <f t="shared" si="2"/>
        <v>-0.46013521745932451</v>
      </c>
      <c r="AP20" s="67">
        <f t="shared" si="2"/>
        <v>-1.8047485100318568</v>
      </c>
      <c r="AY20" s="67">
        <f t="shared" si="0"/>
        <v>277.13911615555458</v>
      </c>
      <c r="AZ20" s="67">
        <f t="shared" si="1"/>
        <v>82.460135217459325</v>
      </c>
      <c r="BA20" s="67">
        <f t="shared" si="3"/>
        <v>227.80474851003186</v>
      </c>
      <c r="BC20">
        <f t="shared" si="4"/>
        <v>33.608860260136439</v>
      </c>
      <c r="BD20">
        <v>1013.2</v>
      </c>
      <c r="BE20">
        <f t="shared" si="5"/>
        <v>29.293868430343458</v>
      </c>
    </row>
    <row r="21" spans="1:57" x14ac:dyDescent="0.2">
      <c r="A21" s="13">
        <v>12</v>
      </c>
      <c r="B21" s="3">
        <v>20</v>
      </c>
      <c r="C21" s="17">
        <v>6</v>
      </c>
      <c r="D21" s="3">
        <v>4</v>
      </c>
      <c r="E21" s="18">
        <v>6</v>
      </c>
      <c r="F21" s="18">
        <v>8</v>
      </c>
      <c r="G21" s="18">
        <v>75</v>
      </c>
      <c r="H21" s="19">
        <v>1</v>
      </c>
      <c r="I21" s="18">
        <v>1</v>
      </c>
      <c r="J21" s="18">
        <v>82</v>
      </c>
      <c r="K21" s="20">
        <v>123</v>
      </c>
      <c r="L21" s="18">
        <v>262</v>
      </c>
      <c r="M21" s="18">
        <v>235</v>
      </c>
      <c r="N21" s="18">
        <v>269</v>
      </c>
      <c r="O21" s="18">
        <v>79</v>
      </c>
      <c r="P21" s="18">
        <v>223</v>
      </c>
      <c r="Q21" s="17">
        <v>2</v>
      </c>
      <c r="R21" s="17">
        <v>8</v>
      </c>
      <c r="S21" s="17">
        <v>0</v>
      </c>
      <c r="T21" s="17">
        <v>2</v>
      </c>
      <c r="U21" s="17">
        <v>1</v>
      </c>
      <c r="V21" s="3">
        <v>8</v>
      </c>
      <c r="W21" s="20">
        <v>66</v>
      </c>
      <c r="X21" s="3">
        <v>8</v>
      </c>
      <c r="Y21" s="3">
        <v>6</v>
      </c>
      <c r="Z21" s="3">
        <v>0</v>
      </c>
      <c r="AA21" s="20">
        <v>840</v>
      </c>
      <c r="AB21" s="3"/>
      <c r="AC21" s="3"/>
      <c r="AD21" s="20"/>
      <c r="AE21" s="3"/>
      <c r="AF21" s="3"/>
      <c r="AG21" s="20"/>
      <c r="AH21" s="107" t="s">
        <v>85</v>
      </c>
      <c r="AI21" s="107"/>
      <c r="AJ21" s="107"/>
      <c r="AK21" s="107"/>
      <c r="AL21" s="108"/>
      <c r="AN21" s="67">
        <f t="shared" si="2"/>
        <v>-1.8836903910500951</v>
      </c>
      <c r="AO21" s="67">
        <f t="shared" si="2"/>
        <v>-0.65038248451037362</v>
      </c>
      <c r="AP21" s="67">
        <f t="shared" si="2"/>
        <v>-1.0477843681687773</v>
      </c>
      <c r="AY21" s="67">
        <f t="shared" si="0"/>
        <v>270.8836903910501</v>
      </c>
      <c r="AZ21" s="67">
        <f t="shared" si="1"/>
        <v>79.650382484510374</v>
      </c>
      <c r="BA21" s="67">
        <f t="shared" si="3"/>
        <v>224.04778436816878</v>
      </c>
      <c r="BC21">
        <f t="shared" si="4"/>
        <v>34.009088461531107</v>
      </c>
      <c r="BD21">
        <v>1013.2</v>
      </c>
      <c r="BE21">
        <f t="shared" si="5"/>
        <v>28.94268568196501</v>
      </c>
    </row>
    <row r="22" spans="1:57" x14ac:dyDescent="0.2">
      <c r="A22" s="13">
        <v>13</v>
      </c>
      <c r="B22" s="3">
        <v>20</v>
      </c>
      <c r="C22" s="17">
        <v>2</v>
      </c>
      <c r="D22" s="3">
        <v>4</v>
      </c>
      <c r="E22" s="18">
        <v>6</v>
      </c>
      <c r="F22" s="18">
        <v>5</v>
      </c>
      <c r="G22" s="18">
        <v>74</v>
      </c>
      <c r="H22" s="19">
        <v>1</v>
      </c>
      <c r="I22" s="18">
        <v>6</v>
      </c>
      <c r="J22" s="18">
        <v>0</v>
      </c>
      <c r="K22" s="20">
        <v>130</v>
      </c>
      <c r="L22" s="18">
        <v>267</v>
      </c>
      <c r="M22" s="18">
        <v>241</v>
      </c>
      <c r="N22" s="18">
        <v>279</v>
      </c>
      <c r="O22" s="18">
        <v>80</v>
      </c>
      <c r="P22" s="18">
        <v>229</v>
      </c>
      <c r="Q22" s="17">
        <v>1</v>
      </c>
      <c r="R22" s="17">
        <v>2</v>
      </c>
      <c r="S22" s="17">
        <v>0</v>
      </c>
      <c r="T22" s="17">
        <v>1</v>
      </c>
      <c r="U22" s="17">
        <v>1</v>
      </c>
      <c r="V22" s="3">
        <v>8</v>
      </c>
      <c r="W22" s="20">
        <v>57</v>
      </c>
      <c r="X22" s="3">
        <v>8</v>
      </c>
      <c r="Y22" s="3"/>
      <c r="Z22" s="3"/>
      <c r="AA22" s="20"/>
      <c r="AB22" s="3"/>
      <c r="AC22" s="3"/>
      <c r="AD22" s="20"/>
      <c r="AE22" s="3"/>
      <c r="AF22" s="3"/>
      <c r="AG22" s="20"/>
      <c r="AH22" s="107" t="s">
        <v>85</v>
      </c>
      <c r="AI22" s="107"/>
      <c r="AJ22" s="107"/>
      <c r="AK22" s="107"/>
      <c r="AL22" s="108"/>
      <c r="AN22" s="67">
        <f t="shared" si="2"/>
        <v>-3.2060822008112382</v>
      </c>
      <c r="AO22" s="67">
        <f t="shared" si="2"/>
        <v>-0.56597342247390259</v>
      </c>
      <c r="AP22" s="67">
        <f t="shared" si="2"/>
        <v>-1.7938476828066143</v>
      </c>
      <c r="AY22" s="67">
        <f t="shared" si="0"/>
        <v>282.20608220081124</v>
      </c>
      <c r="AZ22" s="67">
        <f t="shared" si="1"/>
        <v>80.565973422473903</v>
      </c>
      <c r="BA22" s="67">
        <f t="shared" si="3"/>
        <v>230.79384768280661</v>
      </c>
      <c r="BC22">
        <f t="shared" si="4"/>
        <v>35.027949171664794</v>
      </c>
      <c r="BD22">
        <v>1013.2</v>
      </c>
      <c r="BE22">
        <f t="shared" si="5"/>
        <v>30.007446138089119</v>
      </c>
    </row>
    <row r="23" spans="1:57" x14ac:dyDescent="0.2">
      <c r="A23" s="13">
        <v>14</v>
      </c>
      <c r="B23" s="3">
        <v>20</v>
      </c>
      <c r="C23" s="17">
        <v>6</v>
      </c>
      <c r="D23" s="3">
        <v>4</v>
      </c>
      <c r="E23" s="18">
        <v>9</v>
      </c>
      <c r="F23" s="18">
        <v>5</v>
      </c>
      <c r="G23" s="18">
        <v>76</v>
      </c>
      <c r="H23" s="19">
        <v>2</v>
      </c>
      <c r="I23" s="18"/>
      <c r="J23" s="18"/>
      <c r="K23" s="20">
        <v>123</v>
      </c>
      <c r="L23" s="18">
        <v>262</v>
      </c>
      <c r="M23" s="18">
        <v>233</v>
      </c>
      <c r="N23" s="18">
        <v>265</v>
      </c>
      <c r="O23" s="18">
        <v>78</v>
      </c>
      <c r="P23" s="18">
        <v>219</v>
      </c>
      <c r="Q23" s="17">
        <v>1</v>
      </c>
      <c r="R23" s="17">
        <v>8</v>
      </c>
      <c r="S23" s="17">
        <v>0</v>
      </c>
      <c r="T23" s="17">
        <v>1</v>
      </c>
      <c r="U23" s="17">
        <v>1</v>
      </c>
      <c r="V23" s="3">
        <v>8</v>
      </c>
      <c r="W23" s="20">
        <v>54</v>
      </c>
      <c r="X23" s="3">
        <v>8</v>
      </c>
      <c r="Y23" s="3">
        <v>6</v>
      </c>
      <c r="Z23" s="3">
        <v>0</v>
      </c>
      <c r="AA23" s="20">
        <v>840</v>
      </c>
      <c r="AB23" s="3"/>
      <c r="AC23" s="3"/>
      <c r="AD23" s="20"/>
      <c r="AE23" s="3"/>
      <c r="AF23" s="3"/>
      <c r="AG23" s="20"/>
      <c r="AH23" s="107"/>
      <c r="AI23" s="107"/>
      <c r="AJ23" s="107"/>
      <c r="AK23" s="107"/>
      <c r="AL23" s="108"/>
      <c r="AN23" s="67">
        <f t="shared" si="2"/>
        <v>-1.0396854264831745</v>
      </c>
      <c r="AO23" s="67">
        <f t="shared" si="2"/>
        <v>-0.22605587544933314</v>
      </c>
      <c r="AP23" s="67">
        <f t="shared" si="2"/>
        <v>-2.0859089251803766</v>
      </c>
      <c r="AY23" s="67">
        <f t="shared" si="0"/>
        <v>266.03968542648317</v>
      </c>
      <c r="AZ23" s="67">
        <f t="shared" si="1"/>
        <v>78.226055875449333</v>
      </c>
      <c r="BA23" s="67">
        <f t="shared" si="3"/>
        <v>221.08590892518038</v>
      </c>
      <c r="BC23">
        <f t="shared" si="4"/>
        <v>34.009088461531107</v>
      </c>
      <c r="BD23">
        <v>1013.2</v>
      </c>
      <c r="BE23">
        <f t="shared" si="5"/>
        <v>28.595195942964317</v>
      </c>
    </row>
    <row r="24" spans="1:57" x14ac:dyDescent="0.2">
      <c r="A24" s="13">
        <v>15</v>
      </c>
      <c r="B24" s="3">
        <v>20</v>
      </c>
      <c r="C24" s="17">
        <v>2</v>
      </c>
      <c r="D24" s="3">
        <v>4</v>
      </c>
      <c r="E24" s="18">
        <v>7</v>
      </c>
      <c r="F24" s="18">
        <v>5</v>
      </c>
      <c r="G24" s="18">
        <v>78</v>
      </c>
      <c r="H24" s="19">
        <v>2</v>
      </c>
      <c r="I24" s="18"/>
      <c r="J24" s="18"/>
      <c r="K24" s="20">
        <v>117</v>
      </c>
      <c r="L24" s="18">
        <v>266</v>
      </c>
      <c r="M24" s="18">
        <v>235</v>
      </c>
      <c r="N24" s="18">
        <v>265</v>
      </c>
      <c r="O24" s="18">
        <v>76</v>
      </c>
      <c r="P24" s="18">
        <v>220</v>
      </c>
      <c r="Q24" s="17">
        <v>1</v>
      </c>
      <c r="R24" s="17">
        <v>2</v>
      </c>
      <c r="S24" s="17">
        <v>0</v>
      </c>
      <c r="T24" s="17">
        <v>1</v>
      </c>
      <c r="U24" s="17">
        <v>1</v>
      </c>
      <c r="V24" s="3">
        <v>8</v>
      </c>
      <c r="W24" s="20">
        <v>63</v>
      </c>
      <c r="X24" s="3">
        <v>8</v>
      </c>
      <c r="Y24" s="3"/>
      <c r="Z24" s="3"/>
      <c r="AA24" s="20"/>
      <c r="AB24" s="3"/>
      <c r="AC24" s="3"/>
      <c r="AD24" s="20"/>
      <c r="AE24" s="3"/>
      <c r="AF24" s="3"/>
      <c r="AG24" s="20"/>
      <c r="AH24" s="107"/>
      <c r="AI24" s="107"/>
      <c r="AJ24" s="107"/>
      <c r="AK24" s="107"/>
      <c r="AL24" s="108"/>
      <c r="AN24" s="67">
        <f t="shared" si="2"/>
        <v>-3.1365546238500883</v>
      </c>
      <c r="AO24" s="67">
        <f t="shared" si="2"/>
        <v>-1.0019034094041359</v>
      </c>
      <c r="AP24" s="67">
        <f t="shared" si="2"/>
        <v>-2.3737973819851561</v>
      </c>
      <c r="AY24" s="67">
        <f t="shared" si="0"/>
        <v>268.13655462385009</v>
      </c>
      <c r="AZ24" s="67">
        <f t="shared" si="1"/>
        <v>77.001903409404136</v>
      </c>
      <c r="BA24" s="67">
        <f t="shared" si="3"/>
        <v>222.37379738198516</v>
      </c>
      <c r="BC24">
        <f t="shared" si="4"/>
        <v>34.822068384234633</v>
      </c>
      <c r="BD24">
        <v>1013.2</v>
      </c>
      <c r="BE24">
        <f t="shared" si="5"/>
        <v>28.94268568196501</v>
      </c>
    </row>
    <row r="25" spans="1:57" x14ac:dyDescent="0.2">
      <c r="A25" s="13">
        <v>16</v>
      </c>
      <c r="B25" s="3">
        <v>20</v>
      </c>
      <c r="C25" s="17">
        <v>6</v>
      </c>
      <c r="D25" s="3">
        <v>4</v>
      </c>
      <c r="E25" s="18">
        <v>9</v>
      </c>
      <c r="F25" s="18">
        <v>12</v>
      </c>
      <c r="G25" s="18">
        <v>70</v>
      </c>
      <c r="H25" s="19">
        <v>1</v>
      </c>
      <c r="I25" s="18">
        <v>5</v>
      </c>
      <c r="J25" s="18">
        <v>22</v>
      </c>
      <c r="K25" s="20">
        <v>134</v>
      </c>
      <c r="L25" s="18">
        <v>265</v>
      </c>
      <c r="M25" s="18">
        <v>235</v>
      </c>
      <c r="N25" s="18">
        <v>266</v>
      </c>
      <c r="O25" s="18">
        <v>77</v>
      </c>
      <c r="P25" s="18">
        <v>221</v>
      </c>
      <c r="Q25" s="17">
        <v>3</v>
      </c>
      <c r="R25" s="17">
        <v>8</v>
      </c>
      <c r="S25" s="17">
        <v>0</v>
      </c>
      <c r="T25" s="17">
        <v>2</v>
      </c>
      <c r="U25" s="17">
        <v>2</v>
      </c>
      <c r="V25" s="3">
        <v>8</v>
      </c>
      <c r="W25" s="20">
        <v>54</v>
      </c>
      <c r="X25" s="3">
        <v>8</v>
      </c>
      <c r="Y25" s="3">
        <v>5</v>
      </c>
      <c r="Z25" s="3">
        <v>0</v>
      </c>
      <c r="AA25" s="20">
        <v>840</v>
      </c>
      <c r="AB25" s="3"/>
      <c r="AC25" s="3"/>
      <c r="AD25" s="20"/>
      <c r="AE25" s="3"/>
      <c r="AF25" s="3"/>
      <c r="AG25" s="20"/>
      <c r="AH25" s="107" t="s">
        <v>85</v>
      </c>
      <c r="AI25" s="107"/>
      <c r="AJ25" s="107"/>
      <c r="AK25" s="107"/>
      <c r="AL25" s="108"/>
      <c r="AN25" s="67">
        <f t="shared" si="2"/>
        <v>-2.82333856565009</v>
      </c>
      <c r="AO25" s="67">
        <f t="shared" si="2"/>
        <v>-0.65589859455090505</v>
      </c>
      <c r="AP25" s="67">
        <f t="shared" si="2"/>
        <v>-1.7936983896336471</v>
      </c>
      <c r="AY25" s="67">
        <f t="shared" si="0"/>
        <v>268.82333856565009</v>
      </c>
      <c r="AZ25" s="67">
        <f t="shared" si="1"/>
        <v>77.655898594550905</v>
      </c>
      <c r="BA25" s="67">
        <f t="shared" si="3"/>
        <v>222.79369838963365</v>
      </c>
      <c r="BC25">
        <f t="shared" si="4"/>
        <v>34.617246523564582</v>
      </c>
      <c r="BD25">
        <v>1013.2</v>
      </c>
      <c r="BE25">
        <f t="shared" si="5"/>
        <v>28.94268568196501</v>
      </c>
    </row>
    <row r="26" spans="1:57" x14ac:dyDescent="0.2">
      <c r="A26" s="13">
        <v>17</v>
      </c>
      <c r="B26" s="3">
        <v>20</v>
      </c>
      <c r="C26" s="17">
        <v>8</v>
      </c>
      <c r="D26" s="3">
        <v>4</v>
      </c>
      <c r="E26" s="18">
        <v>0</v>
      </c>
      <c r="F26" s="18">
        <v>0</v>
      </c>
      <c r="G26" s="18">
        <v>70</v>
      </c>
      <c r="H26" s="19">
        <v>1</v>
      </c>
      <c r="I26" s="18">
        <v>5</v>
      </c>
      <c r="J26" s="18">
        <v>86</v>
      </c>
      <c r="K26" s="20">
        <v>142</v>
      </c>
      <c r="L26" s="18">
        <v>247</v>
      </c>
      <c r="M26" s="18">
        <v>238</v>
      </c>
      <c r="N26" s="18">
        <v>288</v>
      </c>
      <c r="O26" s="18">
        <v>92</v>
      </c>
      <c r="P26" s="18">
        <v>234</v>
      </c>
      <c r="Q26" s="17">
        <v>6</v>
      </c>
      <c r="R26" s="17">
        <v>8</v>
      </c>
      <c r="S26" s="17">
        <v>4</v>
      </c>
      <c r="T26" s="17">
        <v>2</v>
      </c>
      <c r="U26" s="17">
        <v>2</v>
      </c>
      <c r="V26" s="3">
        <v>8</v>
      </c>
      <c r="W26" s="20">
        <v>48</v>
      </c>
      <c r="X26" s="3">
        <v>8</v>
      </c>
      <c r="Y26" s="3">
        <v>6</v>
      </c>
      <c r="Z26" s="3">
        <v>6</v>
      </c>
      <c r="AA26" s="20">
        <v>105</v>
      </c>
      <c r="AB26" s="3"/>
      <c r="AC26" s="3"/>
      <c r="AD26" s="20"/>
      <c r="AE26" s="3"/>
      <c r="AF26" s="3"/>
      <c r="AG26" s="20"/>
      <c r="AH26" s="107" t="s">
        <v>85</v>
      </c>
      <c r="AI26" s="107"/>
      <c r="AJ26" s="107"/>
      <c r="AK26" s="107"/>
      <c r="AL26" s="108"/>
      <c r="AN26" s="67">
        <f t="shared" si="2"/>
        <v>-0.52541877192834363</v>
      </c>
      <c r="AO26" s="67">
        <f t="shared" si="2"/>
        <v>-0.7545109708548523</v>
      </c>
      <c r="AP26" s="67">
        <f t="shared" si="2"/>
        <v>-0.45654718599138278</v>
      </c>
      <c r="AY26" s="67">
        <f t="shared" si="0"/>
        <v>288.52541877192834</v>
      </c>
      <c r="AZ26" s="67">
        <f t="shared" si="1"/>
        <v>92.754510970854852</v>
      </c>
      <c r="BA26" s="67">
        <f t="shared" si="3"/>
        <v>234.45654718599138</v>
      </c>
      <c r="BC26">
        <f t="shared" si="4"/>
        <v>31.106348979899021</v>
      </c>
      <c r="BD26">
        <v>1013.2</v>
      </c>
      <c r="BE26">
        <f t="shared" si="5"/>
        <v>29.470855059888834</v>
      </c>
    </row>
    <row r="27" spans="1:57" x14ac:dyDescent="0.2">
      <c r="A27" s="13">
        <v>18</v>
      </c>
      <c r="B27" s="3">
        <v>20</v>
      </c>
      <c r="C27" s="17">
        <v>5</v>
      </c>
      <c r="D27" s="3">
        <v>4</v>
      </c>
      <c r="E27" s="18">
        <v>8</v>
      </c>
      <c r="F27" s="18">
        <v>10</v>
      </c>
      <c r="G27" s="18">
        <v>70</v>
      </c>
      <c r="H27" s="19">
        <v>1</v>
      </c>
      <c r="I27" s="18">
        <v>6</v>
      </c>
      <c r="J27" s="18">
        <v>82</v>
      </c>
      <c r="K27" s="20">
        <v>142</v>
      </c>
      <c r="L27" s="18">
        <v>265</v>
      </c>
      <c r="M27" s="18">
        <v>254</v>
      </c>
      <c r="N27" s="18">
        <v>315</v>
      </c>
      <c r="O27" s="18">
        <v>91</v>
      </c>
      <c r="P27" s="18">
        <v>249</v>
      </c>
      <c r="Q27" s="17">
        <v>4</v>
      </c>
      <c r="R27" s="17">
        <v>8</v>
      </c>
      <c r="S27" s="17">
        <v>0</v>
      </c>
      <c r="T27" s="17">
        <v>2</v>
      </c>
      <c r="U27" s="17">
        <v>3</v>
      </c>
      <c r="V27" s="3">
        <v>8</v>
      </c>
      <c r="W27" s="20">
        <v>54</v>
      </c>
      <c r="X27" s="3">
        <v>8</v>
      </c>
      <c r="Y27" s="3"/>
      <c r="Z27" s="3"/>
      <c r="AA27" s="20"/>
      <c r="AB27" s="3"/>
      <c r="AC27" s="3"/>
      <c r="AD27" s="20"/>
      <c r="AE27" s="3"/>
      <c r="AF27" s="3"/>
      <c r="AG27" s="20"/>
      <c r="AH27" s="107" t="s">
        <v>85</v>
      </c>
      <c r="AI27" s="107"/>
      <c r="AJ27" s="107"/>
      <c r="AK27" s="107"/>
      <c r="AL27" s="108"/>
      <c r="AN27" s="67">
        <f t="shared" si="2"/>
        <v>-1.7571801969605758</v>
      </c>
      <c r="AO27" s="67">
        <f t="shared" si="2"/>
        <v>-0.50270804506021705</v>
      </c>
      <c r="AP27" s="67">
        <f t="shared" si="2"/>
        <v>-1.0075308360642339</v>
      </c>
      <c r="AY27" s="67">
        <f t="shared" si="0"/>
        <v>316.75718019696058</v>
      </c>
      <c r="AZ27" s="67">
        <f t="shared" si="1"/>
        <v>91.502708045060217</v>
      </c>
      <c r="BA27" s="67">
        <f t="shared" si="3"/>
        <v>250.00753083606423</v>
      </c>
      <c r="BC27">
        <f t="shared" si="4"/>
        <v>34.617246523564582</v>
      </c>
      <c r="BD27">
        <v>1013.2</v>
      </c>
      <c r="BE27">
        <f t="shared" si="5"/>
        <v>32.432787604968055</v>
      </c>
    </row>
    <row r="28" spans="1:57" x14ac:dyDescent="0.2">
      <c r="A28" s="13">
        <v>19</v>
      </c>
      <c r="B28" s="3">
        <v>20</v>
      </c>
      <c r="C28" s="17">
        <v>5</v>
      </c>
      <c r="D28" s="3">
        <v>4</v>
      </c>
      <c r="E28" s="18">
        <v>7</v>
      </c>
      <c r="F28" s="18">
        <v>13</v>
      </c>
      <c r="G28" s="18">
        <v>72</v>
      </c>
      <c r="H28" s="19">
        <v>1</v>
      </c>
      <c r="I28" s="18">
        <v>5</v>
      </c>
      <c r="J28" s="18">
        <v>11</v>
      </c>
      <c r="K28" s="20">
        <v>127</v>
      </c>
      <c r="L28" s="18">
        <v>274</v>
      </c>
      <c r="M28" s="18">
        <v>245</v>
      </c>
      <c r="N28" s="18">
        <v>285</v>
      </c>
      <c r="O28" s="18">
        <v>78</v>
      </c>
      <c r="P28" s="18">
        <v>232</v>
      </c>
      <c r="Q28" s="17">
        <v>4</v>
      </c>
      <c r="R28" s="17">
        <v>8</v>
      </c>
      <c r="S28" s="17">
        <v>0</v>
      </c>
      <c r="T28" s="17">
        <v>1</v>
      </c>
      <c r="U28" s="17">
        <v>2</v>
      </c>
      <c r="V28" s="3">
        <v>8</v>
      </c>
      <c r="W28" s="20">
        <v>54</v>
      </c>
      <c r="X28" s="3">
        <v>8</v>
      </c>
      <c r="Y28" s="3">
        <v>3</v>
      </c>
      <c r="Z28" s="3">
        <v>6</v>
      </c>
      <c r="AA28" s="20">
        <v>114</v>
      </c>
      <c r="AB28" s="3"/>
      <c r="AC28" s="3"/>
      <c r="AD28" s="20"/>
      <c r="AE28" s="3"/>
      <c r="AF28" s="3"/>
      <c r="AG28" s="20"/>
      <c r="AH28" s="107" t="s">
        <v>85</v>
      </c>
      <c r="AI28" s="107"/>
      <c r="AJ28" s="107"/>
      <c r="AK28" s="107"/>
      <c r="AL28" s="108"/>
      <c r="AN28" s="67">
        <f t="shared" si="2"/>
        <v>-2.4229425018706934</v>
      </c>
      <c r="AO28" s="67">
        <f t="shared" si="2"/>
        <v>-0.7478337570658482</v>
      </c>
      <c r="AP28" s="67">
        <f t="shared" si="2"/>
        <v>-1.8226434897288186</v>
      </c>
      <c r="AY28" s="67">
        <f t="shared" si="0"/>
        <v>287.42294250187069</v>
      </c>
      <c r="AZ28" s="67">
        <f t="shared" si="1"/>
        <v>78.747833757065848</v>
      </c>
      <c r="BA28" s="67">
        <f t="shared" si="3"/>
        <v>233.82264348972882</v>
      </c>
      <c r="BC28">
        <f t="shared" si="4"/>
        <v>36.499155441984577</v>
      </c>
      <c r="BD28">
        <v>1013.2</v>
      </c>
      <c r="BE28">
        <f t="shared" si="5"/>
        <v>30.736197835927069</v>
      </c>
    </row>
    <row r="29" spans="1:57" x14ac:dyDescent="0.2">
      <c r="A29" s="13">
        <v>20</v>
      </c>
      <c r="B29" s="3">
        <v>20</v>
      </c>
      <c r="C29" s="17">
        <v>5</v>
      </c>
      <c r="D29" s="3">
        <v>4</v>
      </c>
      <c r="E29" s="18">
        <v>8</v>
      </c>
      <c r="F29" s="18">
        <v>10</v>
      </c>
      <c r="G29" s="18">
        <v>68</v>
      </c>
      <c r="H29" s="19">
        <v>1</v>
      </c>
      <c r="I29" s="18">
        <v>5</v>
      </c>
      <c r="J29" s="18">
        <v>82</v>
      </c>
      <c r="K29" s="20">
        <v>119</v>
      </c>
      <c r="L29" s="18">
        <v>260</v>
      </c>
      <c r="M29" s="18">
        <v>244</v>
      </c>
      <c r="N29" s="18">
        <v>294</v>
      </c>
      <c r="O29" s="18">
        <v>87</v>
      </c>
      <c r="P29" s="18">
        <v>237</v>
      </c>
      <c r="Q29" s="17">
        <v>2</v>
      </c>
      <c r="R29" s="17">
        <v>2</v>
      </c>
      <c r="S29" s="17">
        <v>0</v>
      </c>
      <c r="T29" s="17">
        <v>1</v>
      </c>
      <c r="U29" s="17">
        <v>2</v>
      </c>
      <c r="V29" s="3">
        <v>8</v>
      </c>
      <c r="W29" s="20">
        <v>54</v>
      </c>
      <c r="X29" s="3">
        <v>8</v>
      </c>
      <c r="Y29" s="3">
        <v>4</v>
      </c>
      <c r="Z29" s="3">
        <v>0</v>
      </c>
      <c r="AA29" s="20">
        <v>900</v>
      </c>
      <c r="AB29" s="3"/>
      <c r="AC29" s="3"/>
      <c r="AD29" s="20"/>
      <c r="AE29" s="3"/>
      <c r="AF29" s="3"/>
      <c r="AG29" s="20"/>
      <c r="AH29" s="107" t="s">
        <v>85</v>
      </c>
      <c r="AI29" s="107"/>
      <c r="AJ29" s="107"/>
      <c r="AK29" s="107"/>
      <c r="AL29" s="108"/>
      <c r="AN29" s="67">
        <f t="shared" si="2"/>
        <v>-0.52610812316453348</v>
      </c>
      <c r="AO29" s="67">
        <f t="shared" si="2"/>
        <v>-0.63347100838845449</v>
      </c>
      <c r="AP29" s="67">
        <f t="shared" si="2"/>
        <v>-0.87008508389104122</v>
      </c>
      <c r="AY29" s="67">
        <f t="shared" si="0"/>
        <v>294.52610812316453</v>
      </c>
      <c r="AZ29" s="67">
        <f t="shared" si="1"/>
        <v>87.633471008388454</v>
      </c>
      <c r="BA29" s="67">
        <f t="shared" si="3"/>
        <v>237.87008508389104</v>
      </c>
      <c r="BC29">
        <f t="shared" si="4"/>
        <v>33.608860260136439</v>
      </c>
      <c r="BD29">
        <v>1013.2</v>
      </c>
      <c r="BE29">
        <f t="shared" si="5"/>
        <v>30.552572506268454</v>
      </c>
    </row>
    <row r="30" spans="1:57" x14ac:dyDescent="0.2">
      <c r="A30" s="13">
        <v>21</v>
      </c>
      <c r="B30" s="3">
        <v>20</v>
      </c>
      <c r="C30" s="17">
        <v>5</v>
      </c>
      <c r="D30" s="3">
        <v>4</v>
      </c>
      <c r="E30" s="18">
        <v>8</v>
      </c>
      <c r="F30" s="18">
        <v>11</v>
      </c>
      <c r="G30" s="18">
        <v>70</v>
      </c>
      <c r="H30" s="19">
        <v>1</v>
      </c>
      <c r="I30" s="18">
        <v>5</v>
      </c>
      <c r="J30" s="18">
        <v>11</v>
      </c>
      <c r="K30" s="20">
        <v>122</v>
      </c>
      <c r="L30" s="18">
        <v>275</v>
      </c>
      <c r="M30" s="18">
        <v>255</v>
      </c>
      <c r="N30" s="18">
        <v>311</v>
      </c>
      <c r="O30" s="18">
        <v>85</v>
      </c>
      <c r="P30" s="18">
        <v>247</v>
      </c>
      <c r="Q30" s="17">
        <v>2</v>
      </c>
      <c r="R30" s="17">
        <v>2</v>
      </c>
      <c r="S30" s="17">
        <v>0</v>
      </c>
      <c r="T30" s="17">
        <v>2</v>
      </c>
      <c r="U30" s="17">
        <v>2</v>
      </c>
      <c r="V30" s="3">
        <v>8</v>
      </c>
      <c r="W30" s="20">
        <v>60</v>
      </c>
      <c r="X30" s="3">
        <v>8</v>
      </c>
      <c r="Y30" s="3">
        <v>4</v>
      </c>
      <c r="Z30" s="3">
        <v>0</v>
      </c>
      <c r="AA30" s="20">
        <v>840</v>
      </c>
      <c r="AB30" s="3"/>
      <c r="AC30" s="3"/>
      <c r="AD30" s="20"/>
      <c r="AE30" s="3"/>
      <c r="AF30" s="3"/>
      <c r="AG30" s="20"/>
      <c r="AH30" s="107" t="s">
        <v>85</v>
      </c>
      <c r="AI30" s="107"/>
      <c r="AJ30" s="107"/>
      <c r="AK30" s="107"/>
      <c r="AL30" s="108"/>
      <c r="AN30" s="67">
        <f t="shared" si="2"/>
        <v>-1.4961819421404243</v>
      </c>
      <c r="AO30" s="67">
        <f t="shared" si="2"/>
        <v>-0.11710599954423628</v>
      </c>
      <c r="AP30" s="67">
        <f t="shared" si="2"/>
        <v>-0.74022002530816167</v>
      </c>
      <c r="AY30" s="67">
        <f t="shared" si="0"/>
        <v>312.49618194214042</v>
      </c>
      <c r="AZ30" s="67">
        <f t="shared" si="1"/>
        <v>85.117105999544236</v>
      </c>
      <c r="BA30" s="67">
        <f t="shared" si="3"/>
        <v>247.74022002530816</v>
      </c>
      <c r="BC30">
        <f t="shared" si="4"/>
        <v>36.713675620481474</v>
      </c>
      <c r="BD30">
        <v>1013.2</v>
      </c>
      <c r="BE30">
        <f t="shared" si="5"/>
        <v>32.626262153014039</v>
      </c>
    </row>
    <row r="31" spans="1:57" x14ac:dyDescent="0.2">
      <c r="A31" s="13">
        <v>22</v>
      </c>
      <c r="B31" s="3">
        <v>20</v>
      </c>
      <c r="C31" s="17">
        <v>1</v>
      </c>
      <c r="D31" s="3">
        <v>4</v>
      </c>
      <c r="E31" s="18">
        <v>6</v>
      </c>
      <c r="F31" s="18">
        <v>5</v>
      </c>
      <c r="G31" s="18">
        <v>70</v>
      </c>
      <c r="H31" s="19">
        <v>1</v>
      </c>
      <c r="I31" s="18">
        <v>5</v>
      </c>
      <c r="J31" s="18">
        <v>11</v>
      </c>
      <c r="K31" s="20">
        <v>121</v>
      </c>
      <c r="L31" s="18">
        <v>265</v>
      </c>
      <c r="M31" s="18">
        <v>240</v>
      </c>
      <c r="N31" s="18">
        <v>280</v>
      </c>
      <c r="O31" s="18">
        <v>80</v>
      </c>
      <c r="P31" s="18">
        <v>229</v>
      </c>
      <c r="Q31" s="17">
        <v>1</v>
      </c>
      <c r="R31" s="17">
        <v>8</v>
      </c>
      <c r="S31" s="17">
        <v>0</v>
      </c>
      <c r="T31" s="17">
        <v>0</v>
      </c>
      <c r="U31" s="17">
        <v>1</v>
      </c>
      <c r="V31" s="3">
        <v>8</v>
      </c>
      <c r="W31" s="20">
        <v>57</v>
      </c>
      <c r="X31" s="3">
        <v>8</v>
      </c>
      <c r="Y31" s="3"/>
      <c r="Z31" s="3"/>
      <c r="AA31" s="20"/>
      <c r="AB31" s="3"/>
      <c r="AC31" s="3"/>
      <c r="AD31" s="20"/>
      <c r="AE31" s="3"/>
      <c r="AF31" s="3"/>
      <c r="AG31" s="20"/>
      <c r="AH31" s="107" t="s">
        <v>85</v>
      </c>
      <c r="AI31" s="107"/>
      <c r="AJ31" s="107"/>
      <c r="AK31" s="107"/>
      <c r="AL31" s="108"/>
      <c r="AN31" s="67">
        <f t="shared" si="2"/>
        <v>-1.097185863020627</v>
      </c>
      <c r="AO31" s="67">
        <f t="shared" si="2"/>
        <v>-1.2014859909995153</v>
      </c>
      <c r="AP31" s="67">
        <f t="shared" si="2"/>
        <v>-1.1437315896329778</v>
      </c>
      <c r="AY31" s="67">
        <f t="shared" si="0"/>
        <v>281.09718586302063</v>
      </c>
      <c r="AZ31" s="67">
        <f t="shared" si="1"/>
        <v>81.201485990999515</v>
      </c>
      <c r="BA31" s="67">
        <f t="shared" si="3"/>
        <v>230.14373158963298</v>
      </c>
      <c r="BC31">
        <f t="shared" si="4"/>
        <v>34.617246523564582</v>
      </c>
      <c r="BD31">
        <v>1013.2</v>
      </c>
      <c r="BE31">
        <f t="shared" si="5"/>
        <v>29.827639714302066</v>
      </c>
    </row>
    <row r="32" spans="1:57" x14ac:dyDescent="0.2">
      <c r="A32" s="13">
        <v>23</v>
      </c>
      <c r="B32" s="3">
        <v>20</v>
      </c>
      <c r="C32" s="17">
        <v>6</v>
      </c>
      <c r="D32" s="3">
        <v>4</v>
      </c>
      <c r="E32" s="18">
        <v>9</v>
      </c>
      <c r="F32" s="18">
        <v>5</v>
      </c>
      <c r="G32" s="18">
        <v>78</v>
      </c>
      <c r="H32" s="19">
        <v>2</v>
      </c>
      <c r="I32" s="18"/>
      <c r="J32" s="18"/>
      <c r="K32" s="20">
        <v>115</v>
      </c>
      <c r="L32" s="18">
        <v>263</v>
      </c>
      <c r="M32" s="18">
        <v>240</v>
      </c>
      <c r="N32" s="18">
        <v>280</v>
      </c>
      <c r="O32" s="18">
        <v>82</v>
      </c>
      <c r="P32" s="18">
        <v>229</v>
      </c>
      <c r="Q32" s="17">
        <v>2</v>
      </c>
      <c r="R32" s="17">
        <v>2</v>
      </c>
      <c r="S32" s="17">
        <v>0</v>
      </c>
      <c r="T32" s="17">
        <v>2</v>
      </c>
      <c r="U32" s="17">
        <v>2</v>
      </c>
      <c r="V32" s="3">
        <v>8</v>
      </c>
      <c r="W32" s="20">
        <v>60</v>
      </c>
      <c r="X32" s="3">
        <v>8</v>
      </c>
      <c r="Y32" s="3">
        <v>6</v>
      </c>
      <c r="Z32" s="3">
        <v>0</v>
      </c>
      <c r="AA32" s="20">
        <v>840</v>
      </c>
      <c r="AB32" s="3"/>
      <c r="AC32" s="3"/>
      <c r="AD32" s="20"/>
      <c r="AE32" s="3"/>
      <c r="AF32" s="3"/>
      <c r="AG32" s="20"/>
      <c r="AH32" s="107"/>
      <c r="AI32" s="107"/>
      <c r="AJ32" s="107"/>
      <c r="AK32" s="107"/>
      <c r="AL32" s="108"/>
      <c r="AN32" s="67">
        <f t="shared" si="2"/>
        <v>-2.471522765420616</v>
      </c>
      <c r="AO32" s="67">
        <f t="shared" si="2"/>
        <v>-0.56803218295064539</v>
      </c>
      <c r="AP32" s="67">
        <f t="shared" si="2"/>
        <v>-1.9491363139146074</v>
      </c>
      <c r="AY32" s="67">
        <f t="shared" si="0"/>
        <v>282.47152276542062</v>
      </c>
      <c r="AZ32" s="67">
        <f t="shared" si="1"/>
        <v>82.568032182950645</v>
      </c>
      <c r="BA32" s="67">
        <f t="shared" si="3"/>
        <v>230.94913631391461</v>
      </c>
      <c r="BC32">
        <f t="shared" si="4"/>
        <v>34.210761150215198</v>
      </c>
      <c r="BD32">
        <v>1013.2</v>
      </c>
      <c r="BE32">
        <f t="shared" si="5"/>
        <v>29.827639714302066</v>
      </c>
    </row>
    <row r="33" spans="1:57" x14ac:dyDescent="0.2">
      <c r="A33" s="13">
        <v>24</v>
      </c>
      <c r="B33" s="3">
        <v>20</v>
      </c>
      <c r="C33" s="17">
        <v>7</v>
      </c>
      <c r="D33" s="3">
        <v>4</v>
      </c>
      <c r="E33" s="18">
        <v>7</v>
      </c>
      <c r="F33" s="18">
        <v>5</v>
      </c>
      <c r="G33" s="18">
        <v>65</v>
      </c>
      <c r="H33" s="19">
        <v>1</v>
      </c>
      <c r="I33" s="18">
        <v>15</v>
      </c>
      <c r="J33" s="18">
        <v>82</v>
      </c>
      <c r="K33" s="20">
        <v>119</v>
      </c>
      <c r="L33" s="18">
        <v>255</v>
      </c>
      <c r="M33" s="18">
        <v>243</v>
      </c>
      <c r="N33" s="18">
        <v>295</v>
      </c>
      <c r="O33" s="18">
        <v>90</v>
      </c>
      <c r="P33" s="18">
        <v>238</v>
      </c>
      <c r="Q33" s="17">
        <v>7</v>
      </c>
      <c r="R33" s="17">
        <v>8</v>
      </c>
      <c r="S33" s="17" t="s">
        <v>89</v>
      </c>
      <c r="T33" s="17" t="s">
        <v>89</v>
      </c>
      <c r="U33" s="17">
        <v>5</v>
      </c>
      <c r="V33" s="3">
        <v>8</v>
      </c>
      <c r="W33" s="20">
        <v>42</v>
      </c>
      <c r="X33" s="3">
        <v>8</v>
      </c>
      <c r="Y33" s="3">
        <v>6</v>
      </c>
      <c r="Z33" s="3">
        <v>6</v>
      </c>
      <c r="AA33" s="20">
        <v>105</v>
      </c>
      <c r="AB33" s="3"/>
      <c r="AC33" s="3"/>
      <c r="AD33" s="20"/>
      <c r="AE33" s="3"/>
      <c r="AF33" s="3"/>
      <c r="AG33" s="20"/>
      <c r="AH33" s="107" t="s">
        <v>220</v>
      </c>
      <c r="AI33" s="107"/>
      <c r="AJ33" s="107"/>
      <c r="AK33" s="107"/>
      <c r="AL33" s="108"/>
      <c r="AN33" s="67">
        <f t="shared" si="2"/>
        <v>-0.45029301063817684</v>
      </c>
      <c r="AO33" s="67">
        <f t="shared" si="2"/>
        <v>-0.55597347468265923</v>
      </c>
      <c r="AP33" s="67">
        <f t="shared" si="2"/>
        <v>-0.39039163159694112</v>
      </c>
      <c r="AY33" s="67">
        <f t="shared" si="0"/>
        <v>295.45029301063818</v>
      </c>
      <c r="AZ33" s="67">
        <f t="shared" si="1"/>
        <v>90.555973474682659</v>
      </c>
      <c r="BA33" s="67">
        <f t="shared" si="3"/>
        <v>238.39039163159694</v>
      </c>
      <c r="BC33">
        <f t="shared" si="4"/>
        <v>32.626262153014039</v>
      </c>
      <c r="BD33">
        <v>1013.2</v>
      </c>
      <c r="BE33">
        <f t="shared" si="5"/>
        <v>30.369908289271816</v>
      </c>
    </row>
    <row r="34" spans="1:57" x14ac:dyDescent="0.2">
      <c r="A34" s="13">
        <v>25</v>
      </c>
      <c r="B34" s="3">
        <v>20</v>
      </c>
      <c r="C34" s="17">
        <v>6</v>
      </c>
      <c r="D34" s="3">
        <v>4</v>
      </c>
      <c r="E34" s="18">
        <v>2</v>
      </c>
      <c r="F34" s="18">
        <v>5</v>
      </c>
      <c r="G34" s="18">
        <v>76</v>
      </c>
      <c r="H34" s="19">
        <v>2</v>
      </c>
      <c r="I34" s="18"/>
      <c r="J34" s="18"/>
      <c r="K34" s="20">
        <v>130</v>
      </c>
      <c r="L34" s="18">
        <v>265</v>
      </c>
      <c r="M34" s="18">
        <v>241</v>
      </c>
      <c r="N34" s="18">
        <v>281</v>
      </c>
      <c r="O34" s="18">
        <v>81</v>
      </c>
      <c r="P34" s="18">
        <v>230</v>
      </c>
      <c r="Q34" s="17">
        <v>6</v>
      </c>
      <c r="R34" s="17">
        <v>8</v>
      </c>
      <c r="S34" s="17">
        <v>0</v>
      </c>
      <c r="T34" s="17">
        <v>2</v>
      </c>
      <c r="U34" s="17">
        <v>1</v>
      </c>
      <c r="V34" s="3">
        <v>8</v>
      </c>
      <c r="W34" s="20">
        <v>60</v>
      </c>
      <c r="X34" s="3">
        <v>8</v>
      </c>
      <c r="Y34" s="3">
        <v>5</v>
      </c>
      <c r="Z34" s="3">
        <v>6</v>
      </c>
      <c r="AA34" s="20">
        <f>45*3</f>
        <v>135</v>
      </c>
      <c r="AB34" s="3"/>
      <c r="AC34" s="3"/>
      <c r="AD34" s="20"/>
      <c r="AE34" s="3"/>
      <c r="AF34" s="3"/>
      <c r="AG34" s="20"/>
      <c r="AH34" s="107"/>
      <c r="AI34" s="107"/>
      <c r="AJ34" s="107"/>
      <c r="AK34" s="107"/>
      <c r="AL34" s="108"/>
      <c r="AN34" s="67">
        <f t="shared" si="2"/>
        <v>-2.580572906971156</v>
      </c>
      <c r="AO34" s="67">
        <f t="shared" si="2"/>
        <v>-0.91887032780979894</v>
      </c>
      <c r="AP34" s="67">
        <f t="shared" si="2"/>
        <v>-1.5965755151798078</v>
      </c>
      <c r="AY34" s="67">
        <f t="shared" si="0"/>
        <v>283.58057290697116</v>
      </c>
      <c r="AZ34" s="67">
        <f t="shared" si="1"/>
        <v>81.918870327809799</v>
      </c>
      <c r="BA34" s="67">
        <f t="shared" si="3"/>
        <v>231.59657551517981</v>
      </c>
      <c r="BC34">
        <f t="shared" si="4"/>
        <v>34.617246523564582</v>
      </c>
      <c r="BD34">
        <v>1013.2</v>
      </c>
      <c r="BE34">
        <f t="shared" si="5"/>
        <v>30.007446138089119</v>
      </c>
    </row>
    <row r="35" spans="1:57" x14ac:dyDescent="0.2">
      <c r="A35" s="13">
        <v>26</v>
      </c>
      <c r="B35" s="3">
        <v>20</v>
      </c>
      <c r="C35" s="17">
        <v>6</v>
      </c>
      <c r="D35" s="3">
        <v>4</v>
      </c>
      <c r="E35" s="18">
        <v>7</v>
      </c>
      <c r="F35" s="18">
        <v>13</v>
      </c>
      <c r="G35" s="18">
        <v>72</v>
      </c>
      <c r="H35" s="19">
        <v>1</v>
      </c>
      <c r="I35" s="18">
        <v>6</v>
      </c>
      <c r="J35" s="18">
        <v>81</v>
      </c>
      <c r="K35" s="20">
        <v>131</v>
      </c>
      <c r="L35" s="18">
        <v>266</v>
      </c>
      <c r="M35" s="18">
        <v>248</v>
      </c>
      <c r="N35" s="18">
        <v>299</v>
      </c>
      <c r="O35" s="18">
        <v>86</v>
      </c>
      <c r="P35" s="18">
        <v>240</v>
      </c>
      <c r="Q35" s="17">
        <v>5</v>
      </c>
      <c r="R35" s="17">
        <v>8</v>
      </c>
      <c r="S35" s="17">
        <v>6</v>
      </c>
      <c r="T35" s="17">
        <v>2</v>
      </c>
      <c r="U35" s="17">
        <v>1</v>
      </c>
      <c r="V35" s="3">
        <v>8</v>
      </c>
      <c r="W35" s="20">
        <v>54</v>
      </c>
      <c r="X35" s="3">
        <v>8</v>
      </c>
      <c r="Y35" s="3">
        <v>5</v>
      </c>
      <c r="Z35" s="3">
        <v>6</v>
      </c>
      <c r="AA35" s="20">
        <v>114</v>
      </c>
      <c r="AB35" s="3"/>
      <c r="AC35" s="3"/>
      <c r="AD35" s="20"/>
      <c r="AE35" s="3"/>
      <c r="AF35" s="3"/>
      <c r="AG35" s="20"/>
      <c r="AH35" s="107" t="s">
        <v>85</v>
      </c>
      <c r="AI35" s="107"/>
      <c r="AJ35" s="107"/>
      <c r="AK35" s="107"/>
      <c r="AL35" s="108"/>
      <c r="AN35" s="67">
        <f t="shared" si="2"/>
        <v>-1.5487280657250722</v>
      </c>
      <c r="AO35" s="67">
        <f t="shared" si="2"/>
        <v>-0.30984373168243451</v>
      </c>
      <c r="AP35" s="67">
        <f t="shared" si="2"/>
        <v>-1.2353971500913872</v>
      </c>
      <c r="AY35" s="67">
        <f t="shared" si="0"/>
        <v>300.54872806572507</v>
      </c>
      <c r="AZ35" s="67">
        <f t="shared" si="1"/>
        <v>86.309843731682435</v>
      </c>
      <c r="BA35" s="67">
        <f t="shared" si="3"/>
        <v>241.23539715009139</v>
      </c>
      <c r="BC35">
        <f t="shared" si="4"/>
        <v>34.822068384234633</v>
      </c>
      <c r="BD35">
        <v>1013.2</v>
      </c>
      <c r="BE35">
        <f t="shared" si="5"/>
        <v>31.29288340580451</v>
      </c>
    </row>
    <row r="36" spans="1:57" x14ac:dyDescent="0.2">
      <c r="A36" s="13">
        <v>27</v>
      </c>
      <c r="B36" s="3">
        <v>20</v>
      </c>
      <c r="C36" s="17">
        <v>7</v>
      </c>
      <c r="D36" s="3">
        <v>4</v>
      </c>
      <c r="E36" s="18">
        <v>8</v>
      </c>
      <c r="F36" s="18">
        <v>12</v>
      </c>
      <c r="G36" s="18">
        <v>68</v>
      </c>
      <c r="H36" s="19">
        <v>1</v>
      </c>
      <c r="I36" s="18">
        <v>5</v>
      </c>
      <c r="J36" s="18">
        <v>82</v>
      </c>
      <c r="K36" s="20">
        <v>133</v>
      </c>
      <c r="L36" s="18">
        <v>261</v>
      </c>
      <c r="M36" s="18">
        <v>246</v>
      </c>
      <c r="N36" s="18">
        <v>296</v>
      </c>
      <c r="O36" s="18">
        <v>88</v>
      </c>
      <c r="P36" s="18">
        <v>239</v>
      </c>
      <c r="Q36" s="17">
        <v>5</v>
      </c>
      <c r="R36" s="17">
        <v>8</v>
      </c>
      <c r="S36" s="17">
        <v>4</v>
      </c>
      <c r="T36" s="17">
        <v>1</v>
      </c>
      <c r="U36" s="17">
        <v>1</v>
      </c>
      <c r="V36" s="3">
        <v>8</v>
      </c>
      <c r="W36" s="20">
        <v>54</v>
      </c>
      <c r="X36" s="3">
        <v>8</v>
      </c>
      <c r="Y36" s="3">
        <v>4</v>
      </c>
      <c r="Z36" s="3">
        <v>6</v>
      </c>
      <c r="AA36" s="20">
        <v>105</v>
      </c>
      <c r="AB36" s="3"/>
      <c r="AC36" s="3"/>
      <c r="AD36" s="20"/>
      <c r="AE36" s="3"/>
      <c r="AF36" s="3"/>
      <c r="AG36" s="20"/>
      <c r="AH36" s="107" t="s">
        <v>85</v>
      </c>
      <c r="AI36" s="107"/>
      <c r="AJ36" s="107"/>
      <c r="AK36" s="107"/>
      <c r="AL36" s="108"/>
      <c r="AN36" s="67">
        <f t="shared" si="2"/>
        <v>-2.8934376737297498</v>
      </c>
      <c r="AO36" s="67">
        <f t="shared" si="2"/>
        <v>-0.40789257024727021</v>
      </c>
      <c r="AP36" s="67">
        <f t="shared" si="2"/>
        <v>-1.3163835258458789</v>
      </c>
      <c r="AY36" s="67">
        <f t="shared" si="0"/>
        <v>298.89343767372975</v>
      </c>
      <c r="AZ36" s="67">
        <f t="shared" si="1"/>
        <v>88.40789257024727</v>
      </c>
      <c r="BA36" s="67">
        <f t="shared" si="3"/>
        <v>240.31638352584588</v>
      </c>
      <c r="BC36">
        <f t="shared" si="4"/>
        <v>33.808456347518359</v>
      </c>
      <c r="BD36">
        <v>1013.2</v>
      </c>
      <c r="BE36">
        <f t="shared" si="5"/>
        <v>30.920788561092973</v>
      </c>
    </row>
    <row r="37" spans="1:57" x14ac:dyDescent="0.2">
      <c r="A37" s="13">
        <v>28</v>
      </c>
      <c r="B37" s="3">
        <v>20</v>
      </c>
      <c r="C37" s="17">
        <v>4</v>
      </c>
      <c r="D37" s="3">
        <v>4</v>
      </c>
      <c r="E37" s="18">
        <v>8</v>
      </c>
      <c r="F37" s="18">
        <v>12</v>
      </c>
      <c r="G37" s="18">
        <v>65</v>
      </c>
      <c r="H37" s="19">
        <v>1</v>
      </c>
      <c r="I37" s="18">
        <v>5</v>
      </c>
      <c r="J37" s="18">
        <v>11</v>
      </c>
      <c r="K37" s="20">
        <v>149</v>
      </c>
      <c r="L37" s="18">
        <v>273</v>
      </c>
      <c r="M37" s="18">
        <v>247</v>
      </c>
      <c r="N37" s="18">
        <v>291</v>
      </c>
      <c r="O37" s="18">
        <v>80</v>
      </c>
      <c r="P37" s="18">
        <v>236</v>
      </c>
      <c r="Q37" s="17">
        <v>2</v>
      </c>
      <c r="R37" s="17">
        <v>8</v>
      </c>
      <c r="S37" s="17">
        <v>3</v>
      </c>
      <c r="T37" s="17">
        <v>0</v>
      </c>
      <c r="U37" s="17">
        <v>2</v>
      </c>
      <c r="V37" s="3">
        <v>8</v>
      </c>
      <c r="W37" s="20">
        <v>60</v>
      </c>
      <c r="X37" s="3">
        <v>8</v>
      </c>
      <c r="Y37" s="3"/>
      <c r="Z37" s="3"/>
      <c r="AA37" s="20"/>
      <c r="AB37" s="3"/>
      <c r="AC37" s="3"/>
      <c r="AD37" s="20"/>
      <c r="AE37" s="3"/>
      <c r="AF37" s="3"/>
      <c r="AG37" s="20"/>
      <c r="AH37" s="107" t="s">
        <v>85</v>
      </c>
      <c r="AI37" s="107"/>
      <c r="AJ37" s="107"/>
      <c r="AK37" s="107"/>
      <c r="AL37" s="108"/>
      <c r="AN37" s="67">
        <f t="shared" si="2"/>
        <v>-2.1831139256302095</v>
      </c>
      <c r="AO37" s="67">
        <f t="shared" si="2"/>
        <v>-0.79845725293330361</v>
      </c>
      <c r="AP37" s="67">
        <f t="shared" si="2"/>
        <v>-1.1114388890116516</v>
      </c>
      <c r="AY37" s="67">
        <f t="shared" si="0"/>
        <v>293.18311392563021</v>
      </c>
      <c r="AZ37" s="67">
        <f t="shared" si="1"/>
        <v>80.798457252933304</v>
      </c>
      <c r="BA37" s="67">
        <f t="shared" si="3"/>
        <v>237.11143888901165</v>
      </c>
      <c r="BC37">
        <f t="shared" si="4"/>
        <v>36.285731670326726</v>
      </c>
      <c r="BD37">
        <v>1013.2</v>
      </c>
      <c r="BE37">
        <f t="shared" si="5"/>
        <v>31.106348979899021</v>
      </c>
    </row>
    <row r="38" spans="1:57" x14ac:dyDescent="0.2">
      <c r="A38" s="13">
        <v>29</v>
      </c>
      <c r="B38" s="3">
        <v>20</v>
      </c>
      <c r="C38" s="17">
        <v>6</v>
      </c>
      <c r="D38" s="3">
        <v>4</v>
      </c>
      <c r="E38" s="18">
        <v>6</v>
      </c>
      <c r="F38" s="18">
        <v>12</v>
      </c>
      <c r="G38" s="18">
        <v>62</v>
      </c>
      <c r="H38" s="19">
        <v>1</v>
      </c>
      <c r="I38" s="18">
        <v>25</v>
      </c>
      <c r="J38" s="18">
        <v>82</v>
      </c>
      <c r="K38" s="20">
        <v>138</v>
      </c>
      <c r="L38" s="18">
        <v>257</v>
      </c>
      <c r="M38" s="18">
        <v>240</v>
      </c>
      <c r="N38" s="18">
        <v>285</v>
      </c>
      <c r="O38" s="18">
        <v>86</v>
      </c>
      <c r="P38" s="18">
        <v>232</v>
      </c>
      <c r="Q38" s="17">
        <v>6</v>
      </c>
      <c r="R38" s="17">
        <v>8</v>
      </c>
      <c r="S38" s="17" t="s">
        <v>89</v>
      </c>
      <c r="T38" s="17" t="s">
        <v>89</v>
      </c>
      <c r="U38" s="17">
        <v>4</v>
      </c>
      <c r="V38" s="3">
        <v>8</v>
      </c>
      <c r="W38" s="20">
        <v>54</v>
      </c>
      <c r="X38" s="3">
        <v>8</v>
      </c>
      <c r="Y38" s="3">
        <v>5</v>
      </c>
      <c r="Z38" s="3">
        <v>6</v>
      </c>
      <c r="AA38" s="20">
        <v>105</v>
      </c>
      <c r="AB38" s="3"/>
      <c r="AC38" s="3"/>
      <c r="AD38" s="20"/>
      <c r="AE38" s="3"/>
      <c r="AF38" s="3"/>
      <c r="AG38" s="20"/>
      <c r="AH38" s="107" t="s">
        <v>223</v>
      </c>
      <c r="AI38" s="107"/>
      <c r="AJ38" s="107"/>
      <c r="AK38" s="107"/>
      <c r="AL38" s="108"/>
      <c r="AN38" s="67">
        <f t="shared" si="2"/>
        <v>-1.5945334726206397</v>
      </c>
      <c r="AO38" s="67">
        <f t="shared" si="2"/>
        <v>-0.8041025149911718</v>
      </c>
      <c r="AP38" s="67">
        <f t="shared" si="2"/>
        <v>-1.3449204660800831</v>
      </c>
      <c r="AY38" s="67">
        <f t="shared" si="0"/>
        <v>286.59453347262064</v>
      </c>
      <c r="AZ38" s="67">
        <f t="shared" si="1"/>
        <v>86.804102514991172</v>
      </c>
      <c r="BA38" s="67">
        <f t="shared" si="3"/>
        <v>233.34492046608008</v>
      </c>
      <c r="BC38">
        <f t="shared" si="4"/>
        <v>33.016242915837466</v>
      </c>
      <c r="BD38">
        <v>1013.2</v>
      </c>
      <c r="BE38">
        <f t="shared" si="5"/>
        <v>29.827639714302066</v>
      </c>
    </row>
    <row r="39" spans="1:57" x14ac:dyDescent="0.2">
      <c r="A39" s="13">
        <v>30</v>
      </c>
      <c r="B39" s="3">
        <v>20</v>
      </c>
      <c r="C39" s="17">
        <v>4</v>
      </c>
      <c r="D39" s="3">
        <v>4</v>
      </c>
      <c r="E39" s="18">
        <v>6</v>
      </c>
      <c r="F39" s="18">
        <v>16</v>
      </c>
      <c r="G39" s="18">
        <v>70</v>
      </c>
      <c r="H39" s="19">
        <v>1</v>
      </c>
      <c r="I39" s="18">
        <v>5</v>
      </c>
      <c r="J39" s="18">
        <v>81</v>
      </c>
      <c r="K39" s="20">
        <v>118</v>
      </c>
      <c r="L39" s="18">
        <v>262</v>
      </c>
      <c r="M39" s="18">
        <v>235</v>
      </c>
      <c r="N39" s="18">
        <v>268</v>
      </c>
      <c r="O39" s="18">
        <v>79</v>
      </c>
      <c r="P39" s="18">
        <v>222</v>
      </c>
      <c r="Q39" s="17">
        <v>4</v>
      </c>
      <c r="R39" s="17">
        <v>8</v>
      </c>
      <c r="S39" s="17">
        <v>0</v>
      </c>
      <c r="T39" s="17">
        <v>0</v>
      </c>
      <c r="U39" s="17">
        <v>3</v>
      </c>
      <c r="V39" s="3">
        <v>8</v>
      </c>
      <c r="W39" s="20">
        <v>54</v>
      </c>
      <c r="X39" s="3">
        <v>8</v>
      </c>
      <c r="Y39" s="3"/>
      <c r="Z39" s="3"/>
      <c r="AA39" s="20"/>
      <c r="AB39" s="3"/>
      <c r="AC39" s="3"/>
      <c r="AD39" s="20"/>
      <c r="AE39" s="3"/>
      <c r="AF39" s="3"/>
      <c r="AG39" s="20"/>
      <c r="AH39" s="107" t="s">
        <v>85</v>
      </c>
      <c r="AI39" s="107"/>
      <c r="AJ39" s="107"/>
      <c r="AK39" s="107"/>
      <c r="AL39" s="108"/>
      <c r="AN39" s="67">
        <f t="shared" si="2"/>
        <v>-2.8836903910500951</v>
      </c>
      <c r="AO39" s="67">
        <f t="shared" si="2"/>
        <v>-0.65038248451037362</v>
      </c>
      <c r="AP39" s="67">
        <f t="shared" si="2"/>
        <v>-2.0477843681687773</v>
      </c>
      <c r="AY39" s="67">
        <f t="shared" si="0"/>
        <v>270.8836903910501</v>
      </c>
      <c r="AZ39" s="67">
        <f t="shared" si="1"/>
        <v>79.650382484510374</v>
      </c>
      <c r="BA39" s="67">
        <f t="shared" si="3"/>
        <v>224.04778436816878</v>
      </c>
      <c r="BC39">
        <f t="shared" si="4"/>
        <v>34.009088461531107</v>
      </c>
      <c r="BD39">
        <v>1013.2</v>
      </c>
      <c r="BE39">
        <f t="shared" si="5"/>
        <v>28.94268568196501</v>
      </c>
    </row>
    <row r="40" spans="1:57" x14ac:dyDescent="0.2">
      <c r="A40" s="13"/>
      <c r="B40" s="3"/>
      <c r="C40" s="17"/>
      <c r="D40" s="3"/>
      <c r="E40" s="18"/>
      <c r="F40" s="18"/>
      <c r="G40" s="18"/>
      <c r="H40" s="19"/>
      <c r="I40" s="18"/>
      <c r="J40" s="18"/>
      <c r="K40" s="20"/>
      <c r="L40" s="18"/>
      <c r="M40" s="18"/>
      <c r="N40" s="18"/>
      <c r="O40" s="18"/>
      <c r="P40" s="18"/>
      <c r="Q40" s="17"/>
      <c r="R40" s="17"/>
      <c r="S40" s="17"/>
      <c r="T40" s="17"/>
      <c r="U40" s="17"/>
      <c r="V40" s="3"/>
      <c r="W40" s="20"/>
      <c r="X40" s="3"/>
      <c r="Y40" s="3"/>
      <c r="Z40" s="3"/>
      <c r="AA40" s="20"/>
      <c r="AB40" s="3"/>
      <c r="AC40" s="3"/>
      <c r="AD40" s="20"/>
      <c r="AE40" s="3"/>
      <c r="AF40" s="3"/>
      <c r="AG40" s="20"/>
      <c r="AH40" s="107"/>
      <c r="AI40" s="107"/>
      <c r="AJ40" s="107"/>
      <c r="AK40" s="107"/>
      <c r="AL40" s="108"/>
      <c r="AN40" s="67"/>
      <c r="AO40" s="67"/>
      <c r="AP40" s="67"/>
      <c r="AY40" s="67">
        <f t="shared" si="0"/>
        <v>61.120000000000005</v>
      </c>
      <c r="AZ40" s="67">
        <f t="shared" si="1"/>
        <v>100</v>
      </c>
      <c r="BA40" s="67">
        <f t="shared" si="3"/>
        <v>0</v>
      </c>
      <c r="BC40">
        <f t="shared" si="4"/>
        <v>6.1120000000000001</v>
      </c>
      <c r="BD40">
        <v>1013.2</v>
      </c>
      <c r="BE40">
        <f t="shared" si="5"/>
        <v>6.1120000000000001</v>
      </c>
    </row>
    <row r="41" spans="1:57" x14ac:dyDescent="0.2">
      <c r="A41" s="18"/>
      <c r="B41" s="3"/>
      <c r="C41" s="17"/>
      <c r="D41" s="3"/>
      <c r="E41" s="18"/>
      <c r="F41" s="18"/>
      <c r="G41" s="18"/>
      <c r="H41" s="19"/>
      <c r="I41" s="18"/>
      <c r="J41" s="18"/>
      <c r="K41" s="20"/>
      <c r="L41" s="18"/>
      <c r="M41" s="18"/>
      <c r="N41" s="18"/>
      <c r="O41" s="18"/>
      <c r="P41" s="18"/>
      <c r="Q41" s="17"/>
      <c r="R41" s="17"/>
      <c r="S41" s="17"/>
      <c r="T41" s="17"/>
      <c r="U41" s="17"/>
      <c r="V41" s="3"/>
      <c r="W41" s="20"/>
      <c r="X41" s="3"/>
      <c r="Y41" s="3"/>
      <c r="Z41" s="3"/>
      <c r="AA41" s="20"/>
      <c r="AB41" s="3"/>
      <c r="AC41" s="3"/>
      <c r="AD41" s="20"/>
      <c r="AE41" s="3"/>
      <c r="AF41" s="3"/>
      <c r="AG41" s="20"/>
      <c r="AH41" s="109" t="s">
        <v>238</v>
      </c>
      <c r="AI41" s="107"/>
      <c r="AJ41" s="107"/>
      <c r="AK41" s="107"/>
      <c r="AL41" s="108"/>
      <c r="AN41" s="67"/>
      <c r="AO41" s="67"/>
      <c r="AP41" s="67"/>
    </row>
    <row r="42" spans="1:57" x14ac:dyDescent="0.2">
      <c r="A42" s="13" t="s">
        <v>9</v>
      </c>
      <c r="B42" s="1"/>
      <c r="C42" s="21">
        <f>SUM(C10:C40)</f>
        <v>135</v>
      </c>
      <c r="D42" s="1"/>
      <c r="E42" s="13"/>
      <c r="F42" s="13">
        <f>SUM(F10:F40)</f>
        <v>274</v>
      </c>
      <c r="G42" s="13"/>
      <c r="H42" s="2"/>
      <c r="I42" s="13"/>
      <c r="J42" s="13"/>
      <c r="K42" s="22">
        <f>SUM(K10:K40)</f>
        <v>3747</v>
      </c>
      <c r="L42" s="13">
        <f>SUM(L10:L40)</f>
        <v>7959</v>
      </c>
      <c r="M42" s="13">
        <f>SUM(M10:M40)</f>
        <v>7287</v>
      </c>
      <c r="N42" s="13">
        <f>SUM(N10:N40)</f>
        <v>8585</v>
      </c>
      <c r="O42" s="13">
        <f>SUM(O10:O40)</f>
        <v>2473</v>
      </c>
      <c r="P42" s="13">
        <f t="shared" ref="P42" si="6">SUM(P10:P40)</f>
        <v>6982</v>
      </c>
      <c r="Q42" s="21">
        <f>SUM(Q10:Q40)</f>
        <v>75</v>
      </c>
      <c r="R42" s="21"/>
      <c r="S42" s="21"/>
      <c r="T42" s="21"/>
      <c r="U42" s="21"/>
      <c r="V42" s="1"/>
      <c r="W42" s="22"/>
      <c r="X42" s="1"/>
      <c r="Y42" s="1"/>
      <c r="Z42" s="1"/>
      <c r="AA42" s="22"/>
      <c r="AB42" s="1"/>
      <c r="AC42" s="1"/>
      <c r="AD42" s="22"/>
      <c r="AE42" s="1"/>
      <c r="AF42" s="1"/>
      <c r="AG42" s="22"/>
      <c r="AH42" s="110" t="s">
        <v>241</v>
      </c>
      <c r="AI42" s="107"/>
      <c r="AJ42" s="107"/>
      <c r="AK42" s="107"/>
      <c r="AL42" s="108"/>
      <c r="AN42" s="67"/>
      <c r="AO42" s="67"/>
      <c r="AP42" s="67"/>
    </row>
    <row r="43" spans="1:57" ht="13.5" thickBot="1" x14ac:dyDescent="0.25">
      <c r="A43" s="23" t="s">
        <v>10</v>
      </c>
      <c r="B43" s="24"/>
      <c r="C43" s="25">
        <f>AVERAGE(C10:C40)</f>
        <v>4.5</v>
      </c>
      <c r="D43" s="24"/>
      <c r="E43" s="23">
        <f>MODE(E10:E40)</f>
        <v>9</v>
      </c>
      <c r="F43" s="23">
        <f>AVERAGE(F10:F40)</f>
        <v>9.1333333333333329</v>
      </c>
      <c r="G43" s="23"/>
      <c r="H43" s="26"/>
      <c r="I43" s="23"/>
      <c r="J43" s="23"/>
      <c r="K43" s="27">
        <f>AVERAGE(K10:K40)</f>
        <v>124.9</v>
      </c>
      <c r="L43" s="23">
        <f t="shared" ref="L43:Q43" si="7">AVERAGE(L10:L40)</f>
        <v>265.3</v>
      </c>
      <c r="M43" s="23">
        <f t="shared" si="7"/>
        <v>242.9</v>
      </c>
      <c r="N43" s="23">
        <f t="shared" si="7"/>
        <v>286.16666666666669</v>
      </c>
      <c r="O43" s="23">
        <f t="shared" si="7"/>
        <v>82.433333333333337</v>
      </c>
      <c r="P43" s="23">
        <f>AVERAGE(P10:P40)</f>
        <v>232.73333333333332</v>
      </c>
      <c r="Q43" s="25">
        <f t="shared" si="7"/>
        <v>2.5</v>
      </c>
      <c r="R43" s="25"/>
      <c r="S43" s="25"/>
      <c r="T43" s="25"/>
      <c r="U43" s="25"/>
      <c r="V43" s="24"/>
      <c r="W43" s="27"/>
      <c r="X43" s="24"/>
      <c r="Y43" s="24"/>
      <c r="Z43" s="24"/>
      <c r="AA43" s="27"/>
      <c r="AB43" s="24"/>
      <c r="AC43" s="24"/>
      <c r="AD43" s="27"/>
      <c r="AE43" s="24"/>
      <c r="AF43" s="24"/>
      <c r="AG43" s="27"/>
      <c r="AH43" s="111"/>
      <c r="AI43" s="111"/>
      <c r="AJ43" s="111"/>
      <c r="AK43" s="111"/>
      <c r="AL43" s="112"/>
      <c r="AN43" s="67">
        <f>AVERAGE(AN10:AN40)</f>
        <v>-2.1075081061366499</v>
      </c>
      <c r="AO43" s="67">
        <f t="shared" ref="AO43:AP43" si="8">AVERAGE(AO10:AO40)</f>
        <v>-0.71508759400631827</v>
      </c>
      <c r="AP43" s="67">
        <f t="shared" si="8"/>
        <v>-1.4415326515110631</v>
      </c>
    </row>
    <row r="44" spans="1:57" x14ac:dyDescent="0.2">
      <c r="E44" s="11"/>
      <c r="G44" s="11"/>
      <c r="K44" s="4"/>
      <c r="M44" s="11"/>
      <c r="P44" s="11"/>
      <c r="Q44" s="11"/>
      <c r="W44" s="4"/>
      <c r="AA44" s="4"/>
      <c r="AD44" s="4"/>
    </row>
    <row r="45" spans="1:57" x14ac:dyDescent="0.2">
      <c r="E45" s="11"/>
      <c r="G45" s="11"/>
      <c r="K45" s="4"/>
      <c r="M45" s="11"/>
      <c r="P45" s="11"/>
      <c r="Q45" s="11"/>
      <c r="W45" s="4"/>
      <c r="AA45" s="4"/>
    </row>
    <row r="46" spans="1:57" x14ac:dyDescent="0.2">
      <c r="E46" s="11"/>
      <c r="G46" s="11"/>
      <c r="M46" s="11"/>
      <c r="P46" s="11"/>
      <c r="Q46" s="11"/>
      <c r="W46" s="4"/>
      <c r="AA46" s="4"/>
    </row>
    <row r="47" spans="1:57" x14ac:dyDescent="0.2">
      <c r="E47" s="11"/>
      <c r="G47" s="11"/>
      <c r="M47" s="11"/>
      <c r="P47" s="11"/>
      <c r="Q47" s="11"/>
    </row>
    <row r="48" spans="1:57" x14ac:dyDescent="0.2">
      <c r="E48" s="11"/>
      <c r="G48" s="11"/>
      <c r="M48" s="11"/>
      <c r="P48" s="11"/>
      <c r="Q48" s="11"/>
    </row>
    <row r="49" spans="5:17" x14ac:dyDescent="0.2">
      <c r="E49" s="11"/>
      <c r="G49" s="11"/>
      <c r="M49" s="11"/>
      <c r="P49" s="11"/>
      <c r="Q49" s="11"/>
    </row>
  </sheetData>
  <mergeCells count="72">
    <mergeCell ref="AH41:AL41"/>
    <mergeCell ref="AH42:AL42"/>
    <mergeCell ref="AH43:AL43"/>
    <mergeCell ref="AH36:AL36"/>
    <mergeCell ref="AH37:AL37"/>
    <mergeCell ref="AH38:AL38"/>
    <mergeCell ref="AH39:AL39"/>
    <mergeCell ref="AH40:AL40"/>
    <mergeCell ref="AH31:AL31"/>
    <mergeCell ref="AH32:AL32"/>
    <mergeCell ref="AH33:AL33"/>
    <mergeCell ref="AH34:AL34"/>
    <mergeCell ref="AH35:AL35"/>
    <mergeCell ref="AH26:AL26"/>
    <mergeCell ref="AH27:AL27"/>
    <mergeCell ref="AH28:AL28"/>
    <mergeCell ref="AH29:AL29"/>
    <mergeCell ref="AH30:AL30"/>
    <mergeCell ref="AH21:AL21"/>
    <mergeCell ref="AH22:AL22"/>
    <mergeCell ref="AH23:AL23"/>
    <mergeCell ref="AH24:AL24"/>
    <mergeCell ref="AH25:AL25"/>
    <mergeCell ref="AH16:AL16"/>
    <mergeCell ref="AH17:AL17"/>
    <mergeCell ref="AH18:AL18"/>
    <mergeCell ref="AH19:AL19"/>
    <mergeCell ref="AH20:AL20"/>
    <mergeCell ref="AH11:AL11"/>
    <mergeCell ref="AH12:AL12"/>
    <mergeCell ref="AH13:AL13"/>
    <mergeCell ref="AH14:AL14"/>
    <mergeCell ref="AH15:AL15"/>
    <mergeCell ref="U8:W8"/>
    <mergeCell ref="X8:AA8"/>
    <mergeCell ref="AB8:AD8"/>
    <mergeCell ref="AE8:AG8"/>
    <mergeCell ref="AH10:AL10"/>
    <mergeCell ref="AH7:AL9"/>
    <mergeCell ref="P8:P9"/>
    <mergeCell ref="Q8:Q9"/>
    <mergeCell ref="R8:R9"/>
    <mergeCell ref="S8:S9"/>
    <mergeCell ref="T8:T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3:T3"/>
    <mergeCell ref="E7:F7"/>
    <mergeCell ref="L7:P7"/>
    <mergeCell ref="Q7:T7"/>
    <mergeCell ref="U7:AG7"/>
    <mergeCell ref="AN7:AP7"/>
    <mergeCell ref="AY7:BA7"/>
    <mergeCell ref="AN8:AN9"/>
    <mergeCell ref="AO8:AO9"/>
    <mergeCell ref="AP8:AP9"/>
    <mergeCell ref="AY8:AY9"/>
    <mergeCell ref="AZ8:AZ9"/>
    <mergeCell ref="BA8:BA9"/>
  </mergeCells>
  <phoneticPr fontId="2" type="noConversion"/>
  <dataValidations count="5">
    <dataValidation type="whole" allowBlank="1" showInputMessage="1" showErrorMessage="1" sqref="C10:C40" xr:uid="{00000000-0002-0000-1800-000000000000}">
      <formula1>0</formula1>
      <formula2>9</formula2>
    </dataValidation>
    <dataValidation type="whole" allowBlank="1" showInputMessage="1" showErrorMessage="1" sqref="Y10:Y40" xr:uid="{00000000-0002-0000-1800-000001000000}">
      <formula1>3</formula1>
      <formula2>9</formula2>
    </dataValidation>
    <dataValidation type="whole" allowBlank="1" showInputMessage="1" showErrorMessage="1" sqref="AB10:AB40" xr:uid="{00000000-0002-0000-1800-000002000000}">
      <formula1>5</formula1>
      <formula2>9</formula2>
    </dataValidation>
    <dataValidation type="whole" allowBlank="1" showInputMessage="1" showErrorMessage="1" sqref="D10:D40" xr:uid="{00000000-0002-0000-1800-000003000000}">
      <formula1>0</formula1>
      <formula2>4</formula2>
    </dataValidation>
    <dataValidation type="whole" allowBlank="1" showInputMessage="1" showErrorMessage="1" sqref="AE10:AE40" xr:uid="{00000000-0002-0000-1800-000004000000}">
      <formula1>1</formula1>
      <formula2>9</formula2>
    </dataValidation>
  </dataValidations>
  <pageMargins left="0.75" right="0.75" top="1" bottom="1" header="0.5" footer="0.5"/>
  <pageSetup orientation="portrait" horizontalDpi="3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F772"/>
  <sheetViews>
    <sheetView topLeftCell="W1" workbookViewId="0">
      <selection activeCell="AD31" sqref="AD31"/>
    </sheetView>
  </sheetViews>
  <sheetFormatPr defaultRowHeight="12.75" x14ac:dyDescent="0.2"/>
  <cols>
    <col min="1" max="1" width="5.28515625" hidden="1" customWidth="1"/>
    <col min="2" max="2" width="6" hidden="1" customWidth="1"/>
    <col min="3" max="3" width="9.140625" hidden="1" customWidth="1"/>
    <col min="4" max="4" width="6.5703125" hidden="1" customWidth="1"/>
    <col min="5" max="5" width="4.140625" hidden="1" customWidth="1"/>
    <col min="6" max="6" width="4.42578125" hidden="1" customWidth="1"/>
    <col min="7" max="7" width="4.140625" hidden="1" customWidth="1"/>
    <col min="8" max="8" width="4.42578125" hidden="1" customWidth="1"/>
    <col min="9" max="9" width="4.7109375" hidden="1" customWidth="1"/>
    <col min="10" max="11" width="4.42578125" hidden="1" customWidth="1"/>
    <col min="12" max="12" width="4.140625" hidden="1" customWidth="1"/>
    <col min="13" max="13" width="4.28515625" hidden="1" customWidth="1"/>
    <col min="14" max="14" width="3.85546875" hidden="1" customWidth="1"/>
    <col min="15" max="15" width="4.7109375" hidden="1" customWidth="1"/>
    <col min="16" max="16" width="4.42578125" hidden="1" customWidth="1"/>
    <col min="17" max="17" width="5.28515625" hidden="1" customWidth="1"/>
    <col min="18" max="18" width="4.42578125" hidden="1" customWidth="1"/>
    <col min="19" max="19" width="5.28515625" hidden="1" customWidth="1"/>
    <col min="20" max="21" width="4.85546875" hidden="1" customWidth="1"/>
    <col min="22" max="22" width="4.42578125" hidden="1" customWidth="1"/>
    <col min="27" max="27" width="10" customWidth="1"/>
    <col min="32" max="32" width="11.42578125" customWidth="1"/>
  </cols>
  <sheetData>
    <row r="1" spans="1:32" ht="13.5" thickBot="1" x14ac:dyDescent="0.25">
      <c r="A1" s="120" t="s">
        <v>76</v>
      </c>
      <c r="B1" s="120"/>
      <c r="C1" s="120"/>
      <c r="E1" s="132" t="s">
        <v>63</v>
      </c>
      <c r="F1" s="133"/>
      <c r="G1" s="133"/>
      <c r="H1" s="37">
        <f>COUNTIF(E5:E724,0)</f>
        <v>72</v>
      </c>
      <c r="J1" s="132" t="s">
        <v>62</v>
      </c>
      <c r="K1" s="133"/>
      <c r="L1" s="133"/>
      <c r="M1" s="37">
        <f>COUNTIF(E5:E724,990)</f>
        <v>10</v>
      </c>
      <c r="W1" s="39" t="s">
        <v>65</v>
      </c>
      <c r="X1" s="134" t="s">
        <v>66</v>
      </c>
      <c r="Y1" s="135"/>
    </row>
    <row r="2" spans="1:32" ht="27" customHeight="1" thickBot="1" x14ac:dyDescent="0.25">
      <c r="A2" s="120"/>
      <c r="B2" s="120"/>
      <c r="C2" s="120"/>
      <c r="D2" s="143" t="s">
        <v>64</v>
      </c>
      <c r="E2" s="135"/>
      <c r="F2" s="35">
        <f t="shared" ref="F2:V2" si="0">SUM(F5:F724)</f>
        <v>2</v>
      </c>
      <c r="G2" s="34">
        <f t="shared" si="0"/>
        <v>11</v>
      </c>
      <c r="H2" s="34">
        <f t="shared" si="0"/>
        <v>26</v>
      </c>
      <c r="I2" s="34">
        <f t="shared" si="0"/>
        <v>131</v>
      </c>
      <c r="J2" s="34">
        <f t="shared" si="0"/>
        <v>340</v>
      </c>
      <c r="K2" s="34">
        <f t="shared" si="0"/>
        <v>112</v>
      </c>
      <c r="L2" s="34">
        <f t="shared" si="0"/>
        <v>11</v>
      </c>
      <c r="M2" s="34">
        <f t="shared" si="0"/>
        <v>1</v>
      </c>
      <c r="N2" s="34">
        <f t="shared" si="0"/>
        <v>0</v>
      </c>
      <c r="O2" s="34">
        <f t="shared" si="0"/>
        <v>0</v>
      </c>
      <c r="P2" s="34">
        <f t="shared" si="0"/>
        <v>0</v>
      </c>
      <c r="Q2" s="34">
        <f t="shared" si="0"/>
        <v>1</v>
      </c>
      <c r="R2" s="34">
        <f t="shared" si="0"/>
        <v>1</v>
      </c>
      <c r="S2" s="34">
        <f t="shared" si="0"/>
        <v>0</v>
      </c>
      <c r="T2" s="34">
        <f t="shared" si="0"/>
        <v>1</v>
      </c>
      <c r="U2" s="34">
        <f t="shared" si="0"/>
        <v>1</v>
      </c>
      <c r="V2" s="36">
        <f t="shared" si="0"/>
        <v>0</v>
      </c>
      <c r="W2" s="38">
        <f>SUM(F2:V2)</f>
        <v>638</v>
      </c>
      <c r="X2" s="136">
        <f>SUM(H1,M1,W2)</f>
        <v>720</v>
      </c>
      <c r="Y2" s="137"/>
      <c r="Z2" s="141" t="s">
        <v>75</v>
      </c>
      <c r="AA2" s="142"/>
      <c r="AB2" s="142"/>
      <c r="AC2" s="142"/>
    </row>
    <row r="3" spans="1:32" ht="15" customHeight="1" thickBot="1" x14ac:dyDescent="0.25"/>
    <row r="4" spans="1:32" ht="30" customHeight="1" thickBot="1" x14ac:dyDescent="0.4">
      <c r="A4" s="29" t="s">
        <v>42</v>
      </c>
      <c r="B4" s="30" t="s">
        <v>43</v>
      </c>
      <c r="C4" s="30" t="s">
        <v>44</v>
      </c>
      <c r="D4" s="30" t="s">
        <v>71</v>
      </c>
      <c r="E4" s="30" t="s">
        <v>61</v>
      </c>
      <c r="F4" s="31" t="s">
        <v>45</v>
      </c>
      <c r="G4" s="31" t="s">
        <v>46</v>
      </c>
      <c r="H4" s="31" t="s">
        <v>47</v>
      </c>
      <c r="I4" s="31" t="s">
        <v>48</v>
      </c>
      <c r="J4" s="31" t="s">
        <v>49</v>
      </c>
      <c r="K4" s="31" t="s">
        <v>50</v>
      </c>
      <c r="L4" s="31" t="s">
        <v>51</v>
      </c>
      <c r="M4" s="31" t="s">
        <v>52</v>
      </c>
      <c r="N4" s="31" t="s">
        <v>53</v>
      </c>
      <c r="O4" s="31" t="s">
        <v>54</v>
      </c>
      <c r="P4" s="31" t="s">
        <v>55</v>
      </c>
      <c r="Q4" s="31" t="s">
        <v>56</v>
      </c>
      <c r="R4" s="31" t="s">
        <v>57</v>
      </c>
      <c r="S4" s="31" t="s">
        <v>58</v>
      </c>
      <c r="T4" s="31" t="s">
        <v>59</v>
      </c>
      <c r="U4" s="31" t="s">
        <v>60</v>
      </c>
      <c r="V4" s="31" t="s">
        <v>45</v>
      </c>
      <c r="W4" s="121" t="s">
        <v>79</v>
      </c>
      <c r="X4" s="122"/>
      <c r="Y4" s="123"/>
      <c r="Z4" s="138" t="s">
        <v>78</v>
      </c>
      <c r="AA4" s="139"/>
      <c r="AB4" s="139"/>
      <c r="AC4" s="140"/>
      <c r="AE4" s="130"/>
      <c r="AF4" s="131"/>
    </row>
    <row r="5" spans="1:32" ht="26.25" thickBot="1" x14ac:dyDescent="0.25">
      <c r="A5" s="32">
        <v>1</v>
      </c>
      <c r="B5" s="33">
        <v>0</v>
      </c>
      <c r="C5" s="32">
        <f>'0400z'!E10</f>
        <v>9</v>
      </c>
      <c r="D5" s="32">
        <f>'0400z'!F10</f>
        <v>8</v>
      </c>
      <c r="E5" s="32">
        <f>(C5*10)</f>
        <v>90</v>
      </c>
      <c r="F5" s="10">
        <f>IF(E5&gt;0,IF(E5&lt;=11.25,1,0),0)</f>
        <v>0</v>
      </c>
      <c r="G5" s="10">
        <f>IF(E5&gt;11.25,IF(E5&lt;=33.75,1,0),0)</f>
        <v>0</v>
      </c>
      <c r="H5" s="10">
        <f>IF(E5&gt;33.75,IF(E5&lt;=56.25,1,0),0)</f>
        <v>0</v>
      </c>
      <c r="I5" s="10">
        <f>IF(E5&gt;56.25,IF(E5&lt;=78.75,1,0),0)</f>
        <v>0</v>
      </c>
      <c r="J5" s="10">
        <f>IF(E5&gt;78.75,IF(E5&lt;=101.25,1,0),0)</f>
        <v>1</v>
      </c>
      <c r="K5" s="10">
        <f>IF(E5&gt;101.25,IF(E5&lt;=123.75,1,0),0)</f>
        <v>0</v>
      </c>
      <c r="L5" s="10">
        <f>IF(E5&gt;123.75,IF(E5&lt;=146.25,1,0),0)</f>
        <v>0</v>
      </c>
      <c r="M5" s="10">
        <f>IF(E5&gt;146.25,IF(E5&lt;=168.75,1,0),0)</f>
        <v>0</v>
      </c>
      <c r="N5" s="10">
        <f>IF(E5&gt;168.75,IF(E5&lt;=191.25,1,0),0)</f>
        <v>0</v>
      </c>
      <c r="O5" s="10">
        <f>IF(E5&gt;191.25,IF(E5&lt;=213.75,1,0),0)</f>
        <v>0</v>
      </c>
      <c r="P5" s="10">
        <f>IF(E5&gt;213.75,IF(E5&lt;=236.25,1,0),0)</f>
        <v>0</v>
      </c>
      <c r="Q5" s="10">
        <f>IF(E5&gt;236.25,IF(E5&lt;=258.75,1,0),0)</f>
        <v>0</v>
      </c>
      <c r="R5" s="10">
        <f>IF(E5&gt;258.75,IF(E5&lt;=281.25,1,0),0)</f>
        <v>0</v>
      </c>
      <c r="S5" s="10">
        <f>IF(E5&gt;281.25,IF(E5&lt;=303.75,1,0),0)</f>
        <v>0</v>
      </c>
      <c r="T5" s="10">
        <f>IF(E5&gt;303.75,IF(E5&lt;=326.25,1,0),0)</f>
        <v>0</v>
      </c>
      <c r="U5" s="10">
        <f>IF(E5&gt;326.25,IF(E5&lt;=348.75,1,0),0)</f>
        <v>0</v>
      </c>
      <c r="V5" s="10">
        <f>IF(E5&gt;348.75,IF(E5&lt;=360,1,0),0)</f>
        <v>0</v>
      </c>
      <c r="W5" s="124"/>
      <c r="X5" s="125"/>
      <c r="Y5" s="126"/>
      <c r="Z5" s="42" t="s">
        <v>67</v>
      </c>
      <c r="AA5" s="42" t="s">
        <v>68</v>
      </c>
      <c r="AB5" s="42" t="s">
        <v>69</v>
      </c>
      <c r="AC5" s="43" t="s">
        <v>70</v>
      </c>
      <c r="AE5" s="41"/>
    </row>
    <row r="6" spans="1:32" x14ac:dyDescent="0.2">
      <c r="A6" s="32">
        <v>1</v>
      </c>
      <c r="B6" s="33">
        <v>4.1666666666666664E-2</v>
      </c>
      <c r="C6" s="32">
        <f>'0500z'!E10</f>
        <v>9</v>
      </c>
      <c r="D6" s="32">
        <f>'0500z'!F10</f>
        <v>7</v>
      </c>
      <c r="E6" s="32">
        <f>(C6*10)</f>
        <v>90</v>
      </c>
      <c r="F6" s="10">
        <f>IF(E6&gt;0,IF(E6&lt;=11.25,1,0),0)</f>
        <v>0</v>
      </c>
      <c r="G6" s="10">
        <f>IF(E6&gt;11.25,IF(E6&lt;=33.75,1,0),0)</f>
        <v>0</v>
      </c>
      <c r="H6" s="10">
        <f t="shared" ref="H6:H69" si="1">IF(E6&gt;33.75,IF(E6&lt;=56.25,1,0),0)</f>
        <v>0</v>
      </c>
      <c r="I6" s="10">
        <f t="shared" ref="I6:I69" si="2">IF(E6&gt;56.25,IF(E6&lt;=78.75,1,0),0)</f>
        <v>0</v>
      </c>
      <c r="J6" s="10">
        <f t="shared" ref="J6:J69" si="3">IF(E6&gt;78.75,IF(E6&lt;=101.25,1,0),0)</f>
        <v>1</v>
      </c>
      <c r="K6" s="10">
        <f t="shared" ref="K6:K69" si="4">IF(E6&gt;101.25,IF(E6&lt;=123.75,1,0),0)</f>
        <v>0</v>
      </c>
      <c r="L6" s="10">
        <f t="shared" ref="L6:L69" si="5">IF(E6&gt;123.75,IF(E6&lt;=146.25,1,0),0)</f>
        <v>0</v>
      </c>
      <c r="M6" s="10">
        <f t="shared" ref="M6:M69" si="6">IF(E6&gt;146.25,IF(E6&lt;=168.75,1,0),0)</f>
        <v>0</v>
      </c>
      <c r="N6" s="10">
        <f t="shared" ref="N6:N69" si="7">IF(E6&gt;168.75,IF(E6&lt;=191.25,1,0),0)</f>
        <v>0</v>
      </c>
      <c r="O6" s="10">
        <f t="shared" ref="O6:O69" si="8">IF(E6&gt;191.25,IF(E6&lt;=213.75,1,0),0)</f>
        <v>0</v>
      </c>
      <c r="P6" s="10">
        <f t="shared" ref="P6:P69" si="9">IF(E6&gt;213.75,IF(E6&lt;=236.25,1,0),0)</f>
        <v>0</v>
      </c>
      <c r="Q6" s="10">
        <f t="shared" ref="Q6:Q69" si="10">IF(E6&gt;236.25,IF(E6&lt;=258.75,1,0),0)</f>
        <v>0</v>
      </c>
      <c r="R6" s="10">
        <f t="shared" ref="R6:R69" si="11">IF(E6&gt;258.75,IF(E6&lt;=281.25,1,0),0)</f>
        <v>0</v>
      </c>
      <c r="S6" s="10">
        <f t="shared" ref="S6:S69" si="12">IF(E6&gt;281.25,IF(E6&lt;=303.75,1,0),0)</f>
        <v>0</v>
      </c>
      <c r="T6" s="10">
        <f t="shared" ref="T6:T69" si="13">IF(E6&gt;303.75,IF(E6&lt;=326.25,1,0),0)</f>
        <v>0</v>
      </c>
      <c r="U6" s="10">
        <f t="shared" ref="U6:U69" si="14">IF(E6&gt;326.25,IF(E6&lt;=348.75,1,0),0)</f>
        <v>0</v>
      </c>
      <c r="V6" s="10">
        <f t="shared" ref="V6:V69" si="15">IF(E6&gt;348.75,IF(E6&lt;=360,1,0),0)</f>
        <v>0</v>
      </c>
      <c r="Z6" s="44" t="s">
        <v>45</v>
      </c>
      <c r="AA6" s="45">
        <f>SUM(F2,V2)</f>
        <v>2</v>
      </c>
      <c r="AB6" s="46">
        <f>AA6/$AA$26</f>
        <v>2.7777777777777779E-3</v>
      </c>
      <c r="AC6" s="47">
        <f>IFERROR(AVERAGEIF(F5:F724,1,D5:D724),"")</f>
        <v>6</v>
      </c>
      <c r="AE6" s="41"/>
    </row>
    <row r="7" spans="1:32" x14ac:dyDescent="0.2">
      <c r="A7" s="32">
        <v>1</v>
      </c>
      <c r="B7" s="33">
        <v>8.3333333333333329E-2</v>
      </c>
      <c r="C7" s="32">
        <f>'0600z'!E10</f>
        <v>7</v>
      </c>
      <c r="D7" s="32">
        <f>'0600z'!F10</f>
        <v>5</v>
      </c>
      <c r="E7" s="32">
        <f t="shared" ref="E7:E70" si="16">(C7*10)</f>
        <v>70</v>
      </c>
      <c r="F7" s="10">
        <f t="shared" ref="F7:F70" si="17">IF(E7&gt;0,IF(E7&lt;=11.25,1,0),0)</f>
        <v>0</v>
      </c>
      <c r="G7" s="10">
        <f t="shared" ref="G7:G70" si="18">IF(E7&gt;11.25,IF(E7&lt;=33.75,1,0),0)</f>
        <v>0</v>
      </c>
      <c r="H7" s="10">
        <f t="shared" si="1"/>
        <v>0</v>
      </c>
      <c r="I7" s="10">
        <f t="shared" si="2"/>
        <v>1</v>
      </c>
      <c r="J7" s="10">
        <f t="shared" si="3"/>
        <v>0</v>
      </c>
      <c r="K7" s="10">
        <f t="shared" si="4"/>
        <v>0</v>
      </c>
      <c r="L7" s="10">
        <f t="shared" si="5"/>
        <v>0</v>
      </c>
      <c r="M7" s="10">
        <f t="shared" si="6"/>
        <v>0</v>
      </c>
      <c r="N7" s="10">
        <f t="shared" si="7"/>
        <v>0</v>
      </c>
      <c r="O7" s="10">
        <f t="shared" si="8"/>
        <v>0</v>
      </c>
      <c r="P7" s="10">
        <f t="shared" si="9"/>
        <v>0</v>
      </c>
      <c r="Q7" s="10">
        <f t="shared" si="10"/>
        <v>0</v>
      </c>
      <c r="R7" s="10">
        <f t="shared" si="11"/>
        <v>0</v>
      </c>
      <c r="S7" s="10">
        <f t="shared" si="12"/>
        <v>0</v>
      </c>
      <c r="T7" s="10">
        <f t="shared" si="13"/>
        <v>0</v>
      </c>
      <c r="U7" s="10">
        <f t="shared" si="14"/>
        <v>0</v>
      </c>
      <c r="V7" s="10">
        <f t="shared" si="15"/>
        <v>0</v>
      </c>
      <c r="Z7" s="44" t="s">
        <v>46</v>
      </c>
      <c r="AA7" s="45">
        <f>G2</f>
        <v>11</v>
      </c>
      <c r="AB7" s="46">
        <f t="shared" ref="AB7:AB21" si="19">AA7/$AA$26</f>
        <v>1.5277777777777777E-2</v>
      </c>
      <c r="AC7" s="48">
        <f>AVERAGEIF(G5:G724,1,D5:D724)</f>
        <v>7.1818181818181817</v>
      </c>
      <c r="AE7" s="41"/>
      <c r="AF7" s="40"/>
    </row>
    <row r="8" spans="1:32" x14ac:dyDescent="0.2">
      <c r="A8" s="32">
        <v>1</v>
      </c>
      <c r="B8" s="33">
        <v>0.125</v>
      </c>
      <c r="C8" s="32">
        <f>'0700z'!E10</f>
        <v>7</v>
      </c>
      <c r="D8" s="32">
        <f>'0700z'!F10</f>
        <v>5</v>
      </c>
      <c r="E8" s="32">
        <f t="shared" si="16"/>
        <v>70</v>
      </c>
      <c r="F8" s="10">
        <f t="shared" si="17"/>
        <v>0</v>
      </c>
      <c r="G8" s="10">
        <f t="shared" si="18"/>
        <v>0</v>
      </c>
      <c r="H8" s="10">
        <f t="shared" si="1"/>
        <v>0</v>
      </c>
      <c r="I8" s="10">
        <f t="shared" si="2"/>
        <v>1</v>
      </c>
      <c r="J8" s="10">
        <f t="shared" si="3"/>
        <v>0</v>
      </c>
      <c r="K8" s="10">
        <f t="shared" si="4"/>
        <v>0</v>
      </c>
      <c r="L8" s="10">
        <f t="shared" si="5"/>
        <v>0</v>
      </c>
      <c r="M8" s="10">
        <f t="shared" si="6"/>
        <v>0</v>
      </c>
      <c r="N8" s="10">
        <f t="shared" si="7"/>
        <v>0</v>
      </c>
      <c r="O8" s="10">
        <f t="shared" si="8"/>
        <v>0</v>
      </c>
      <c r="P8" s="10">
        <f t="shared" si="9"/>
        <v>0</v>
      </c>
      <c r="Q8" s="10">
        <f t="shared" si="10"/>
        <v>0</v>
      </c>
      <c r="R8" s="10">
        <f t="shared" si="11"/>
        <v>0</v>
      </c>
      <c r="S8" s="10">
        <f t="shared" si="12"/>
        <v>0</v>
      </c>
      <c r="T8" s="10">
        <f t="shared" si="13"/>
        <v>0</v>
      </c>
      <c r="U8" s="10">
        <f t="shared" si="14"/>
        <v>0</v>
      </c>
      <c r="V8" s="10">
        <f t="shared" si="15"/>
        <v>0</v>
      </c>
      <c r="Z8" s="44" t="s">
        <v>47</v>
      </c>
      <c r="AA8" s="45">
        <f>H2</f>
        <v>26</v>
      </c>
      <c r="AB8" s="46">
        <f t="shared" si="19"/>
        <v>3.6111111111111108E-2</v>
      </c>
      <c r="AC8" s="48">
        <f>AVERAGEIF(H5:H724,1,D5:D724)</f>
        <v>7.884615384615385</v>
      </c>
      <c r="AE8" s="41"/>
    </row>
    <row r="9" spans="1:32" x14ac:dyDescent="0.2">
      <c r="A9" s="32">
        <v>1</v>
      </c>
      <c r="B9" s="33">
        <v>0.16666666666666699</v>
      </c>
      <c r="C9" s="32">
        <f>'0800z'!E10</f>
        <v>7</v>
      </c>
      <c r="D9" s="32">
        <f>'0800z'!F10</f>
        <v>8</v>
      </c>
      <c r="E9" s="32">
        <f t="shared" si="16"/>
        <v>70</v>
      </c>
      <c r="F9" s="10">
        <f t="shared" si="17"/>
        <v>0</v>
      </c>
      <c r="G9" s="10">
        <f t="shared" si="18"/>
        <v>0</v>
      </c>
      <c r="H9" s="10">
        <f t="shared" si="1"/>
        <v>0</v>
      </c>
      <c r="I9" s="10">
        <f t="shared" si="2"/>
        <v>1</v>
      </c>
      <c r="J9" s="10">
        <f t="shared" si="3"/>
        <v>0</v>
      </c>
      <c r="K9" s="10">
        <f t="shared" si="4"/>
        <v>0</v>
      </c>
      <c r="L9" s="10">
        <f t="shared" si="5"/>
        <v>0</v>
      </c>
      <c r="M9" s="10">
        <f t="shared" si="6"/>
        <v>0</v>
      </c>
      <c r="N9" s="10">
        <f t="shared" si="7"/>
        <v>0</v>
      </c>
      <c r="O9" s="10">
        <f t="shared" si="8"/>
        <v>0</v>
      </c>
      <c r="P9" s="10">
        <f t="shared" si="9"/>
        <v>0</v>
      </c>
      <c r="Q9" s="10">
        <f t="shared" si="10"/>
        <v>0</v>
      </c>
      <c r="R9" s="10">
        <f t="shared" si="11"/>
        <v>0</v>
      </c>
      <c r="S9" s="10">
        <f t="shared" si="12"/>
        <v>0</v>
      </c>
      <c r="T9" s="10">
        <f t="shared" si="13"/>
        <v>0</v>
      </c>
      <c r="U9" s="10">
        <f t="shared" si="14"/>
        <v>0</v>
      </c>
      <c r="V9" s="10">
        <f t="shared" si="15"/>
        <v>0</v>
      </c>
      <c r="Z9" s="44" t="s">
        <v>48</v>
      </c>
      <c r="AA9" s="45">
        <f>I2</f>
        <v>131</v>
      </c>
      <c r="AB9" s="46">
        <f t="shared" si="19"/>
        <v>0.18194444444444444</v>
      </c>
      <c r="AC9" s="48">
        <f>AVERAGEIF(I5:I724,1,D5:D724)</f>
        <v>8.7328244274809155</v>
      </c>
      <c r="AE9" s="41"/>
    </row>
    <row r="10" spans="1:32" x14ac:dyDescent="0.2">
      <c r="A10" s="32">
        <v>1</v>
      </c>
      <c r="B10" s="33">
        <v>0.20833333333333301</v>
      </c>
      <c r="C10" s="32">
        <f>'0900z'!E10</f>
        <v>9</v>
      </c>
      <c r="D10" s="32">
        <f>'0900z'!F10</f>
        <v>10</v>
      </c>
      <c r="E10" s="32">
        <f>(C10*10)</f>
        <v>90</v>
      </c>
      <c r="F10" s="10">
        <f t="shared" si="17"/>
        <v>0</v>
      </c>
      <c r="G10" s="10">
        <f t="shared" si="18"/>
        <v>0</v>
      </c>
      <c r="H10" s="10">
        <f t="shared" si="1"/>
        <v>0</v>
      </c>
      <c r="I10" s="10">
        <f t="shared" si="2"/>
        <v>0</v>
      </c>
      <c r="J10" s="10">
        <f t="shared" si="3"/>
        <v>1</v>
      </c>
      <c r="K10" s="10">
        <f t="shared" si="4"/>
        <v>0</v>
      </c>
      <c r="L10" s="10">
        <f t="shared" si="5"/>
        <v>0</v>
      </c>
      <c r="M10" s="10">
        <f t="shared" si="6"/>
        <v>0</v>
      </c>
      <c r="N10" s="10">
        <f t="shared" si="7"/>
        <v>0</v>
      </c>
      <c r="O10" s="10">
        <f t="shared" si="8"/>
        <v>0</v>
      </c>
      <c r="P10" s="10">
        <f t="shared" si="9"/>
        <v>0</v>
      </c>
      <c r="Q10" s="10">
        <f t="shared" si="10"/>
        <v>0</v>
      </c>
      <c r="R10" s="10">
        <f t="shared" si="11"/>
        <v>0</v>
      </c>
      <c r="S10" s="10">
        <f t="shared" si="12"/>
        <v>0</v>
      </c>
      <c r="T10" s="10">
        <f t="shared" si="13"/>
        <v>0</v>
      </c>
      <c r="U10" s="10">
        <f t="shared" si="14"/>
        <v>0</v>
      </c>
      <c r="V10" s="10">
        <f t="shared" si="15"/>
        <v>0</v>
      </c>
      <c r="Z10" s="44" t="s">
        <v>49</v>
      </c>
      <c r="AA10" s="45">
        <f>J2</f>
        <v>340</v>
      </c>
      <c r="AB10" s="46">
        <f t="shared" si="19"/>
        <v>0.47222222222222221</v>
      </c>
      <c r="AC10" s="48">
        <f>AVERAGEIF(J5:J724,1,D5:D724)</f>
        <v>11.382352941176471</v>
      </c>
      <c r="AE10" s="41"/>
    </row>
    <row r="11" spans="1:32" x14ac:dyDescent="0.2">
      <c r="A11" s="32">
        <v>1</v>
      </c>
      <c r="B11" s="33">
        <v>0.25</v>
      </c>
      <c r="C11" s="32">
        <f>'1000z'!E10</f>
        <v>8</v>
      </c>
      <c r="D11" s="32">
        <f>'1000z'!F10</f>
        <v>10</v>
      </c>
      <c r="E11" s="32">
        <f t="shared" si="16"/>
        <v>80</v>
      </c>
      <c r="F11" s="10">
        <f t="shared" si="17"/>
        <v>0</v>
      </c>
      <c r="G11" s="10">
        <f t="shared" si="18"/>
        <v>0</v>
      </c>
      <c r="H11" s="10">
        <f t="shared" si="1"/>
        <v>0</v>
      </c>
      <c r="I11" s="10">
        <f t="shared" si="2"/>
        <v>0</v>
      </c>
      <c r="J11" s="10">
        <f t="shared" si="3"/>
        <v>1</v>
      </c>
      <c r="K11" s="10">
        <f t="shared" si="4"/>
        <v>0</v>
      </c>
      <c r="L11" s="10">
        <f t="shared" si="5"/>
        <v>0</v>
      </c>
      <c r="M11" s="10">
        <f t="shared" si="6"/>
        <v>0</v>
      </c>
      <c r="N11" s="10">
        <f t="shared" si="7"/>
        <v>0</v>
      </c>
      <c r="O11" s="10">
        <f t="shared" si="8"/>
        <v>0</v>
      </c>
      <c r="P11" s="10">
        <f t="shared" si="9"/>
        <v>0</v>
      </c>
      <c r="Q11" s="10">
        <f t="shared" si="10"/>
        <v>0</v>
      </c>
      <c r="R11" s="10">
        <f t="shared" si="11"/>
        <v>0</v>
      </c>
      <c r="S11" s="10">
        <f t="shared" si="12"/>
        <v>0</v>
      </c>
      <c r="T11" s="10">
        <f t="shared" si="13"/>
        <v>0</v>
      </c>
      <c r="U11" s="10">
        <f t="shared" si="14"/>
        <v>0</v>
      </c>
      <c r="V11" s="10">
        <f t="shared" si="15"/>
        <v>0</v>
      </c>
      <c r="Z11" s="44" t="s">
        <v>50</v>
      </c>
      <c r="AA11" s="45">
        <f>K2</f>
        <v>112</v>
      </c>
      <c r="AB11" s="46">
        <f t="shared" si="19"/>
        <v>0.15555555555555556</v>
      </c>
      <c r="AC11" s="48">
        <f>AVERAGEIF(K5:K724,1,D5:D724)</f>
        <v>13.732142857142858</v>
      </c>
      <c r="AE11" s="41"/>
    </row>
    <row r="12" spans="1:32" x14ac:dyDescent="0.2">
      <c r="A12" s="32">
        <v>1</v>
      </c>
      <c r="B12" s="33">
        <v>0.29166666666666702</v>
      </c>
      <c r="C12" s="32">
        <f>'1100z'!E10</f>
        <v>9</v>
      </c>
      <c r="D12" s="32">
        <f>'1100z'!F10</f>
        <v>10</v>
      </c>
      <c r="E12" s="32">
        <f t="shared" si="16"/>
        <v>90</v>
      </c>
      <c r="F12" s="10">
        <f t="shared" si="17"/>
        <v>0</v>
      </c>
      <c r="G12" s="10">
        <f t="shared" si="18"/>
        <v>0</v>
      </c>
      <c r="H12" s="10">
        <f t="shared" si="1"/>
        <v>0</v>
      </c>
      <c r="I12" s="10">
        <f t="shared" si="2"/>
        <v>0</v>
      </c>
      <c r="J12" s="10">
        <f t="shared" si="3"/>
        <v>1</v>
      </c>
      <c r="K12" s="10">
        <f t="shared" si="4"/>
        <v>0</v>
      </c>
      <c r="L12" s="10">
        <f t="shared" si="5"/>
        <v>0</v>
      </c>
      <c r="M12" s="10">
        <f t="shared" si="6"/>
        <v>0</v>
      </c>
      <c r="N12" s="10">
        <f t="shared" si="7"/>
        <v>0</v>
      </c>
      <c r="O12" s="10">
        <f t="shared" si="8"/>
        <v>0</v>
      </c>
      <c r="P12" s="10">
        <f t="shared" si="9"/>
        <v>0</v>
      </c>
      <c r="Q12" s="10">
        <f t="shared" si="10"/>
        <v>0</v>
      </c>
      <c r="R12" s="10">
        <f t="shared" si="11"/>
        <v>0</v>
      </c>
      <c r="S12" s="10">
        <f t="shared" si="12"/>
        <v>0</v>
      </c>
      <c r="T12" s="10">
        <f t="shared" si="13"/>
        <v>0</v>
      </c>
      <c r="U12" s="10">
        <f t="shared" si="14"/>
        <v>0</v>
      </c>
      <c r="V12" s="10">
        <f t="shared" si="15"/>
        <v>0</v>
      </c>
      <c r="Z12" s="44" t="s">
        <v>51</v>
      </c>
      <c r="AA12" s="45">
        <f>L2</f>
        <v>11</v>
      </c>
      <c r="AB12" s="46">
        <f t="shared" si="19"/>
        <v>1.5277777777777777E-2</v>
      </c>
      <c r="AC12" s="48">
        <f>AVERAGEIF(L5:L724,1,D5:D724)</f>
        <v>11.090909090909092</v>
      </c>
      <c r="AE12" s="41"/>
    </row>
    <row r="13" spans="1:32" x14ac:dyDescent="0.2">
      <c r="A13" s="32">
        <v>1</v>
      </c>
      <c r="B13" s="33">
        <v>0.33333333333333298</v>
      </c>
      <c r="C13" s="32">
        <f>'1200z'!E10</f>
        <v>10</v>
      </c>
      <c r="D13" s="32">
        <f>'1200z'!F10</f>
        <v>11</v>
      </c>
      <c r="E13" s="32">
        <f t="shared" si="16"/>
        <v>100</v>
      </c>
      <c r="F13" s="10">
        <f t="shared" si="17"/>
        <v>0</v>
      </c>
      <c r="G13" s="10">
        <f t="shared" si="18"/>
        <v>0</v>
      </c>
      <c r="H13" s="10">
        <f t="shared" si="1"/>
        <v>0</v>
      </c>
      <c r="I13" s="10">
        <f t="shared" si="2"/>
        <v>0</v>
      </c>
      <c r="J13" s="10">
        <f t="shared" si="3"/>
        <v>1</v>
      </c>
      <c r="K13" s="10">
        <f t="shared" si="4"/>
        <v>0</v>
      </c>
      <c r="L13" s="10">
        <f t="shared" si="5"/>
        <v>0</v>
      </c>
      <c r="M13" s="10">
        <f t="shared" si="6"/>
        <v>0</v>
      </c>
      <c r="N13" s="10">
        <f t="shared" si="7"/>
        <v>0</v>
      </c>
      <c r="O13" s="10">
        <f t="shared" si="8"/>
        <v>0</v>
      </c>
      <c r="P13" s="10">
        <f t="shared" si="9"/>
        <v>0</v>
      </c>
      <c r="Q13" s="10">
        <f t="shared" si="10"/>
        <v>0</v>
      </c>
      <c r="R13" s="10">
        <f t="shared" si="11"/>
        <v>0</v>
      </c>
      <c r="S13" s="10">
        <f t="shared" si="12"/>
        <v>0</v>
      </c>
      <c r="T13" s="10">
        <f t="shared" si="13"/>
        <v>0</v>
      </c>
      <c r="U13" s="10">
        <f t="shared" si="14"/>
        <v>0</v>
      </c>
      <c r="V13" s="10">
        <f t="shared" si="15"/>
        <v>0</v>
      </c>
      <c r="Z13" s="44" t="s">
        <v>52</v>
      </c>
      <c r="AA13" s="45">
        <f>M2</f>
        <v>1</v>
      </c>
      <c r="AB13" s="46">
        <f t="shared" si="19"/>
        <v>1.3888888888888889E-3</v>
      </c>
      <c r="AC13" s="48">
        <f>AVERAGEIF(M5:M724,1,D5:D724)</f>
        <v>10</v>
      </c>
      <c r="AE13" s="41"/>
    </row>
    <row r="14" spans="1:32" x14ac:dyDescent="0.2">
      <c r="A14" s="32">
        <v>1</v>
      </c>
      <c r="B14" s="33">
        <v>0.375</v>
      </c>
      <c r="C14" s="32">
        <f>'1300z'!E10</f>
        <v>11</v>
      </c>
      <c r="D14" s="32">
        <f>'1300z'!F10</f>
        <v>13</v>
      </c>
      <c r="E14" s="32">
        <f t="shared" si="16"/>
        <v>110</v>
      </c>
      <c r="F14" s="10">
        <f t="shared" si="17"/>
        <v>0</v>
      </c>
      <c r="G14" s="10">
        <f t="shared" si="18"/>
        <v>0</v>
      </c>
      <c r="H14" s="10">
        <f t="shared" si="1"/>
        <v>0</v>
      </c>
      <c r="I14" s="10">
        <f t="shared" si="2"/>
        <v>0</v>
      </c>
      <c r="J14" s="10">
        <f t="shared" si="3"/>
        <v>0</v>
      </c>
      <c r="K14" s="10">
        <f t="shared" si="4"/>
        <v>1</v>
      </c>
      <c r="L14" s="10">
        <f t="shared" si="5"/>
        <v>0</v>
      </c>
      <c r="M14" s="10">
        <f t="shared" si="6"/>
        <v>0</v>
      </c>
      <c r="N14" s="10">
        <f t="shared" si="7"/>
        <v>0</v>
      </c>
      <c r="O14" s="10">
        <f t="shared" si="8"/>
        <v>0</v>
      </c>
      <c r="P14" s="10">
        <f t="shared" si="9"/>
        <v>0</v>
      </c>
      <c r="Q14" s="10">
        <f t="shared" si="10"/>
        <v>0</v>
      </c>
      <c r="R14" s="10">
        <f t="shared" si="11"/>
        <v>0</v>
      </c>
      <c r="S14" s="10">
        <f t="shared" si="12"/>
        <v>0</v>
      </c>
      <c r="T14" s="10">
        <f t="shared" si="13"/>
        <v>0</v>
      </c>
      <c r="U14" s="10">
        <f t="shared" si="14"/>
        <v>0</v>
      </c>
      <c r="V14" s="10">
        <f t="shared" si="15"/>
        <v>0</v>
      </c>
      <c r="Z14" s="44" t="s">
        <v>53</v>
      </c>
      <c r="AA14" s="45">
        <f>N2</f>
        <v>0</v>
      </c>
      <c r="AB14" s="46">
        <f t="shared" si="19"/>
        <v>0</v>
      </c>
      <c r="AC14" s="48" t="str">
        <f>IFERROR(AVERAGEIF(N5:N724,1,D5:D724),"")</f>
        <v/>
      </c>
      <c r="AE14" s="41"/>
    </row>
    <row r="15" spans="1:32" x14ac:dyDescent="0.2">
      <c r="A15" s="32">
        <v>1</v>
      </c>
      <c r="B15" s="33">
        <v>0.41666666666666702</v>
      </c>
      <c r="C15" s="32">
        <f>'1400z'!E10</f>
        <v>12</v>
      </c>
      <c r="D15" s="32">
        <f>'1400z'!F10</f>
        <v>14</v>
      </c>
      <c r="E15" s="32">
        <f t="shared" si="16"/>
        <v>120</v>
      </c>
      <c r="F15" s="10">
        <f t="shared" si="17"/>
        <v>0</v>
      </c>
      <c r="G15" s="10">
        <f t="shared" si="18"/>
        <v>0</v>
      </c>
      <c r="H15" s="10">
        <f t="shared" si="1"/>
        <v>0</v>
      </c>
      <c r="I15" s="10">
        <f t="shared" si="2"/>
        <v>0</v>
      </c>
      <c r="J15" s="10">
        <f t="shared" si="3"/>
        <v>0</v>
      </c>
      <c r="K15" s="10">
        <f t="shared" si="4"/>
        <v>1</v>
      </c>
      <c r="L15" s="10">
        <f t="shared" si="5"/>
        <v>0</v>
      </c>
      <c r="M15" s="10">
        <f t="shared" si="6"/>
        <v>0</v>
      </c>
      <c r="N15" s="10">
        <f t="shared" si="7"/>
        <v>0</v>
      </c>
      <c r="O15" s="10">
        <f t="shared" si="8"/>
        <v>0</v>
      </c>
      <c r="P15" s="10">
        <f t="shared" si="9"/>
        <v>0</v>
      </c>
      <c r="Q15" s="10">
        <f t="shared" si="10"/>
        <v>0</v>
      </c>
      <c r="R15" s="10">
        <f t="shared" si="11"/>
        <v>0</v>
      </c>
      <c r="S15" s="10">
        <f t="shared" si="12"/>
        <v>0</v>
      </c>
      <c r="T15" s="10">
        <f t="shared" si="13"/>
        <v>0</v>
      </c>
      <c r="U15" s="10">
        <f t="shared" si="14"/>
        <v>0</v>
      </c>
      <c r="V15" s="10">
        <f t="shared" si="15"/>
        <v>0</v>
      </c>
      <c r="Z15" s="44" t="s">
        <v>54</v>
      </c>
      <c r="AA15" s="45">
        <f>O2</f>
        <v>0</v>
      </c>
      <c r="AB15" s="46">
        <f t="shared" si="19"/>
        <v>0</v>
      </c>
      <c r="AC15" s="48" t="str">
        <f>IFERROR(AVERAGEIF(O5:O724,1,D5:D724),"")</f>
        <v/>
      </c>
      <c r="AE15" s="41"/>
    </row>
    <row r="16" spans="1:32" x14ac:dyDescent="0.2">
      <c r="A16" s="32">
        <v>1</v>
      </c>
      <c r="B16" s="33">
        <v>0.45833333333333298</v>
      </c>
      <c r="C16" s="32">
        <f>'1500z'!E10</f>
        <v>12</v>
      </c>
      <c r="D16" s="32">
        <f>'1500z'!F10</f>
        <v>16</v>
      </c>
      <c r="E16" s="32">
        <f t="shared" si="16"/>
        <v>120</v>
      </c>
      <c r="F16" s="10">
        <f t="shared" si="17"/>
        <v>0</v>
      </c>
      <c r="G16" s="10">
        <f t="shared" si="18"/>
        <v>0</v>
      </c>
      <c r="H16" s="10">
        <f t="shared" si="1"/>
        <v>0</v>
      </c>
      <c r="I16" s="10">
        <f t="shared" si="2"/>
        <v>0</v>
      </c>
      <c r="J16" s="10">
        <f t="shared" si="3"/>
        <v>0</v>
      </c>
      <c r="K16" s="10">
        <f t="shared" si="4"/>
        <v>1</v>
      </c>
      <c r="L16" s="10">
        <f t="shared" si="5"/>
        <v>0</v>
      </c>
      <c r="M16" s="10">
        <f t="shared" si="6"/>
        <v>0</v>
      </c>
      <c r="N16" s="10">
        <f t="shared" si="7"/>
        <v>0</v>
      </c>
      <c r="O16" s="10">
        <f t="shared" si="8"/>
        <v>0</v>
      </c>
      <c r="P16" s="10">
        <f t="shared" si="9"/>
        <v>0</v>
      </c>
      <c r="Q16" s="10">
        <f t="shared" si="10"/>
        <v>0</v>
      </c>
      <c r="R16" s="10">
        <f t="shared" si="11"/>
        <v>0</v>
      </c>
      <c r="S16" s="10">
        <f t="shared" si="12"/>
        <v>0</v>
      </c>
      <c r="T16" s="10">
        <f t="shared" si="13"/>
        <v>0</v>
      </c>
      <c r="U16" s="10">
        <f t="shared" si="14"/>
        <v>0</v>
      </c>
      <c r="V16" s="10">
        <f t="shared" si="15"/>
        <v>0</v>
      </c>
      <c r="Z16" s="44" t="s">
        <v>55</v>
      </c>
      <c r="AA16" s="45">
        <f>P2</f>
        <v>0</v>
      </c>
      <c r="AB16" s="46">
        <f t="shared" si="19"/>
        <v>0</v>
      </c>
      <c r="AC16" s="48" t="str">
        <f>IFERROR(AVERAGEIF(P5:P724,1,D5:D724),"")</f>
        <v/>
      </c>
      <c r="AE16" s="41"/>
    </row>
    <row r="17" spans="1:31" x14ac:dyDescent="0.2">
      <c r="A17" s="32">
        <v>1</v>
      </c>
      <c r="B17" s="33">
        <v>0.5</v>
      </c>
      <c r="C17" s="32">
        <f>'1600z'!E10</f>
        <v>12</v>
      </c>
      <c r="D17" s="32">
        <f>'1600z'!F10</f>
        <v>13</v>
      </c>
      <c r="E17" s="32">
        <f t="shared" si="16"/>
        <v>120</v>
      </c>
      <c r="F17" s="10">
        <f t="shared" si="17"/>
        <v>0</v>
      </c>
      <c r="G17" s="10">
        <f t="shared" si="18"/>
        <v>0</v>
      </c>
      <c r="H17" s="10">
        <f t="shared" si="1"/>
        <v>0</v>
      </c>
      <c r="I17" s="10">
        <f t="shared" si="2"/>
        <v>0</v>
      </c>
      <c r="J17" s="10">
        <f t="shared" si="3"/>
        <v>0</v>
      </c>
      <c r="K17" s="10">
        <f t="shared" si="4"/>
        <v>1</v>
      </c>
      <c r="L17" s="10">
        <f t="shared" si="5"/>
        <v>0</v>
      </c>
      <c r="M17" s="10">
        <f t="shared" si="6"/>
        <v>0</v>
      </c>
      <c r="N17" s="10">
        <f t="shared" si="7"/>
        <v>0</v>
      </c>
      <c r="O17" s="10">
        <f t="shared" si="8"/>
        <v>0</v>
      </c>
      <c r="P17" s="10">
        <f t="shared" si="9"/>
        <v>0</v>
      </c>
      <c r="Q17" s="10">
        <f t="shared" si="10"/>
        <v>0</v>
      </c>
      <c r="R17" s="10">
        <f t="shared" si="11"/>
        <v>0</v>
      </c>
      <c r="S17" s="10">
        <f t="shared" si="12"/>
        <v>0</v>
      </c>
      <c r="T17" s="10">
        <f t="shared" si="13"/>
        <v>0</v>
      </c>
      <c r="U17" s="10">
        <f t="shared" si="14"/>
        <v>0</v>
      </c>
      <c r="V17" s="10">
        <f t="shared" si="15"/>
        <v>0</v>
      </c>
      <c r="Z17" s="44" t="s">
        <v>56</v>
      </c>
      <c r="AA17" s="45">
        <f>Q2</f>
        <v>1</v>
      </c>
      <c r="AB17" s="46">
        <f t="shared" si="19"/>
        <v>1.3888888888888889E-3</v>
      </c>
      <c r="AC17" s="48">
        <f>AVERAGEIF(Q5:Q724,1,D5:D724)</f>
        <v>5</v>
      </c>
      <c r="AE17" s="41"/>
    </row>
    <row r="18" spans="1:31" x14ac:dyDescent="0.2">
      <c r="A18" s="32">
        <v>1</v>
      </c>
      <c r="B18" s="33">
        <v>0.54166666666666696</v>
      </c>
      <c r="C18" s="32">
        <f>'1700z'!E10</f>
        <v>10</v>
      </c>
      <c r="D18" s="32">
        <f>'1700z'!F10</f>
        <v>12</v>
      </c>
      <c r="E18" s="32">
        <f t="shared" si="16"/>
        <v>100</v>
      </c>
      <c r="F18" s="10">
        <f t="shared" si="17"/>
        <v>0</v>
      </c>
      <c r="G18" s="10">
        <f t="shared" si="18"/>
        <v>0</v>
      </c>
      <c r="H18" s="10">
        <f t="shared" si="1"/>
        <v>0</v>
      </c>
      <c r="I18" s="10">
        <f t="shared" si="2"/>
        <v>0</v>
      </c>
      <c r="J18" s="10">
        <f t="shared" si="3"/>
        <v>1</v>
      </c>
      <c r="K18" s="10">
        <f t="shared" si="4"/>
        <v>0</v>
      </c>
      <c r="L18" s="10">
        <f t="shared" si="5"/>
        <v>0</v>
      </c>
      <c r="M18" s="10">
        <f t="shared" si="6"/>
        <v>0</v>
      </c>
      <c r="N18" s="10">
        <f t="shared" si="7"/>
        <v>0</v>
      </c>
      <c r="O18" s="10">
        <f t="shared" si="8"/>
        <v>0</v>
      </c>
      <c r="P18" s="10">
        <f t="shared" si="9"/>
        <v>0</v>
      </c>
      <c r="Q18" s="10">
        <f t="shared" si="10"/>
        <v>0</v>
      </c>
      <c r="R18" s="10">
        <f t="shared" si="11"/>
        <v>0</v>
      </c>
      <c r="S18" s="10">
        <f t="shared" si="12"/>
        <v>0</v>
      </c>
      <c r="T18" s="10">
        <f t="shared" si="13"/>
        <v>0</v>
      </c>
      <c r="U18" s="10">
        <f t="shared" si="14"/>
        <v>0</v>
      </c>
      <c r="V18" s="10">
        <f t="shared" si="15"/>
        <v>0</v>
      </c>
      <c r="Z18" s="44" t="s">
        <v>57</v>
      </c>
      <c r="AA18" s="45">
        <f>R2</f>
        <v>1</v>
      </c>
      <c r="AB18" s="46">
        <f t="shared" si="19"/>
        <v>1.3888888888888889E-3</v>
      </c>
      <c r="AC18" s="48">
        <f>AVERAGEIF(R5:R724,1,D5:D724)</f>
        <v>5</v>
      </c>
      <c r="AE18" s="41"/>
    </row>
    <row r="19" spans="1:31" x14ac:dyDescent="0.2">
      <c r="A19" s="32">
        <v>1</v>
      </c>
      <c r="B19" s="33">
        <v>0.58333333333333304</v>
      </c>
      <c r="C19" s="32">
        <f>'1800z'!E10</f>
        <v>12</v>
      </c>
      <c r="D19" s="32">
        <f>'1800z'!F10</f>
        <v>14</v>
      </c>
      <c r="E19" s="32">
        <f t="shared" si="16"/>
        <v>120</v>
      </c>
      <c r="F19" s="10">
        <f t="shared" si="17"/>
        <v>0</v>
      </c>
      <c r="G19" s="10">
        <f t="shared" si="18"/>
        <v>0</v>
      </c>
      <c r="H19" s="10">
        <f t="shared" si="1"/>
        <v>0</v>
      </c>
      <c r="I19" s="10">
        <f t="shared" si="2"/>
        <v>0</v>
      </c>
      <c r="J19" s="10">
        <f t="shared" si="3"/>
        <v>0</v>
      </c>
      <c r="K19" s="10">
        <f t="shared" si="4"/>
        <v>1</v>
      </c>
      <c r="L19" s="10">
        <f t="shared" si="5"/>
        <v>0</v>
      </c>
      <c r="M19" s="10">
        <f t="shared" si="6"/>
        <v>0</v>
      </c>
      <c r="N19" s="10">
        <f t="shared" si="7"/>
        <v>0</v>
      </c>
      <c r="O19" s="10">
        <f t="shared" si="8"/>
        <v>0</v>
      </c>
      <c r="P19" s="10">
        <f t="shared" si="9"/>
        <v>0</v>
      </c>
      <c r="Q19" s="10">
        <f t="shared" si="10"/>
        <v>0</v>
      </c>
      <c r="R19" s="10">
        <f t="shared" si="11"/>
        <v>0</v>
      </c>
      <c r="S19" s="10">
        <f t="shared" si="12"/>
        <v>0</v>
      </c>
      <c r="T19" s="10">
        <f t="shared" si="13"/>
        <v>0</v>
      </c>
      <c r="U19" s="10">
        <f t="shared" si="14"/>
        <v>0</v>
      </c>
      <c r="V19" s="10">
        <f t="shared" si="15"/>
        <v>0</v>
      </c>
      <c r="Z19" s="44" t="s">
        <v>58</v>
      </c>
      <c r="AA19" s="45">
        <f>S2</f>
        <v>0</v>
      </c>
      <c r="AB19" s="46">
        <f t="shared" si="19"/>
        <v>0</v>
      </c>
      <c r="AC19" s="48" t="str">
        <f>IFERROR(AVERAGEIF(S5:S724,1,D5:D724),"")</f>
        <v/>
      </c>
      <c r="AE19" s="41"/>
    </row>
    <row r="20" spans="1:31" x14ac:dyDescent="0.2">
      <c r="A20" s="32">
        <v>1</v>
      </c>
      <c r="B20" s="33">
        <v>0.625</v>
      </c>
      <c r="C20" s="32">
        <f>'1900z'!E10</f>
        <v>12</v>
      </c>
      <c r="D20" s="32">
        <f>'1900z'!F10</f>
        <v>13</v>
      </c>
      <c r="E20" s="32">
        <f t="shared" si="16"/>
        <v>120</v>
      </c>
      <c r="F20" s="10">
        <f t="shared" si="17"/>
        <v>0</v>
      </c>
      <c r="G20" s="10">
        <f t="shared" si="18"/>
        <v>0</v>
      </c>
      <c r="H20" s="10">
        <f t="shared" si="1"/>
        <v>0</v>
      </c>
      <c r="I20" s="10">
        <f t="shared" si="2"/>
        <v>0</v>
      </c>
      <c r="J20" s="10">
        <f t="shared" si="3"/>
        <v>0</v>
      </c>
      <c r="K20" s="10">
        <f t="shared" si="4"/>
        <v>1</v>
      </c>
      <c r="L20" s="10">
        <f t="shared" si="5"/>
        <v>0</v>
      </c>
      <c r="M20" s="10">
        <f t="shared" si="6"/>
        <v>0</v>
      </c>
      <c r="N20" s="10">
        <f t="shared" si="7"/>
        <v>0</v>
      </c>
      <c r="O20" s="10">
        <f t="shared" si="8"/>
        <v>0</v>
      </c>
      <c r="P20" s="10">
        <f t="shared" si="9"/>
        <v>0</v>
      </c>
      <c r="Q20" s="10">
        <f t="shared" si="10"/>
        <v>0</v>
      </c>
      <c r="R20" s="10">
        <f t="shared" si="11"/>
        <v>0</v>
      </c>
      <c r="S20" s="10">
        <f t="shared" si="12"/>
        <v>0</v>
      </c>
      <c r="T20" s="10">
        <f t="shared" si="13"/>
        <v>0</v>
      </c>
      <c r="U20" s="10">
        <f t="shared" si="14"/>
        <v>0</v>
      </c>
      <c r="V20" s="10">
        <f t="shared" si="15"/>
        <v>0</v>
      </c>
      <c r="Z20" s="44" t="s">
        <v>59</v>
      </c>
      <c r="AA20" s="45">
        <f>T2</f>
        <v>1</v>
      </c>
      <c r="AB20" s="46">
        <f t="shared" si="19"/>
        <v>1.3888888888888889E-3</v>
      </c>
      <c r="AC20" s="48">
        <f>AVERAGEIF(T5:T724,1,D5:D724)</f>
        <v>5</v>
      </c>
      <c r="AE20" s="41"/>
    </row>
    <row r="21" spans="1:31" ht="13.5" thickBot="1" x14ac:dyDescent="0.25">
      <c r="A21" s="32">
        <v>1</v>
      </c>
      <c r="B21" s="33">
        <v>0.66666666666666696</v>
      </c>
      <c r="C21" s="32">
        <f>'2000z'!E10</f>
        <v>12</v>
      </c>
      <c r="D21" s="32">
        <f>'2000z'!F10</f>
        <v>15</v>
      </c>
      <c r="E21" s="32">
        <f t="shared" si="16"/>
        <v>120</v>
      </c>
      <c r="F21" s="10">
        <f t="shared" si="17"/>
        <v>0</v>
      </c>
      <c r="G21" s="10">
        <f t="shared" si="18"/>
        <v>0</v>
      </c>
      <c r="H21" s="10">
        <f t="shared" si="1"/>
        <v>0</v>
      </c>
      <c r="I21" s="10">
        <f t="shared" si="2"/>
        <v>0</v>
      </c>
      <c r="J21" s="10">
        <f t="shared" si="3"/>
        <v>0</v>
      </c>
      <c r="K21" s="10">
        <f t="shared" si="4"/>
        <v>1</v>
      </c>
      <c r="L21" s="10">
        <f t="shared" si="5"/>
        <v>0</v>
      </c>
      <c r="M21" s="10">
        <f t="shared" si="6"/>
        <v>0</v>
      </c>
      <c r="N21" s="10">
        <f t="shared" si="7"/>
        <v>0</v>
      </c>
      <c r="O21" s="10">
        <f t="shared" si="8"/>
        <v>0</v>
      </c>
      <c r="P21" s="10">
        <f t="shared" si="9"/>
        <v>0</v>
      </c>
      <c r="Q21" s="10">
        <f t="shared" si="10"/>
        <v>0</v>
      </c>
      <c r="R21" s="10">
        <f t="shared" si="11"/>
        <v>0</v>
      </c>
      <c r="S21" s="10">
        <f t="shared" si="12"/>
        <v>0</v>
      </c>
      <c r="T21" s="10">
        <f t="shared" si="13"/>
        <v>0</v>
      </c>
      <c r="U21" s="10">
        <f t="shared" si="14"/>
        <v>0</v>
      </c>
      <c r="V21" s="10">
        <f t="shared" si="15"/>
        <v>0</v>
      </c>
      <c r="Z21" s="44" t="s">
        <v>60</v>
      </c>
      <c r="AA21" s="45">
        <f>U2</f>
        <v>1</v>
      </c>
      <c r="AB21" s="46">
        <f t="shared" si="19"/>
        <v>1.3888888888888889E-3</v>
      </c>
      <c r="AC21" s="48">
        <f>AVERAGEIF(U5:U724,1,D5:D724)</f>
        <v>6</v>
      </c>
      <c r="AE21" s="41"/>
    </row>
    <row r="22" spans="1:31" x14ac:dyDescent="0.2">
      <c r="A22" s="32">
        <v>1</v>
      </c>
      <c r="B22" s="33">
        <v>0.70833333333333304</v>
      </c>
      <c r="C22" s="32">
        <f>'2100z'!E10</f>
        <v>8</v>
      </c>
      <c r="D22" s="32">
        <f>'2100z'!F10</f>
        <v>11</v>
      </c>
      <c r="E22" s="32">
        <f t="shared" si="16"/>
        <v>80</v>
      </c>
      <c r="F22" s="10">
        <f t="shared" si="17"/>
        <v>0</v>
      </c>
      <c r="G22" s="10">
        <f t="shared" si="18"/>
        <v>0</v>
      </c>
      <c r="H22" s="10">
        <f t="shared" si="1"/>
        <v>0</v>
      </c>
      <c r="I22" s="10">
        <f t="shared" si="2"/>
        <v>0</v>
      </c>
      <c r="J22" s="10">
        <f t="shared" si="3"/>
        <v>1</v>
      </c>
      <c r="K22" s="10">
        <f t="shared" si="4"/>
        <v>0</v>
      </c>
      <c r="L22" s="10">
        <f t="shared" si="5"/>
        <v>0</v>
      </c>
      <c r="M22" s="10">
        <f t="shared" si="6"/>
        <v>0</v>
      </c>
      <c r="N22" s="10">
        <f t="shared" si="7"/>
        <v>0</v>
      </c>
      <c r="O22" s="10">
        <f t="shared" si="8"/>
        <v>0</v>
      </c>
      <c r="P22" s="10">
        <f t="shared" si="9"/>
        <v>0</v>
      </c>
      <c r="Q22" s="10">
        <f t="shared" si="10"/>
        <v>0</v>
      </c>
      <c r="R22" s="10">
        <f t="shared" si="11"/>
        <v>0</v>
      </c>
      <c r="S22" s="10">
        <f t="shared" si="12"/>
        <v>0</v>
      </c>
      <c r="T22" s="10">
        <f t="shared" si="13"/>
        <v>0</v>
      </c>
      <c r="U22" s="10">
        <f t="shared" si="14"/>
        <v>0</v>
      </c>
      <c r="V22" s="10">
        <f t="shared" si="15"/>
        <v>0</v>
      </c>
      <c r="Z22" s="49" t="s">
        <v>45</v>
      </c>
      <c r="AA22" s="127" t="s">
        <v>72</v>
      </c>
      <c r="AB22" s="127"/>
      <c r="AC22" s="50" t="str">
        <f>IFERROR(AVERAGEIF(V5:V724,1,D5:D724),"")</f>
        <v/>
      </c>
    </row>
    <row r="23" spans="1:31" ht="13.5" thickBot="1" x14ac:dyDescent="0.25">
      <c r="A23" s="32">
        <v>1</v>
      </c>
      <c r="B23" s="33">
        <v>0.75</v>
      </c>
      <c r="C23" s="32">
        <f>'2200z'!E10</f>
        <v>8</v>
      </c>
      <c r="D23" s="32">
        <f>'2200z'!F10</f>
        <v>11</v>
      </c>
      <c r="E23" s="32">
        <f t="shared" si="16"/>
        <v>80</v>
      </c>
      <c r="F23" s="10">
        <f t="shared" si="17"/>
        <v>0</v>
      </c>
      <c r="G23" s="10">
        <f t="shared" si="18"/>
        <v>0</v>
      </c>
      <c r="H23" s="10">
        <f t="shared" si="1"/>
        <v>0</v>
      </c>
      <c r="I23" s="10">
        <f t="shared" si="2"/>
        <v>0</v>
      </c>
      <c r="J23" s="10">
        <f t="shared" si="3"/>
        <v>1</v>
      </c>
      <c r="K23" s="10">
        <f t="shared" si="4"/>
        <v>0</v>
      </c>
      <c r="L23" s="10">
        <f t="shared" si="5"/>
        <v>0</v>
      </c>
      <c r="M23" s="10">
        <f t="shared" si="6"/>
        <v>0</v>
      </c>
      <c r="N23" s="10">
        <f t="shared" si="7"/>
        <v>0</v>
      </c>
      <c r="O23" s="10">
        <f t="shared" si="8"/>
        <v>0</v>
      </c>
      <c r="P23" s="10">
        <f t="shared" si="9"/>
        <v>0</v>
      </c>
      <c r="Q23" s="10">
        <f t="shared" si="10"/>
        <v>0</v>
      </c>
      <c r="R23" s="10">
        <f t="shared" si="11"/>
        <v>0</v>
      </c>
      <c r="S23" s="10">
        <f t="shared" si="12"/>
        <v>0</v>
      </c>
      <c r="T23" s="10">
        <f t="shared" si="13"/>
        <v>0</v>
      </c>
      <c r="U23" s="10">
        <f t="shared" si="14"/>
        <v>0</v>
      </c>
      <c r="V23" s="10">
        <f t="shared" si="15"/>
        <v>0</v>
      </c>
      <c r="Z23" s="128" t="s">
        <v>77</v>
      </c>
      <c r="AA23" s="129"/>
      <c r="AB23" s="129"/>
      <c r="AC23" s="51">
        <f>IF($AC$22="",$AC$6,IF($AC$6="",$AC$22,IF(AND($AC$6&lt;&gt;"",$AC$22&lt;&gt;""),AVERAGEA($AC$6,$AC$22))))</f>
        <v>6</v>
      </c>
    </row>
    <row r="24" spans="1:31" x14ac:dyDescent="0.2">
      <c r="A24" s="32">
        <v>1</v>
      </c>
      <c r="B24" s="33">
        <v>0.79166666666666696</v>
      </c>
      <c r="C24" s="32">
        <f>'2300z'!E10</f>
        <v>9</v>
      </c>
      <c r="D24" s="32">
        <f>'2300z'!F10</f>
        <v>11</v>
      </c>
      <c r="E24" s="32">
        <f t="shared" si="16"/>
        <v>90</v>
      </c>
      <c r="F24" s="10">
        <f t="shared" si="17"/>
        <v>0</v>
      </c>
      <c r="G24" s="10">
        <f t="shared" si="18"/>
        <v>0</v>
      </c>
      <c r="H24" s="10">
        <f t="shared" si="1"/>
        <v>0</v>
      </c>
      <c r="I24" s="10">
        <f t="shared" si="2"/>
        <v>0</v>
      </c>
      <c r="J24" s="10">
        <f t="shared" si="3"/>
        <v>1</v>
      </c>
      <c r="K24" s="10">
        <f t="shared" si="4"/>
        <v>0</v>
      </c>
      <c r="L24" s="10">
        <f t="shared" si="5"/>
        <v>0</v>
      </c>
      <c r="M24" s="10">
        <f t="shared" si="6"/>
        <v>0</v>
      </c>
      <c r="N24" s="10">
        <f t="shared" si="7"/>
        <v>0</v>
      </c>
      <c r="O24" s="10">
        <f t="shared" si="8"/>
        <v>0</v>
      </c>
      <c r="P24" s="10">
        <f t="shared" si="9"/>
        <v>0</v>
      </c>
      <c r="Q24" s="10">
        <f t="shared" si="10"/>
        <v>0</v>
      </c>
      <c r="R24" s="10">
        <f t="shared" si="11"/>
        <v>0</v>
      </c>
      <c r="S24" s="10">
        <f t="shared" si="12"/>
        <v>0</v>
      </c>
      <c r="T24" s="10">
        <f t="shared" si="13"/>
        <v>0</v>
      </c>
      <c r="U24" s="10">
        <f t="shared" si="14"/>
        <v>0</v>
      </c>
      <c r="V24" s="10">
        <f t="shared" si="15"/>
        <v>0</v>
      </c>
      <c r="Z24" s="52" t="s">
        <v>73</v>
      </c>
      <c r="AA24" s="53">
        <f>H1</f>
        <v>72</v>
      </c>
      <c r="AB24" s="54">
        <f>AA24/$AA$26</f>
        <v>0.1</v>
      </c>
      <c r="AC24" s="55"/>
    </row>
    <row r="25" spans="1:31" ht="13.5" thickBot="1" x14ac:dyDescent="0.25">
      <c r="A25" s="32">
        <v>1</v>
      </c>
      <c r="B25" s="33">
        <v>0.83333333333333304</v>
      </c>
      <c r="C25" s="32">
        <f>'0000z'!E10</f>
        <v>9</v>
      </c>
      <c r="D25" s="32">
        <f>'0000z'!F10</f>
        <v>9</v>
      </c>
      <c r="E25" s="32">
        <f t="shared" si="16"/>
        <v>90</v>
      </c>
      <c r="F25" s="10">
        <f t="shared" si="17"/>
        <v>0</v>
      </c>
      <c r="G25" s="10">
        <f t="shared" si="18"/>
        <v>0</v>
      </c>
      <c r="H25" s="10">
        <f t="shared" si="1"/>
        <v>0</v>
      </c>
      <c r="I25" s="10">
        <f t="shared" si="2"/>
        <v>0</v>
      </c>
      <c r="J25" s="10">
        <f t="shared" si="3"/>
        <v>1</v>
      </c>
      <c r="K25" s="10">
        <f t="shared" si="4"/>
        <v>0</v>
      </c>
      <c r="L25" s="10">
        <f t="shared" si="5"/>
        <v>0</v>
      </c>
      <c r="M25" s="10">
        <f t="shared" si="6"/>
        <v>0</v>
      </c>
      <c r="N25" s="10">
        <f t="shared" si="7"/>
        <v>0</v>
      </c>
      <c r="O25" s="10">
        <f t="shared" si="8"/>
        <v>0</v>
      </c>
      <c r="P25" s="10">
        <f t="shared" si="9"/>
        <v>0</v>
      </c>
      <c r="Q25" s="10">
        <f t="shared" si="10"/>
        <v>0</v>
      </c>
      <c r="R25" s="10">
        <f t="shared" si="11"/>
        <v>0</v>
      </c>
      <c r="S25" s="10">
        <f t="shared" si="12"/>
        <v>0</v>
      </c>
      <c r="T25" s="10">
        <f t="shared" si="13"/>
        <v>0</v>
      </c>
      <c r="U25" s="10">
        <f t="shared" si="14"/>
        <v>0</v>
      </c>
      <c r="V25" s="10">
        <f t="shared" si="15"/>
        <v>0</v>
      </c>
      <c r="Z25" s="56" t="s">
        <v>74</v>
      </c>
      <c r="AA25" s="57">
        <f>M1</f>
        <v>10</v>
      </c>
      <c r="AB25" s="58">
        <f>AA25/$AA$26</f>
        <v>1.3888888888888888E-2</v>
      </c>
      <c r="AC25" s="59"/>
    </row>
    <row r="26" spans="1:31" ht="13.5" thickBot="1" x14ac:dyDescent="0.25">
      <c r="A26" s="32">
        <v>1</v>
      </c>
      <c r="B26" s="33">
        <v>0.875</v>
      </c>
      <c r="C26" s="32">
        <f>'0100z'!E10</f>
        <v>9</v>
      </c>
      <c r="D26" s="32">
        <f>'0100z'!F10</f>
        <v>10</v>
      </c>
      <c r="E26" s="32">
        <f t="shared" si="16"/>
        <v>90</v>
      </c>
      <c r="F26" s="10">
        <f t="shared" si="17"/>
        <v>0</v>
      </c>
      <c r="G26" s="10">
        <f t="shared" si="18"/>
        <v>0</v>
      </c>
      <c r="H26" s="10">
        <f t="shared" si="1"/>
        <v>0</v>
      </c>
      <c r="I26" s="10">
        <f t="shared" si="2"/>
        <v>0</v>
      </c>
      <c r="J26" s="10">
        <f t="shared" si="3"/>
        <v>1</v>
      </c>
      <c r="K26" s="10">
        <f t="shared" si="4"/>
        <v>0</v>
      </c>
      <c r="L26" s="10">
        <f t="shared" si="5"/>
        <v>0</v>
      </c>
      <c r="M26" s="10">
        <f t="shared" si="6"/>
        <v>0</v>
      </c>
      <c r="N26" s="10">
        <f t="shared" si="7"/>
        <v>0</v>
      </c>
      <c r="O26" s="10">
        <f t="shared" si="8"/>
        <v>0</v>
      </c>
      <c r="P26" s="10">
        <f t="shared" si="9"/>
        <v>0</v>
      </c>
      <c r="Q26" s="10">
        <f t="shared" si="10"/>
        <v>0</v>
      </c>
      <c r="R26" s="10">
        <f t="shared" si="11"/>
        <v>0</v>
      </c>
      <c r="S26" s="10">
        <f t="shared" si="12"/>
        <v>0</v>
      </c>
      <c r="T26" s="10">
        <f t="shared" si="13"/>
        <v>0</v>
      </c>
      <c r="U26" s="10">
        <f t="shared" si="14"/>
        <v>0</v>
      </c>
      <c r="V26" s="10">
        <f t="shared" si="15"/>
        <v>0</v>
      </c>
      <c r="Z26" s="60" t="s">
        <v>65</v>
      </c>
      <c r="AA26" s="61">
        <f>X2</f>
        <v>720</v>
      </c>
      <c r="AB26" s="62">
        <f>AA26/$AA$26</f>
        <v>1</v>
      </c>
      <c r="AC26" s="63"/>
    </row>
    <row r="27" spans="1:31" x14ac:dyDescent="0.2">
      <c r="A27" s="32">
        <v>1</v>
      </c>
      <c r="B27" s="33">
        <v>0.91666666666666696</v>
      </c>
      <c r="C27" s="32">
        <f>'0200z'!E10</f>
        <v>9</v>
      </c>
      <c r="D27" s="32">
        <f>'0200z'!F10</f>
        <v>10</v>
      </c>
      <c r="E27" s="32">
        <f t="shared" si="16"/>
        <v>90</v>
      </c>
      <c r="F27" s="10">
        <f t="shared" si="17"/>
        <v>0</v>
      </c>
      <c r="G27" s="10">
        <f t="shared" si="18"/>
        <v>0</v>
      </c>
      <c r="H27" s="10">
        <f t="shared" si="1"/>
        <v>0</v>
      </c>
      <c r="I27" s="10">
        <f t="shared" si="2"/>
        <v>0</v>
      </c>
      <c r="J27" s="10">
        <f t="shared" si="3"/>
        <v>1</v>
      </c>
      <c r="K27" s="10">
        <f t="shared" si="4"/>
        <v>0</v>
      </c>
      <c r="L27" s="10">
        <f t="shared" si="5"/>
        <v>0</v>
      </c>
      <c r="M27" s="10">
        <f t="shared" si="6"/>
        <v>0</v>
      </c>
      <c r="N27" s="10">
        <f t="shared" si="7"/>
        <v>0</v>
      </c>
      <c r="O27" s="10">
        <f t="shared" si="8"/>
        <v>0</v>
      </c>
      <c r="P27" s="10">
        <f t="shared" si="9"/>
        <v>0</v>
      </c>
      <c r="Q27" s="10">
        <f t="shared" si="10"/>
        <v>0</v>
      </c>
      <c r="R27" s="10">
        <f t="shared" si="11"/>
        <v>0</v>
      </c>
      <c r="S27" s="10">
        <f t="shared" si="12"/>
        <v>0</v>
      </c>
      <c r="T27" s="10">
        <f t="shared" si="13"/>
        <v>0</v>
      </c>
      <c r="U27" s="10">
        <f t="shared" si="14"/>
        <v>0</v>
      </c>
      <c r="V27" s="10">
        <f t="shared" si="15"/>
        <v>0</v>
      </c>
    </row>
    <row r="28" spans="1:31" x14ac:dyDescent="0.2">
      <c r="A28" s="32">
        <v>1</v>
      </c>
      <c r="B28" s="33">
        <v>0.95833333333333304</v>
      </c>
      <c r="C28" s="32">
        <f>'0300z'!E10</f>
        <v>10</v>
      </c>
      <c r="D28" s="32">
        <f>'0300z'!F10</f>
        <v>12</v>
      </c>
      <c r="E28" s="32">
        <f t="shared" si="16"/>
        <v>100</v>
      </c>
      <c r="F28" s="10">
        <f t="shared" si="17"/>
        <v>0</v>
      </c>
      <c r="G28" s="10">
        <f t="shared" si="18"/>
        <v>0</v>
      </c>
      <c r="H28" s="10">
        <f t="shared" si="1"/>
        <v>0</v>
      </c>
      <c r="I28" s="10">
        <f t="shared" si="2"/>
        <v>0</v>
      </c>
      <c r="J28" s="10">
        <f t="shared" si="3"/>
        <v>1</v>
      </c>
      <c r="K28" s="10">
        <f t="shared" si="4"/>
        <v>0</v>
      </c>
      <c r="L28" s="10">
        <f t="shared" si="5"/>
        <v>0</v>
      </c>
      <c r="M28" s="10">
        <f t="shared" si="6"/>
        <v>0</v>
      </c>
      <c r="N28" s="10">
        <f t="shared" si="7"/>
        <v>0</v>
      </c>
      <c r="O28" s="10">
        <f t="shared" si="8"/>
        <v>0</v>
      </c>
      <c r="P28" s="10">
        <f t="shared" si="9"/>
        <v>0</v>
      </c>
      <c r="Q28" s="10">
        <f t="shared" si="10"/>
        <v>0</v>
      </c>
      <c r="R28" s="10">
        <f t="shared" si="11"/>
        <v>0</v>
      </c>
      <c r="S28" s="10">
        <f t="shared" si="12"/>
        <v>0</v>
      </c>
      <c r="T28" s="10">
        <f t="shared" si="13"/>
        <v>0</v>
      </c>
      <c r="U28" s="10">
        <f t="shared" si="14"/>
        <v>0</v>
      </c>
      <c r="V28" s="10">
        <f t="shared" si="15"/>
        <v>0</v>
      </c>
    </row>
    <row r="29" spans="1:31" x14ac:dyDescent="0.2">
      <c r="A29" s="32">
        <v>2</v>
      </c>
      <c r="B29" s="33">
        <v>0</v>
      </c>
      <c r="C29" s="32">
        <f>'0400z'!E11</f>
        <v>8</v>
      </c>
      <c r="D29" s="32">
        <f>'0400z'!F11</f>
        <v>12</v>
      </c>
      <c r="E29" s="32">
        <f t="shared" si="16"/>
        <v>80</v>
      </c>
      <c r="F29" s="10">
        <f t="shared" si="17"/>
        <v>0</v>
      </c>
      <c r="G29" s="10">
        <f t="shared" si="18"/>
        <v>0</v>
      </c>
      <c r="H29" s="10">
        <f t="shared" si="1"/>
        <v>0</v>
      </c>
      <c r="I29" s="10">
        <f t="shared" si="2"/>
        <v>0</v>
      </c>
      <c r="J29" s="10">
        <f t="shared" si="3"/>
        <v>1</v>
      </c>
      <c r="K29" s="10">
        <f t="shared" si="4"/>
        <v>0</v>
      </c>
      <c r="L29" s="10">
        <f t="shared" si="5"/>
        <v>0</v>
      </c>
      <c r="M29" s="10">
        <f t="shared" si="6"/>
        <v>0</v>
      </c>
      <c r="N29" s="10">
        <f t="shared" si="7"/>
        <v>0</v>
      </c>
      <c r="O29" s="10">
        <f t="shared" si="8"/>
        <v>0</v>
      </c>
      <c r="P29" s="10">
        <f t="shared" si="9"/>
        <v>0</v>
      </c>
      <c r="Q29" s="10">
        <f t="shared" si="10"/>
        <v>0</v>
      </c>
      <c r="R29" s="10">
        <f t="shared" si="11"/>
        <v>0</v>
      </c>
      <c r="S29" s="10">
        <f t="shared" si="12"/>
        <v>0</v>
      </c>
      <c r="T29" s="10">
        <f t="shared" si="13"/>
        <v>0</v>
      </c>
      <c r="U29" s="10">
        <f t="shared" si="14"/>
        <v>0</v>
      </c>
      <c r="V29" s="10">
        <f t="shared" si="15"/>
        <v>0</v>
      </c>
    </row>
    <row r="30" spans="1:31" x14ac:dyDescent="0.2">
      <c r="A30" s="32">
        <v>2</v>
      </c>
      <c r="B30" s="33">
        <v>4.1666666666666664E-2</v>
      </c>
      <c r="C30" s="32">
        <f>'0500z'!E11</f>
        <v>8</v>
      </c>
      <c r="D30" s="32">
        <f>'0500z'!F11</f>
        <v>8</v>
      </c>
      <c r="E30" s="32">
        <f t="shared" si="16"/>
        <v>80</v>
      </c>
      <c r="F30" s="10">
        <f t="shared" si="17"/>
        <v>0</v>
      </c>
      <c r="G30" s="10">
        <f t="shared" si="18"/>
        <v>0</v>
      </c>
      <c r="H30" s="10">
        <f t="shared" si="1"/>
        <v>0</v>
      </c>
      <c r="I30" s="10">
        <f t="shared" si="2"/>
        <v>0</v>
      </c>
      <c r="J30" s="10">
        <f t="shared" si="3"/>
        <v>1</v>
      </c>
      <c r="K30" s="10">
        <f t="shared" si="4"/>
        <v>0</v>
      </c>
      <c r="L30" s="10">
        <f t="shared" si="5"/>
        <v>0</v>
      </c>
      <c r="M30" s="10">
        <f t="shared" si="6"/>
        <v>0</v>
      </c>
      <c r="N30" s="10">
        <f t="shared" si="7"/>
        <v>0</v>
      </c>
      <c r="O30" s="10">
        <f t="shared" si="8"/>
        <v>0</v>
      </c>
      <c r="P30" s="10">
        <f t="shared" si="9"/>
        <v>0</v>
      </c>
      <c r="Q30" s="10">
        <f t="shared" si="10"/>
        <v>0</v>
      </c>
      <c r="R30" s="10">
        <f t="shared" si="11"/>
        <v>0</v>
      </c>
      <c r="S30" s="10">
        <f t="shared" si="12"/>
        <v>0</v>
      </c>
      <c r="T30" s="10">
        <f t="shared" si="13"/>
        <v>0</v>
      </c>
      <c r="U30" s="10">
        <f t="shared" si="14"/>
        <v>0</v>
      </c>
      <c r="V30" s="10">
        <f t="shared" si="15"/>
        <v>0</v>
      </c>
    </row>
    <row r="31" spans="1:31" x14ac:dyDescent="0.2">
      <c r="A31" s="32">
        <v>2</v>
      </c>
      <c r="B31" s="33">
        <v>8.3333333333333329E-2</v>
      </c>
      <c r="C31" s="32">
        <f>'0600z'!E11</f>
        <v>7</v>
      </c>
      <c r="D31" s="32">
        <f>'0600z'!F11</f>
        <v>4</v>
      </c>
      <c r="E31" s="32">
        <f t="shared" si="16"/>
        <v>70</v>
      </c>
      <c r="F31" s="10">
        <f t="shared" si="17"/>
        <v>0</v>
      </c>
      <c r="G31" s="10">
        <f t="shared" si="18"/>
        <v>0</v>
      </c>
      <c r="H31" s="10">
        <f t="shared" si="1"/>
        <v>0</v>
      </c>
      <c r="I31" s="10">
        <f t="shared" si="2"/>
        <v>1</v>
      </c>
      <c r="J31" s="10">
        <f t="shared" si="3"/>
        <v>0</v>
      </c>
      <c r="K31" s="10">
        <f t="shared" si="4"/>
        <v>0</v>
      </c>
      <c r="L31" s="10">
        <f t="shared" si="5"/>
        <v>0</v>
      </c>
      <c r="M31" s="10">
        <f t="shared" si="6"/>
        <v>0</v>
      </c>
      <c r="N31" s="10">
        <f t="shared" si="7"/>
        <v>0</v>
      </c>
      <c r="O31" s="10">
        <f t="shared" si="8"/>
        <v>0</v>
      </c>
      <c r="P31" s="10">
        <f t="shared" si="9"/>
        <v>0</v>
      </c>
      <c r="Q31" s="10">
        <f t="shared" si="10"/>
        <v>0</v>
      </c>
      <c r="R31" s="10">
        <f t="shared" si="11"/>
        <v>0</v>
      </c>
      <c r="S31" s="10">
        <f t="shared" si="12"/>
        <v>0</v>
      </c>
      <c r="T31" s="10">
        <f t="shared" si="13"/>
        <v>0</v>
      </c>
      <c r="U31" s="10">
        <f t="shared" si="14"/>
        <v>0</v>
      </c>
      <c r="V31" s="10">
        <f t="shared" si="15"/>
        <v>0</v>
      </c>
    </row>
    <row r="32" spans="1:31" x14ac:dyDescent="0.2">
      <c r="A32" s="32">
        <v>2</v>
      </c>
      <c r="B32" s="33">
        <v>0.125</v>
      </c>
      <c r="C32" s="32">
        <f>'0700z'!E11</f>
        <v>9</v>
      </c>
      <c r="D32" s="32">
        <f>'0700z'!F11</f>
        <v>7</v>
      </c>
      <c r="E32" s="32">
        <f t="shared" si="16"/>
        <v>90</v>
      </c>
      <c r="F32" s="10">
        <f t="shared" si="17"/>
        <v>0</v>
      </c>
      <c r="G32" s="10">
        <f t="shared" si="18"/>
        <v>0</v>
      </c>
      <c r="H32" s="10">
        <f t="shared" si="1"/>
        <v>0</v>
      </c>
      <c r="I32" s="10">
        <f t="shared" si="2"/>
        <v>0</v>
      </c>
      <c r="J32" s="10">
        <f t="shared" si="3"/>
        <v>1</v>
      </c>
      <c r="K32" s="10">
        <f t="shared" si="4"/>
        <v>0</v>
      </c>
      <c r="L32" s="10">
        <f t="shared" si="5"/>
        <v>0</v>
      </c>
      <c r="M32" s="10">
        <f t="shared" si="6"/>
        <v>0</v>
      </c>
      <c r="N32" s="10">
        <f t="shared" si="7"/>
        <v>0</v>
      </c>
      <c r="O32" s="10">
        <f t="shared" si="8"/>
        <v>0</v>
      </c>
      <c r="P32" s="10">
        <f t="shared" si="9"/>
        <v>0</v>
      </c>
      <c r="Q32" s="10">
        <f t="shared" si="10"/>
        <v>0</v>
      </c>
      <c r="R32" s="10">
        <f t="shared" si="11"/>
        <v>0</v>
      </c>
      <c r="S32" s="10">
        <f t="shared" si="12"/>
        <v>0</v>
      </c>
      <c r="T32" s="10">
        <f t="shared" si="13"/>
        <v>0</v>
      </c>
      <c r="U32" s="10">
        <f t="shared" si="14"/>
        <v>0</v>
      </c>
      <c r="V32" s="10">
        <f t="shared" si="15"/>
        <v>0</v>
      </c>
    </row>
    <row r="33" spans="1:22" x14ac:dyDescent="0.2">
      <c r="A33" s="32">
        <v>2</v>
      </c>
      <c r="B33" s="33">
        <v>0.16666666666666699</v>
      </c>
      <c r="C33" s="32">
        <f>'0800z'!E11</f>
        <v>11</v>
      </c>
      <c r="D33" s="32">
        <f>'0800z'!F11</f>
        <v>11</v>
      </c>
      <c r="E33" s="32">
        <f t="shared" si="16"/>
        <v>110</v>
      </c>
      <c r="F33" s="10">
        <f t="shared" si="17"/>
        <v>0</v>
      </c>
      <c r="G33" s="10">
        <f t="shared" si="18"/>
        <v>0</v>
      </c>
      <c r="H33" s="10">
        <f t="shared" si="1"/>
        <v>0</v>
      </c>
      <c r="I33" s="10">
        <f t="shared" si="2"/>
        <v>0</v>
      </c>
      <c r="J33" s="10">
        <f t="shared" si="3"/>
        <v>0</v>
      </c>
      <c r="K33" s="10">
        <f t="shared" si="4"/>
        <v>1</v>
      </c>
      <c r="L33" s="10">
        <f t="shared" si="5"/>
        <v>0</v>
      </c>
      <c r="M33" s="10">
        <f t="shared" si="6"/>
        <v>0</v>
      </c>
      <c r="N33" s="10">
        <f t="shared" si="7"/>
        <v>0</v>
      </c>
      <c r="O33" s="10">
        <f t="shared" si="8"/>
        <v>0</v>
      </c>
      <c r="P33" s="10">
        <f t="shared" si="9"/>
        <v>0</v>
      </c>
      <c r="Q33" s="10">
        <f t="shared" si="10"/>
        <v>0</v>
      </c>
      <c r="R33" s="10">
        <f t="shared" si="11"/>
        <v>0</v>
      </c>
      <c r="S33" s="10">
        <f t="shared" si="12"/>
        <v>0</v>
      </c>
      <c r="T33" s="10">
        <f t="shared" si="13"/>
        <v>0</v>
      </c>
      <c r="U33" s="10">
        <f t="shared" si="14"/>
        <v>0</v>
      </c>
      <c r="V33" s="10">
        <f t="shared" si="15"/>
        <v>0</v>
      </c>
    </row>
    <row r="34" spans="1:22" x14ac:dyDescent="0.2">
      <c r="A34" s="32">
        <v>2</v>
      </c>
      <c r="B34" s="33">
        <v>0.20833333333333301</v>
      </c>
      <c r="C34" s="32">
        <f>'0900z'!E11</f>
        <v>9</v>
      </c>
      <c r="D34" s="32">
        <f>'0900z'!F11</f>
        <v>9</v>
      </c>
      <c r="E34" s="32">
        <f t="shared" si="16"/>
        <v>90</v>
      </c>
      <c r="F34" s="10">
        <f t="shared" si="17"/>
        <v>0</v>
      </c>
      <c r="G34" s="10">
        <f t="shared" si="18"/>
        <v>0</v>
      </c>
      <c r="H34" s="10">
        <f t="shared" si="1"/>
        <v>0</v>
      </c>
      <c r="I34" s="10">
        <f t="shared" si="2"/>
        <v>0</v>
      </c>
      <c r="J34" s="10">
        <f t="shared" si="3"/>
        <v>1</v>
      </c>
      <c r="K34" s="10">
        <f t="shared" si="4"/>
        <v>0</v>
      </c>
      <c r="L34" s="10">
        <f t="shared" si="5"/>
        <v>0</v>
      </c>
      <c r="M34" s="10">
        <f t="shared" si="6"/>
        <v>0</v>
      </c>
      <c r="N34" s="10">
        <f t="shared" si="7"/>
        <v>0</v>
      </c>
      <c r="O34" s="10">
        <f t="shared" si="8"/>
        <v>0</v>
      </c>
      <c r="P34" s="10">
        <f t="shared" si="9"/>
        <v>0</v>
      </c>
      <c r="Q34" s="10">
        <f t="shared" si="10"/>
        <v>0</v>
      </c>
      <c r="R34" s="10">
        <f t="shared" si="11"/>
        <v>0</v>
      </c>
      <c r="S34" s="10">
        <f t="shared" si="12"/>
        <v>0</v>
      </c>
      <c r="T34" s="10">
        <f t="shared" si="13"/>
        <v>0</v>
      </c>
      <c r="U34" s="10">
        <f t="shared" si="14"/>
        <v>0</v>
      </c>
      <c r="V34" s="10">
        <f t="shared" si="15"/>
        <v>0</v>
      </c>
    </row>
    <row r="35" spans="1:22" x14ac:dyDescent="0.2">
      <c r="A35" s="32">
        <v>2</v>
      </c>
      <c r="B35" s="33">
        <v>0.25</v>
      </c>
      <c r="C35" s="32">
        <f>'1000z'!E11</f>
        <v>8</v>
      </c>
      <c r="D35" s="32">
        <f>'1000z'!F11</f>
        <v>11</v>
      </c>
      <c r="E35" s="32">
        <f t="shared" si="16"/>
        <v>80</v>
      </c>
      <c r="F35" s="10">
        <f t="shared" si="17"/>
        <v>0</v>
      </c>
      <c r="G35" s="10">
        <f t="shared" si="18"/>
        <v>0</v>
      </c>
      <c r="H35" s="10">
        <f t="shared" si="1"/>
        <v>0</v>
      </c>
      <c r="I35" s="10">
        <f t="shared" si="2"/>
        <v>0</v>
      </c>
      <c r="J35" s="10">
        <f t="shared" si="3"/>
        <v>1</v>
      </c>
      <c r="K35" s="10">
        <f t="shared" si="4"/>
        <v>0</v>
      </c>
      <c r="L35" s="10">
        <f t="shared" si="5"/>
        <v>0</v>
      </c>
      <c r="M35" s="10">
        <f t="shared" si="6"/>
        <v>0</v>
      </c>
      <c r="N35" s="10">
        <f t="shared" si="7"/>
        <v>0</v>
      </c>
      <c r="O35" s="10">
        <f t="shared" si="8"/>
        <v>0</v>
      </c>
      <c r="P35" s="10">
        <f t="shared" si="9"/>
        <v>0</v>
      </c>
      <c r="Q35" s="10">
        <f t="shared" si="10"/>
        <v>0</v>
      </c>
      <c r="R35" s="10">
        <f t="shared" si="11"/>
        <v>0</v>
      </c>
      <c r="S35" s="10">
        <f t="shared" si="12"/>
        <v>0</v>
      </c>
      <c r="T35" s="10">
        <f t="shared" si="13"/>
        <v>0</v>
      </c>
      <c r="U35" s="10">
        <f t="shared" si="14"/>
        <v>0</v>
      </c>
      <c r="V35" s="10">
        <f t="shared" si="15"/>
        <v>0</v>
      </c>
    </row>
    <row r="36" spans="1:22" x14ac:dyDescent="0.2">
      <c r="A36" s="32">
        <v>2</v>
      </c>
      <c r="B36" s="33">
        <v>0.29166666666666702</v>
      </c>
      <c r="C36" s="32">
        <f>'1100z'!E11</f>
        <v>8</v>
      </c>
      <c r="D36" s="32">
        <f>'1100z'!F11</f>
        <v>10</v>
      </c>
      <c r="E36" s="32">
        <f t="shared" si="16"/>
        <v>80</v>
      </c>
      <c r="F36" s="10">
        <f t="shared" si="17"/>
        <v>0</v>
      </c>
      <c r="G36" s="10">
        <f t="shared" si="18"/>
        <v>0</v>
      </c>
      <c r="H36" s="10">
        <f t="shared" si="1"/>
        <v>0</v>
      </c>
      <c r="I36" s="10">
        <f t="shared" si="2"/>
        <v>0</v>
      </c>
      <c r="J36" s="10">
        <f t="shared" si="3"/>
        <v>1</v>
      </c>
      <c r="K36" s="10">
        <f t="shared" si="4"/>
        <v>0</v>
      </c>
      <c r="L36" s="10">
        <f t="shared" si="5"/>
        <v>0</v>
      </c>
      <c r="M36" s="10">
        <f t="shared" si="6"/>
        <v>0</v>
      </c>
      <c r="N36" s="10">
        <f t="shared" si="7"/>
        <v>0</v>
      </c>
      <c r="O36" s="10">
        <f t="shared" si="8"/>
        <v>0</v>
      </c>
      <c r="P36" s="10">
        <f t="shared" si="9"/>
        <v>0</v>
      </c>
      <c r="Q36" s="10">
        <f t="shared" si="10"/>
        <v>0</v>
      </c>
      <c r="R36" s="10">
        <f t="shared" si="11"/>
        <v>0</v>
      </c>
      <c r="S36" s="10">
        <f t="shared" si="12"/>
        <v>0</v>
      </c>
      <c r="T36" s="10">
        <f t="shared" si="13"/>
        <v>0</v>
      </c>
      <c r="U36" s="10">
        <f t="shared" si="14"/>
        <v>0</v>
      </c>
      <c r="V36" s="10">
        <f t="shared" si="15"/>
        <v>0</v>
      </c>
    </row>
    <row r="37" spans="1:22" x14ac:dyDescent="0.2">
      <c r="A37" s="32">
        <v>2</v>
      </c>
      <c r="B37" s="33">
        <v>0.33333333333333298</v>
      </c>
      <c r="C37" s="32">
        <f>'1200z'!E11</f>
        <v>11</v>
      </c>
      <c r="D37" s="32">
        <f>'1200z'!F11</f>
        <v>14</v>
      </c>
      <c r="E37" s="32">
        <f t="shared" si="16"/>
        <v>110</v>
      </c>
      <c r="F37" s="10">
        <f t="shared" si="17"/>
        <v>0</v>
      </c>
      <c r="G37" s="10">
        <f t="shared" si="18"/>
        <v>0</v>
      </c>
      <c r="H37" s="10">
        <f t="shared" si="1"/>
        <v>0</v>
      </c>
      <c r="I37" s="10">
        <f t="shared" si="2"/>
        <v>0</v>
      </c>
      <c r="J37" s="10">
        <f t="shared" si="3"/>
        <v>0</v>
      </c>
      <c r="K37" s="10">
        <f t="shared" si="4"/>
        <v>1</v>
      </c>
      <c r="L37" s="10">
        <f t="shared" si="5"/>
        <v>0</v>
      </c>
      <c r="M37" s="10">
        <f t="shared" si="6"/>
        <v>0</v>
      </c>
      <c r="N37" s="10">
        <f t="shared" si="7"/>
        <v>0</v>
      </c>
      <c r="O37" s="10">
        <f t="shared" si="8"/>
        <v>0</v>
      </c>
      <c r="P37" s="10">
        <f t="shared" si="9"/>
        <v>0</v>
      </c>
      <c r="Q37" s="10">
        <f t="shared" si="10"/>
        <v>0</v>
      </c>
      <c r="R37" s="10">
        <f t="shared" si="11"/>
        <v>0</v>
      </c>
      <c r="S37" s="10">
        <f t="shared" si="12"/>
        <v>0</v>
      </c>
      <c r="T37" s="10">
        <f t="shared" si="13"/>
        <v>0</v>
      </c>
      <c r="U37" s="10">
        <f t="shared" si="14"/>
        <v>0</v>
      </c>
      <c r="V37" s="10">
        <f t="shared" si="15"/>
        <v>0</v>
      </c>
    </row>
    <row r="38" spans="1:22" x14ac:dyDescent="0.2">
      <c r="A38" s="32">
        <v>2</v>
      </c>
      <c r="B38" s="33">
        <v>0.375</v>
      </c>
      <c r="C38" s="32">
        <f>'1300z'!E11</f>
        <v>10</v>
      </c>
      <c r="D38" s="32">
        <f>'1300z'!F11</f>
        <v>15</v>
      </c>
      <c r="E38" s="32">
        <f t="shared" si="16"/>
        <v>100</v>
      </c>
      <c r="F38" s="10">
        <f t="shared" si="17"/>
        <v>0</v>
      </c>
      <c r="G38" s="10">
        <f t="shared" si="18"/>
        <v>0</v>
      </c>
      <c r="H38" s="10">
        <f t="shared" si="1"/>
        <v>0</v>
      </c>
      <c r="I38" s="10">
        <f t="shared" si="2"/>
        <v>0</v>
      </c>
      <c r="J38" s="10">
        <f t="shared" si="3"/>
        <v>1</v>
      </c>
      <c r="K38" s="10">
        <f t="shared" si="4"/>
        <v>0</v>
      </c>
      <c r="L38" s="10">
        <f t="shared" si="5"/>
        <v>0</v>
      </c>
      <c r="M38" s="10">
        <f t="shared" si="6"/>
        <v>0</v>
      </c>
      <c r="N38" s="10">
        <f t="shared" si="7"/>
        <v>0</v>
      </c>
      <c r="O38" s="10">
        <f t="shared" si="8"/>
        <v>0</v>
      </c>
      <c r="P38" s="10">
        <f t="shared" si="9"/>
        <v>0</v>
      </c>
      <c r="Q38" s="10">
        <f t="shared" si="10"/>
        <v>0</v>
      </c>
      <c r="R38" s="10">
        <f t="shared" si="11"/>
        <v>0</v>
      </c>
      <c r="S38" s="10">
        <f t="shared" si="12"/>
        <v>0</v>
      </c>
      <c r="T38" s="10">
        <f t="shared" si="13"/>
        <v>0</v>
      </c>
      <c r="U38" s="10">
        <f t="shared" si="14"/>
        <v>0</v>
      </c>
      <c r="V38" s="10">
        <f t="shared" si="15"/>
        <v>0</v>
      </c>
    </row>
    <row r="39" spans="1:22" x14ac:dyDescent="0.2">
      <c r="A39" s="32">
        <v>2</v>
      </c>
      <c r="B39" s="33">
        <v>0.41666666666666702</v>
      </c>
      <c r="C39" s="32">
        <f>'1400z'!E11</f>
        <v>8</v>
      </c>
      <c r="D39" s="32">
        <f>'1400z'!F11</f>
        <v>14</v>
      </c>
      <c r="E39" s="32">
        <f t="shared" si="16"/>
        <v>80</v>
      </c>
      <c r="F39" s="10">
        <f t="shared" si="17"/>
        <v>0</v>
      </c>
      <c r="G39" s="10">
        <f t="shared" si="18"/>
        <v>0</v>
      </c>
      <c r="H39" s="10">
        <f t="shared" si="1"/>
        <v>0</v>
      </c>
      <c r="I39" s="10">
        <f t="shared" si="2"/>
        <v>0</v>
      </c>
      <c r="J39" s="10">
        <f t="shared" si="3"/>
        <v>1</v>
      </c>
      <c r="K39" s="10">
        <f t="shared" si="4"/>
        <v>0</v>
      </c>
      <c r="L39" s="10">
        <f t="shared" si="5"/>
        <v>0</v>
      </c>
      <c r="M39" s="10">
        <f t="shared" si="6"/>
        <v>0</v>
      </c>
      <c r="N39" s="10">
        <f t="shared" si="7"/>
        <v>0</v>
      </c>
      <c r="O39" s="10">
        <f t="shared" si="8"/>
        <v>0</v>
      </c>
      <c r="P39" s="10">
        <f t="shared" si="9"/>
        <v>0</v>
      </c>
      <c r="Q39" s="10">
        <f t="shared" si="10"/>
        <v>0</v>
      </c>
      <c r="R39" s="10">
        <f t="shared" si="11"/>
        <v>0</v>
      </c>
      <c r="S39" s="10">
        <f t="shared" si="12"/>
        <v>0</v>
      </c>
      <c r="T39" s="10">
        <f t="shared" si="13"/>
        <v>0</v>
      </c>
      <c r="U39" s="10">
        <f t="shared" si="14"/>
        <v>0</v>
      </c>
      <c r="V39" s="10">
        <f t="shared" si="15"/>
        <v>0</v>
      </c>
    </row>
    <row r="40" spans="1:22" x14ac:dyDescent="0.2">
      <c r="A40" s="32">
        <v>2</v>
      </c>
      <c r="B40" s="33">
        <v>0.45833333333333298</v>
      </c>
      <c r="C40" s="32">
        <f>'1500z'!E11</f>
        <v>11</v>
      </c>
      <c r="D40" s="32">
        <f>'1500z'!F11</f>
        <v>15</v>
      </c>
      <c r="E40" s="32">
        <f t="shared" si="16"/>
        <v>110</v>
      </c>
      <c r="F40" s="10">
        <f t="shared" si="17"/>
        <v>0</v>
      </c>
      <c r="G40" s="10">
        <f t="shared" si="18"/>
        <v>0</v>
      </c>
      <c r="H40" s="10">
        <f t="shared" si="1"/>
        <v>0</v>
      </c>
      <c r="I40" s="10">
        <f t="shared" si="2"/>
        <v>0</v>
      </c>
      <c r="J40" s="10">
        <f t="shared" si="3"/>
        <v>0</v>
      </c>
      <c r="K40" s="10">
        <f t="shared" si="4"/>
        <v>1</v>
      </c>
      <c r="L40" s="10">
        <f t="shared" si="5"/>
        <v>0</v>
      </c>
      <c r="M40" s="10">
        <f t="shared" si="6"/>
        <v>0</v>
      </c>
      <c r="N40" s="10">
        <f t="shared" si="7"/>
        <v>0</v>
      </c>
      <c r="O40" s="10">
        <f t="shared" si="8"/>
        <v>0</v>
      </c>
      <c r="P40" s="10">
        <f t="shared" si="9"/>
        <v>0</v>
      </c>
      <c r="Q40" s="10">
        <f t="shared" si="10"/>
        <v>0</v>
      </c>
      <c r="R40" s="10">
        <f t="shared" si="11"/>
        <v>0</v>
      </c>
      <c r="S40" s="10">
        <f t="shared" si="12"/>
        <v>0</v>
      </c>
      <c r="T40" s="10">
        <f t="shared" si="13"/>
        <v>0</v>
      </c>
      <c r="U40" s="10">
        <f t="shared" si="14"/>
        <v>0</v>
      </c>
      <c r="V40" s="10">
        <f t="shared" si="15"/>
        <v>0</v>
      </c>
    </row>
    <row r="41" spans="1:22" x14ac:dyDescent="0.2">
      <c r="A41" s="32">
        <v>2</v>
      </c>
      <c r="B41" s="33">
        <v>0.5</v>
      </c>
      <c r="C41" s="32">
        <f>'1600z'!E11</f>
        <v>11</v>
      </c>
      <c r="D41" s="32">
        <f>'1600z'!F11</f>
        <v>14</v>
      </c>
      <c r="E41" s="32">
        <f t="shared" si="16"/>
        <v>110</v>
      </c>
      <c r="F41" s="10">
        <f t="shared" si="17"/>
        <v>0</v>
      </c>
      <c r="G41" s="10">
        <f t="shared" si="18"/>
        <v>0</v>
      </c>
      <c r="H41" s="10">
        <f t="shared" si="1"/>
        <v>0</v>
      </c>
      <c r="I41" s="10">
        <f t="shared" si="2"/>
        <v>0</v>
      </c>
      <c r="J41" s="10">
        <f t="shared" si="3"/>
        <v>0</v>
      </c>
      <c r="K41" s="10">
        <f t="shared" si="4"/>
        <v>1</v>
      </c>
      <c r="L41" s="10">
        <f t="shared" si="5"/>
        <v>0</v>
      </c>
      <c r="M41" s="10">
        <f t="shared" si="6"/>
        <v>0</v>
      </c>
      <c r="N41" s="10">
        <f t="shared" si="7"/>
        <v>0</v>
      </c>
      <c r="O41" s="10">
        <f t="shared" si="8"/>
        <v>0</v>
      </c>
      <c r="P41" s="10">
        <f t="shared" si="9"/>
        <v>0</v>
      </c>
      <c r="Q41" s="10">
        <f t="shared" si="10"/>
        <v>0</v>
      </c>
      <c r="R41" s="10">
        <f t="shared" si="11"/>
        <v>0</v>
      </c>
      <c r="S41" s="10">
        <f t="shared" si="12"/>
        <v>0</v>
      </c>
      <c r="T41" s="10">
        <f t="shared" si="13"/>
        <v>0</v>
      </c>
      <c r="U41" s="10">
        <f t="shared" si="14"/>
        <v>0</v>
      </c>
      <c r="V41" s="10">
        <f t="shared" si="15"/>
        <v>0</v>
      </c>
    </row>
    <row r="42" spans="1:22" x14ac:dyDescent="0.2">
      <c r="A42" s="32">
        <v>2</v>
      </c>
      <c r="B42" s="33">
        <v>0.54166666666666696</v>
      </c>
      <c r="C42" s="32">
        <f>'1700z'!E11</f>
        <v>12</v>
      </c>
      <c r="D42" s="32">
        <f>'1700z'!F11</f>
        <v>14</v>
      </c>
      <c r="E42" s="32">
        <f t="shared" si="16"/>
        <v>120</v>
      </c>
      <c r="F42" s="10">
        <f t="shared" si="17"/>
        <v>0</v>
      </c>
      <c r="G42" s="10">
        <f t="shared" si="18"/>
        <v>0</v>
      </c>
      <c r="H42" s="10">
        <f t="shared" si="1"/>
        <v>0</v>
      </c>
      <c r="I42" s="10">
        <f t="shared" si="2"/>
        <v>0</v>
      </c>
      <c r="J42" s="10">
        <f t="shared" si="3"/>
        <v>0</v>
      </c>
      <c r="K42" s="10">
        <f t="shared" si="4"/>
        <v>1</v>
      </c>
      <c r="L42" s="10">
        <f t="shared" si="5"/>
        <v>0</v>
      </c>
      <c r="M42" s="10">
        <f t="shared" si="6"/>
        <v>0</v>
      </c>
      <c r="N42" s="10">
        <f t="shared" si="7"/>
        <v>0</v>
      </c>
      <c r="O42" s="10">
        <f t="shared" si="8"/>
        <v>0</v>
      </c>
      <c r="P42" s="10">
        <f t="shared" si="9"/>
        <v>0</v>
      </c>
      <c r="Q42" s="10">
        <f t="shared" si="10"/>
        <v>0</v>
      </c>
      <c r="R42" s="10">
        <f t="shared" si="11"/>
        <v>0</v>
      </c>
      <c r="S42" s="10">
        <f t="shared" si="12"/>
        <v>0</v>
      </c>
      <c r="T42" s="10">
        <f t="shared" si="13"/>
        <v>0</v>
      </c>
      <c r="U42" s="10">
        <f t="shared" si="14"/>
        <v>0</v>
      </c>
      <c r="V42" s="10">
        <f t="shared" si="15"/>
        <v>0</v>
      </c>
    </row>
    <row r="43" spans="1:22" x14ac:dyDescent="0.2">
      <c r="A43" s="32">
        <v>2</v>
      </c>
      <c r="B43" s="33">
        <v>0.58333333333333304</v>
      </c>
      <c r="C43" s="32">
        <f>'1800z'!E11</f>
        <v>11</v>
      </c>
      <c r="D43" s="32">
        <f>'1800z'!F11</f>
        <v>14</v>
      </c>
      <c r="E43" s="32">
        <f t="shared" si="16"/>
        <v>110</v>
      </c>
      <c r="F43" s="10">
        <f t="shared" si="17"/>
        <v>0</v>
      </c>
      <c r="G43" s="10">
        <f t="shared" si="18"/>
        <v>0</v>
      </c>
      <c r="H43" s="10">
        <f t="shared" si="1"/>
        <v>0</v>
      </c>
      <c r="I43" s="10">
        <f t="shared" si="2"/>
        <v>0</v>
      </c>
      <c r="J43" s="10">
        <f t="shared" si="3"/>
        <v>0</v>
      </c>
      <c r="K43" s="10">
        <f t="shared" si="4"/>
        <v>1</v>
      </c>
      <c r="L43" s="10">
        <f t="shared" si="5"/>
        <v>0</v>
      </c>
      <c r="M43" s="10">
        <f t="shared" si="6"/>
        <v>0</v>
      </c>
      <c r="N43" s="10">
        <f t="shared" si="7"/>
        <v>0</v>
      </c>
      <c r="O43" s="10">
        <f t="shared" si="8"/>
        <v>0</v>
      </c>
      <c r="P43" s="10">
        <f t="shared" si="9"/>
        <v>0</v>
      </c>
      <c r="Q43" s="10">
        <f t="shared" si="10"/>
        <v>0</v>
      </c>
      <c r="R43" s="10">
        <f t="shared" si="11"/>
        <v>0</v>
      </c>
      <c r="S43" s="10">
        <f t="shared" si="12"/>
        <v>0</v>
      </c>
      <c r="T43" s="10">
        <f t="shared" si="13"/>
        <v>0</v>
      </c>
      <c r="U43" s="10">
        <f t="shared" si="14"/>
        <v>0</v>
      </c>
      <c r="V43" s="10">
        <f t="shared" si="15"/>
        <v>0</v>
      </c>
    </row>
    <row r="44" spans="1:22" x14ac:dyDescent="0.2">
      <c r="A44" s="32">
        <v>2</v>
      </c>
      <c r="B44" s="33">
        <v>0.625</v>
      </c>
      <c r="C44" s="32">
        <f>'1900z'!E11</f>
        <v>12</v>
      </c>
      <c r="D44" s="32">
        <f>'1900z'!F11</f>
        <v>14</v>
      </c>
      <c r="E44" s="32">
        <f t="shared" si="16"/>
        <v>120</v>
      </c>
      <c r="F44" s="10">
        <f t="shared" si="17"/>
        <v>0</v>
      </c>
      <c r="G44" s="10">
        <f t="shared" si="18"/>
        <v>0</v>
      </c>
      <c r="H44" s="10">
        <f t="shared" si="1"/>
        <v>0</v>
      </c>
      <c r="I44" s="10">
        <f t="shared" si="2"/>
        <v>0</v>
      </c>
      <c r="J44" s="10">
        <f t="shared" si="3"/>
        <v>0</v>
      </c>
      <c r="K44" s="10">
        <f t="shared" si="4"/>
        <v>1</v>
      </c>
      <c r="L44" s="10">
        <f t="shared" si="5"/>
        <v>0</v>
      </c>
      <c r="M44" s="10">
        <f t="shared" si="6"/>
        <v>0</v>
      </c>
      <c r="N44" s="10">
        <f t="shared" si="7"/>
        <v>0</v>
      </c>
      <c r="O44" s="10">
        <f t="shared" si="8"/>
        <v>0</v>
      </c>
      <c r="P44" s="10">
        <f t="shared" si="9"/>
        <v>0</v>
      </c>
      <c r="Q44" s="10">
        <f t="shared" si="10"/>
        <v>0</v>
      </c>
      <c r="R44" s="10">
        <f t="shared" si="11"/>
        <v>0</v>
      </c>
      <c r="S44" s="10">
        <f t="shared" si="12"/>
        <v>0</v>
      </c>
      <c r="T44" s="10">
        <f t="shared" si="13"/>
        <v>0</v>
      </c>
      <c r="U44" s="10">
        <f t="shared" si="14"/>
        <v>0</v>
      </c>
      <c r="V44" s="10">
        <f t="shared" si="15"/>
        <v>0</v>
      </c>
    </row>
    <row r="45" spans="1:22" x14ac:dyDescent="0.2">
      <c r="A45" s="32">
        <v>2</v>
      </c>
      <c r="B45" s="33">
        <v>0.66666666666666696</v>
      </c>
      <c r="C45" s="32">
        <f>'2000z'!E11</f>
        <v>11</v>
      </c>
      <c r="D45" s="32">
        <f>'2000z'!F11</f>
        <v>13</v>
      </c>
      <c r="E45" s="32">
        <f t="shared" si="16"/>
        <v>110</v>
      </c>
      <c r="F45" s="10">
        <f t="shared" si="17"/>
        <v>0</v>
      </c>
      <c r="G45" s="10">
        <f t="shared" si="18"/>
        <v>0</v>
      </c>
      <c r="H45" s="10">
        <f t="shared" si="1"/>
        <v>0</v>
      </c>
      <c r="I45" s="10">
        <f t="shared" si="2"/>
        <v>0</v>
      </c>
      <c r="J45" s="10">
        <f t="shared" si="3"/>
        <v>0</v>
      </c>
      <c r="K45" s="10">
        <f t="shared" si="4"/>
        <v>1</v>
      </c>
      <c r="L45" s="10">
        <f t="shared" si="5"/>
        <v>0</v>
      </c>
      <c r="M45" s="10">
        <f t="shared" si="6"/>
        <v>0</v>
      </c>
      <c r="N45" s="10">
        <f t="shared" si="7"/>
        <v>0</v>
      </c>
      <c r="O45" s="10">
        <f t="shared" si="8"/>
        <v>0</v>
      </c>
      <c r="P45" s="10">
        <f t="shared" si="9"/>
        <v>0</v>
      </c>
      <c r="Q45" s="10">
        <f t="shared" si="10"/>
        <v>0</v>
      </c>
      <c r="R45" s="10">
        <f t="shared" si="11"/>
        <v>0</v>
      </c>
      <c r="S45" s="10">
        <f t="shared" si="12"/>
        <v>0</v>
      </c>
      <c r="T45" s="10">
        <f t="shared" si="13"/>
        <v>0</v>
      </c>
      <c r="U45" s="10">
        <f t="shared" si="14"/>
        <v>0</v>
      </c>
      <c r="V45" s="10">
        <f t="shared" si="15"/>
        <v>0</v>
      </c>
    </row>
    <row r="46" spans="1:22" x14ac:dyDescent="0.2">
      <c r="A46" s="32">
        <v>2</v>
      </c>
      <c r="B46" s="33">
        <v>0.70833333333333304</v>
      </c>
      <c r="C46" s="32">
        <f>'2100z'!E11</f>
        <v>10</v>
      </c>
      <c r="D46" s="32">
        <f>'2100z'!F11</f>
        <v>12</v>
      </c>
      <c r="E46" s="32">
        <f t="shared" si="16"/>
        <v>100</v>
      </c>
      <c r="F46" s="10">
        <f t="shared" si="17"/>
        <v>0</v>
      </c>
      <c r="G46" s="10">
        <f t="shared" si="18"/>
        <v>0</v>
      </c>
      <c r="H46" s="10">
        <f t="shared" si="1"/>
        <v>0</v>
      </c>
      <c r="I46" s="10">
        <f t="shared" si="2"/>
        <v>0</v>
      </c>
      <c r="J46" s="10">
        <f t="shared" si="3"/>
        <v>1</v>
      </c>
      <c r="K46" s="10">
        <f t="shared" si="4"/>
        <v>0</v>
      </c>
      <c r="L46" s="10">
        <f t="shared" si="5"/>
        <v>0</v>
      </c>
      <c r="M46" s="10">
        <f t="shared" si="6"/>
        <v>0</v>
      </c>
      <c r="N46" s="10">
        <f t="shared" si="7"/>
        <v>0</v>
      </c>
      <c r="O46" s="10">
        <f t="shared" si="8"/>
        <v>0</v>
      </c>
      <c r="P46" s="10">
        <f t="shared" si="9"/>
        <v>0</v>
      </c>
      <c r="Q46" s="10">
        <f t="shared" si="10"/>
        <v>0</v>
      </c>
      <c r="R46" s="10">
        <f t="shared" si="11"/>
        <v>0</v>
      </c>
      <c r="S46" s="10">
        <f t="shared" si="12"/>
        <v>0</v>
      </c>
      <c r="T46" s="10">
        <f t="shared" si="13"/>
        <v>0</v>
      </c>
      <c r="U46" s="10">
        <f t="shared" si="14"/>
        <v>0</v>
      </c>
      <c r="V46" s="10">
        <f t="shared" si="15"/>
        <v>0</v>
      </c>
    </row>
    <row r="47" spans="1:22" x14ac:dyDescent="0.2">
      <c r="A47" s="32">
        <v>2</v>
      </c>
      <c r="B47" s="33">
        <v>0.75</v>
      </c>
      <c r="C47" s="32">
        <f>'2200z'!E11</f>
        <v>7</v>
      </c>
      <c r="D47" s="32">
        <f>'2200z'!F11</f>
        <v>10</v>
      </c>
      <c r="E47" s="32">
        <f t="shared" si="16"/>
        <v>70</v>
      </c>
      <c r="F47" s="10">
        <f t="shared" si="17"/>
        <v>0</v>
      </c>
      <c r="G47" s="10">
        <f t="shared" si="18"/>
        <v>0</v>
      </c>
      <c r="H47" s="10">
        <f t="shared" si="1"/>
        <v>0</v>
      </c>
      <c r="I47" s="10">
        <f t="shared" si="2"/>
        <v>1</v>
      </c>
      <c r="J47" s="10">
        <f t="shared" si="3"/>
        <v>0</v>
      </c>
      <c r="K47" s="10">
        <f t="shared" si="4"/>
        <v>0</v>
      </c>
      <c r="L47" s="10">
        <f t="shared" si="5"/>
        <v>0</v>
      </c>
      <c r="M47" s="10">
        <f t="shared" si="6"/>
        <v>0</v>
      </c>
      <c r="N47" s="10">
        <f t="shared" si="7"/>
        <v>0</v>
      </c>
      <c r="O47" s="10">
        <f t="shared" si="8"/>
        <v>0</v>
      </c>
      <c r="P47" s="10">
        <f t="shared" si="9"/>
        <v>0</v>
      </c>
      <c r="Q47" s="10">
        <f t="shared" si="10"/>
        <v>0</v>
      </c>
      <c r="R47" s="10">
        <f t="shared" si="11"/>
        <v>0</v>
      </c>
      <c r="S47" s="10">
        <f t="shared" si="12"/>
        <v>0</v>
      </c>
      <c r="T47" s="10">
        <f t="shared" si="13"/>
        <v>0</v>
      </c>
      <c r="U47" s="10">
        <f t="shared" si="14"/>
        <v>0</v>
      </c>
      <c r="V47" s="10">
        <f t="shared" si="15"/>
        <v>0</v>
      </c>
    </row>
    <row r="48" spans="1:22" x14ac:dyDescent="0.2">
      <c r="A48" s="32">
        <v>2</v>
      </c>
      <c r="B48" s="33">
        <v>0.79166666666666696</v>
      </c>
      <c r="C48" s="32">
        <f>'2300z'!E11</f>
        <v>8</v>
      </c>
      <c r="D48" s="32">
        <f>'2300z'!F11</f>
        <v>9</v>
      </c>
      <c r="E48" s="32">
        <f t="shared" si="16"/>
        <v>80</v>
      </c>
      <c r="F48" s="10">
        <f t="shared" si="17"/>
        <v>0</v>
      </c>
      <c r="G48" s="10">
        <f t="shared" si="18"/>
        <v>0</v>
      </c>
      <c r="H48" s="10">
        <f t="shared" si="1"/>
        <v>0</v>
      </c>
      <c r="I48" s="10">
        <f t="shared" si="2"/>
        <v>0</v>
      </c>
      <c r="J48" s="10">
        <f t="shared" si="3"/>
        <v>1</v>
      </c>
      <c r="K48" s="10">
        <f t="shared" si="4"/>
        <v>0</v>
      </c>
      <c r="L48" s="10">
        <f t="shared" si="5"/>
        <v>0</v>
      </c>
      <c r="M48" s="10">
        <f t="shared" si="6"/>
        <v>0</v>
      </c>
      <c r="N48" s="10">
        <f t="shared" si="7"/>
        <v>0</v>
      </c>
      <c r="O48" s="10">
        <f t="shared" si="8"/>
        <v>0</v>
      </c>
      <c r="P48" s="10">
        <f t="shared" si="9"/>
        <v>0</v>
      </c>
      <c r="Q48" s="10">
        <f t="shared" si="10"/>
        <v>0</v>
      </c>
      <c r="R48" s="10">
        <f t="shared" si="11"/>
        <v>0</v>
      </c>
      <c r="S48" s="10">
        <f t="shared" si="12"/>
        <v>0</v>
      </c>
      <c r="T48" s="10">
        <f t="shared" si="13"/>
        <v>0</v>
      </c>
      <c r="U48" s="10">
        <f t="shared" si="14"/>
        <v>0</v>
      </c>
      <c r="V48" s="10">
        <f t="shared" si="15"/>
        <v>0</v>
      </c>
    </row>
    <row r="49" spans="1:22" x14ac:dyDescent="0.2">
      <c r="A49" s="32">
        <v>2</v>
      </c>
      <c r="B49" s="33">
        <v>0.83333333333333304</v>
      </c>
      <c r="C49" s="32">
        <f>'0000z'!E11</f>
        <v>6</v>
      </c>
      <c r="D49" s="32">
        <f>'0000z'!F11</f>
        <v>8</v>
      </c>
      <c r="E49" s="32">
        <f t="shared" si="16"/>
        <v>60</v>
      </c>
      <c r="F49" s="10">
        <f t="shared" si="17"/>
        <v>0</v>
      </c>
      <c r="G49" s="10">
        <f t="shared" si="18"/>
        <v>0</v>
      </c>
      <c r="H49" s="10">
        <f t="shared" si="1"/>
        <v>0</v>
      </c>
      <c r="I49" s="10">
        <f t="shared" si="2"/>
        <v>1</v>
      </c>
      <c r="J49" s="10">
        <f t="shared" si="3"/>
        <v>0</v>
      </c>
      <c r="K49" s="10">
        <f t="shared" si="4"/>
        <v>0</v>
      </c>
      <c r="L49" s="10">
        <f t="shared" si="5"/>
        <v>0</v>
      </c>
      <c r="M49" s="10">
        <f t="shared" si="6"/>
        <v>0</v>
      </c>
      <c r="N49" s="10">
        <f t="shared" si="7"/>
        <v>0</v>
      </c>
      <c r="O49" s="10">
        <f t="shared" si="8"/>
        <v>0</v>
      </c>
      <c r="P49" s="10">
        <f t="shared" si="9"/>
        <v>0</v>
      </c>
      <c r="Q49" s="10">
        <f t="shared" si="10"/>
        <v>0</v>
      </c>
      <c r="R49" s="10">
        <f t="shared" si="11"/>
        <v>0</v>
      </c>
      <c r="S49" s="10">
        <f t="shared" si="12"/>
        <v>0</v>
      </c>
      <c r="T49" s="10">
        <f t="shared" si="13"/>
        <v>0</v>
      </c>
      <c r="U49" s="10">
        <f t="shared" si="14"/>
        <v>0</v>
      </c>
      <c r="V49" s="10">
        <f t="shared" si="15"/>
        <v>0</v>
      </c>
    </row>
    <row r="50" spans="1:22" x14ac:dyDescent="0.2">
      <c r="A50" s="32">
        <v>2</v>
      </c>
      <c r="B50" s="33">
        <v>0.875</v>
      </c>
      <c r="C50" s="32">
        <f>'0100z'!E11</f>
        <v>8</v>
      </c>
      <c r="D50" s="32">
        <f>'0100z'!F11</f>
        <v>12</v>
      </c>
      <c r="E50" s="32">
        <f t="shared" si="16"/>
        <v>80</v>
      </c>
      <c r="F50" s="10">
        <f t="shared" si="17"/>
        <v>0</v>
      </c>
      <c r="G50" s="10">
        <f t="shared" si="18"/>
        <v>0</v>
      </c>
      <c r="H50" s="10">
        <f t="shared" si="1"/>
        <v>0</v>
      </c>
      <c r="I50" s="10">
        <f t="shared" si="2"/>
        <v>0</v>
      </c>
      <c r="J50" s="10">
        <f t="shared" si="3"/>
        <v>1</v>
      </c>
      <c r="K50" s="10">
        <f t="shared" si="4"/>
        <v>0</v>
      </c>
      <c r="L50" s="10">
        <f t="shared" si="5"/>
        <v>0</v>
      </c>
      <c r="M50" s="10">
        <f t="shared" si="6"/>
        <v>0</v>
      </c>
      <c r="N50" s="10">
        <f t="shared" si="7"/>
        <v>0</v>
      </c>
      <c r="O50" s="10">
        <f t="shared" si="8"/>
        <v>0</v>
      </c>
      <c r="P50" s="10">
        <f t="shared" si="9"/>
        <v>0</v>
      </c>
      <c r="Q50" s="10">
        <f t="shared" si="10"/>
        <v>0</v>
      </c>
      <c r="R50" s="10">
        <f t="shared" si="11"/>
        <v>0</v>
      </c>
      <c r="S50" s="10">
        <f t="shared" si="12"/>
        <v>0</v>
      </c>
      <c r="T50" s="10">
        <f t="shared" si="13"/>
        <v>0</v>
      </c>
      <c r="U50" s="10">
        <f t="shared" si="14"/>
        <v>0</v>
      </c>
      <c r="V50" s="10">
        <f t="shared" si="15"/>
        <v>0</v>
      </c>
    </row>
    <row r="51" spans="1:22" x14ac:dyDescent="0.2">
      <c r="A51" s="32">
        <v>2</v>
      </c>
      <c r="B51" s="33">
        <v>0.91666666666666696</v>
      </c>
      <c r="C51" s="32">
        <f>'0200z'!E11</f>
        <v>8</v>
      </c>
      <c r="D51" s="32">
        <f>'0200z'!F11</f>
        <v>6</v>
      </c>
      <c r="E51" s="32">
        <f t="shared" si="16"/>
        <v>80</v>
      </c>
      <c r="F51" s="10">
        <f t="shared" si="17"/>
        <v>0</v>
      </c>
      <c r="G51" s="10">
        <f t="shared" si="18"/>
        <v>0</v>
      </c>
      <c r="H51" s="10">
        <f t="shared" si="1"/>
        <v>0</v>
      </c>
      <c r="I51" s="10">
        <f t="shared" si="2"/>
        <v>0</v>
      </c>
      <c r="J51" s="10">
        <f t="shared" si="3"/>
        <v>1</v>
      </c>
      <c r="K51" s="10">
        <f t="shared" si="4"/>
        <v>0</v>
      </c>
      <c r="L51" s="10">
        <f t="shared" si="5"/>
        <v>0</v>
      </c>
      <c r="M51" s="10">
        <f t="shared" si="6"/>
        <v>0</v>
      </c>
      <c r="N51" s="10">
        <f t="shared" si="7"/>
        <v>0</v>
      </c>
      <c r="O51" s="10">
        <f t="shared" si="8"/>
        <v>0</v>
      </c>
      <c r="P51" s="10">
        <f t="shared" si="9"/>
        <v>0</v>
      </c>
      <c r="Q51" s="10">
        <f t="shared" si="10"/>
        <v>0</v>
      </c>
      <c r="R51" s="10">
        <f t="shared" si="11"/>
        <v>0</v>
      </c>
      <c r="S51" s="10">
        <f t="shared" si="12"/>
        <v>0</v>
      </c>
      <c r="T51" s="10">
        <f t="shared" si="13"/>
        <v>0</v>
      </c>
      <c r="U51" s="10">
        <f t="shared" si="14"/>
        <v>0</v>
      </c>
      <c r="V51" s="10">
        <f t="shared" si="15"/>
        <v>0</v>
      </c>
    </row>
    <row r="52" spans="1:22" x14ac:dyDescent="0.2">
      <c r="A52" s="32">
        <v>2</v>
      </c>
      <c r="B52" s="33">
        <v>0.95833333333333304</v>
      </c>
      <c r="C52" s="32">
        <f>'0300z'!E11</f>
        <v>9</v>
      </c>
      <c r="D52" s="32">
        <f>'0300z'!F11</f>
        <v>7</v>
      </c>
      <c r="E52" s="32">
        <f t="shared" si="16"/>
        <v>90</v>
      </c>
      <c r="F52" s="10">
        <f t="shared" si="17"/>
        <v>0</v>
      </c>
      <c r="G52" s="10">
        <f t="shared" si="18"/>
        <v>0</v>
      </c>
      <c r="H52" s="10">
        <f t="shared" si="1"/>
        <v>0</v>
      </c>
      <c r="I52" s="10">
        <f t="shared" si="2"/>
        <v>0</v>
      </c>
      <c r="J52" s="10">
        <f t="shared" si="3"/>
        <v>1</v>
      </c>
      <c r="K52" s="10">
        <f t="shared" si="4"/>
        <v>0</v>
      </c>
      <c r="L52" s="10">
        <f t="shared" si="5"/>
        <v>0</v>
      </c>
      <c r="M52" s="10">
        <f t="shared" si="6"/>
        <v>0</v>
      </c>
      <c r="N52" s="10">
        <f t="shared" si="7"/>
        <v>0</v>
      </c>
      <c r="O52" s="10">
        <f t="shared" si="8"/>
        <v>0</v>
      </c>
      <c r="P52" s="10">
        <f t="shared" si="9"/>
        <v>0</v>
      </c>
      <c r="Q52" s="10">
        <f t="shared" si="10"/>
        <v>0</v>
      </c>
      <c r="R52" s="10">
        <f t="shared" si="11"/>
        <v>0</v>
      </c>
      <c r="S52" s="10">
        <f t="shared" si="12"/>
        <v>0</v>
      </c>
      <c r="T52" s="10">
        <f t="shared" si="13"/>
        <v>0</v>
      </c>
      <c r="U52" s="10">
        <f t="shared" si="14"/>
        <v>0</v>
      </c>
      <c r="V52" s="10">
        <f t="shared" si="15"/>
        <v>0</v>
      </c>
    </row>
    <row r="53" spans="1:22" x14ac:dyDescent="0.2">
      <c r="A53" s="32">
        <v>3</v>
      </c>
      <c r="B53" s="33">
        <v>0</v>
      </c>
      <c r="C53" s="32">
        <f>'0400z'!E12</f>
        <v>10</v>
      </c>
      <c r="D53" s="32">
        <f>'0400z'!F12</f>
        <v>6</v>
      </c>
      <c r="E53" s="32">
        <f t="shared" si="16"/>
        <v>100</v>
      </c>
      <c r="F53" s="10">
        <f t="shared" si="17"/>
        <v>0</v>
      </c>
      <c r="G53" s="10">
        <f t="shared" si="18"/>
        <v>0</v>
      </c>
      <c r="H53" s="10">
        <f t="shared" si="1"/>
        <v>0</v>
      </c>
      <c r="I53" s="10">
        <f t="shared" si="2"/>
        <v>0</v>
      </c>
      <c r="J53" s="10">
        <f t="shared" si="3"/>
        <v>1</v>
      </c>
      <c r="K53" s="10">
        <f t="shared" si="4"/>
        <v>0</v>
      </c>
      <c r="L53" s="10">
        <f t="shared" si="5"/>
        <v>0</v>
      </c>
      <c r="M53" s="10">
        <f t="shared" si="6"/>
        <v>0</v>
      </c>
      <c r="N53" s="10">
        <f t="shared" si="7"/>
        <v>0</v>
      </c>
      <c r="O53" s="10">
        <f t="shared" si="8"/>
        <v>0</v>
      </c>
      <c r="P53" s="10">
        <f t="shared" si="9"/>
        <v>0</v>
      </c>
      <c r="Q53" s="10">
        <f t="shared" si="10"/>
        <v>0</v>
      </c>
      <c r="R53" s="10">
        <f t="shared" si="11"/>
        <v>0</v>
      </c>
      <c r="S53" s="10">
        <f t="shared" si="12"/>
        <v>0</v>
      </c>
      <c r="T53" s="10">
        <f t="shared" si="13"/>
        <v>0</v>
      </c>
      <c r="U53" s="10">
        <f t="shared" si="14"/>
        <v>0</v>
      </c>
      <c r="V53" s="10">
        <f t="shared" si="15"/>
        <v>0</v>
      </c>
    </row>
    <row r="54" spans="1:22" x14ac:dyDescent="0.2">
      <c r="A54" s="32">
        <v>3</v>
      </c>
      <c r="B54" s="33">
        <v>4.1666666666666664E-2</v>
      </c>
      <c r="C54" s="32">
        <f>'0500z'!E12</f>
        <v>9</v>
      </c>
      <c r="D54" s="32">
        <f>'0500z'!F12</f>
        <v>5</v>
      </c>
      <c r="E54" s="32">
        <f t="shared" si="16"/>
        <v>90</v>
      </c>
      <c r="F54" s="10">
        <f t="shared" si="17"/>
        <v>0</v>
      </c>
      <c r="G54" s="10">
        <f t="shared" si="18"/>
        <v>0</v>
      </c>
      <c r="H54" s="10">
        <f t="shared" si="1"/>
        <v>0</v>
      </c>
      <c r="I54" s="10">
        <f t="shared" si="2"/>
        <v>0</v>
      </c>
      <c r="J54" s="10">
        <f t="shared" si="3"/>
        <v>1</v>
      </c>
      <c r="K54" s="10">
        <f t="shared" si="4"/>
        <v>0</v>
      </c>
      <c r="L54" s="10">
        <f t="shared" si="5"/>
        <v>0</v>
      </c>
      <c r="M54" s="10">
        <f t="shared" si="6"/>
        <v>0</v>
      </c>
      <c r="N54" s="10">
        <f t="shared" si="7"/>
        <v>0</v>
      </c>
      <c r="O54" s="10">
        <f t="shared" si="8"/>
        <v>0</v>
      </c>
      <c r="P54" s="10">
        <f t="shared" si="9"/>
        <v>0</v>
      </c>
      <c r="Q54" s="10">
        <f t="shared" si="10"/>
        <v>0</v>
      </c>
      <c r="R54" s="10">
        <f t="shared" si="11"/>
        <v>0</v>
      </c>
      <c r="S54" s="10">
        <f t="shared" si="12"/>
        <v>0</v>
      </c>
      <c r="T54" s="10">
        <f t="shared" si="13"/>
        <v>0</v>
      </c>
      <c r="U54" s="10">
        <f t="shared" si="14"/>
        <v>0</v>
      </c>
      <c r="V54" s="10">
        <f t="shared" si="15"/>
        <v>0</v>
      </c>
    </row>
    <row r="55" spans="1:22" x14ac:dyDescent="0.2">
      <c r="A55" s="32">
        <v>3</v>
      </c>
      <c r="B55" s="33">
        <v>8.3333333333333329E-2</v>
      </c>
      <c r="C55" s="32">
        <f>'0600z'!E12</f>
        <v>6</v>
      </c>
      <c r="D55" s="32">
        <f>'0600z'!F12</f>
        <v>5</v>
      </c>
      <c r="E55" s="32">
        <f t="shared" si="16"/>
        <v>60</v>
      </c>
      <c r="F55" s="10">
        <f t="shared" si="17"/>
        <v>0</v>
      </c>
      <c r="G55" s="10">
        <f t="shared" si="18"/>
        <v>0</v>
      </c>
      <c r="H55" s="10">
        <f t="shared" si="1"/>
        <v>0</v>
      </c>
      <c r="I55" s="10">
        <f t="shared" si="2"/>
        <v>1</v>
      </c>
      <c r="J55" s="10">
        <f t="shared" si="3"/>
        <v>0</v>
      </c>
      <c r="K55" s="10">
        <f t="shared" si="4"/>
        <v>0</v>
      </c>
      <c r="L55" s="10">
        <f t="shared" si="5"/>
        <v>0</v>
      </c>
      <c r="M55" s="10">
        <f t="shared" si="6"/>
        <v>0</v>
      </c>
      <c r="N55" s="10">
        <f t="shared" si="7"/>
        <v>0</v>
      </c>
      <c r="O55" s="10">
        <f t="shared" si="8"/>
        <v>0</v>
      </c>
      <c r="P55" s="10">
        <f t="shared" si="9"/>
        <v>0</v>
      </c>
      <c r="Q55" s="10">
        <f t="shared" si="10"/>
        <v>0</v>
      </c>
      <c r="R55" s="10">
        <f t="shared" si="11"/>
        <v>0</v>
      </c>
      <c r="S55" s="10">
        <f t="shared" si="12"/>
        <v>0</v>
      </c>
      <c r="T55" s="10">
        <f t="shared" si="13"/>
        <v>0</v>
      </c>
      <c r="U55" s="10">
        <f t="shared" si="14"/>
        <v>0</v>
      </c>
      <c r="V55" s="10">
        <f t="shared" si="15"/>
        <v>0</v>
      </c>
    </row>
    <row r="56" spans="1:22" x14ac:dyDescent="0.2">
      <c r="A56" s="32">
        <v>3</v>
      </c>
      <c r="B56" s="33">
        <v>0.125</v>
      </c>
      <c r="C56" s="32">
        <f>'0700z'!E12</f>
        <v>0</v>
      </c>
      <c r="D56" s="32">
        <f>'0700z'!F12</f>
        <v>0</v>
      </c>
      <c r="E56" s="32">
        <f t="shared" si="16"/>
        <v>0</v>
      </c>
      <c r="F56" s="10">
        <f t="shared" si="17"/>
        <v>0</v>
      </c>
      <c r="G56" s="10">
        <f t="shared" si="18"/>
        <v>0</v>
      </c>
      <c r="H56" s="10">
        <f t="shared" si="1"/>
        <v>0</v>
      </c>
      <c r="I56" s="10">
        <f t="shared" si="2"/>
        <v>0</v>
      </c>
      <c r="J56" s="10">
        <f t="shared" si="3"/>
        <v>0</v>
      </c>
      <c r="K56" s="10">
        <f t="shared" si="4"/>
        <v>0</v>
      </c>
      <c r="L56" s="10">
        <f t="shared" si="5"/>
        <v>0</v>
      </c>
      <c r="M56" s="10">
        <f t="shared" si="6"/>
        <v>0</v>
      </c>
      <c r="N56" s="10">
        <f t="shared" si="7"/>
        <v>0</v>
      </c>
      <c r="O56" s="10">
        <f t="shared" si="8"/>
        <v>0</v>
      </c>
      <c r="P56" s="10">
        <f t="shared" si="9"/>
        <v>0</v>
      </c>
      <c r="Q56" s="10">
        <f t="shared" si="10"/>
        <v>0</v>
      </c>
      <c r="R56" s="10">
        <f t="shared" si="11"/>
        <v>0</v>
      </c>
      <c r="S56" s="10">
        <f t="shared" si="12"/>
        <v>0</v>
      </c>
      <c r="T56" s="10">
        <f t="shared" si="13"/>
        <v>0</v>
      </c>
      <c r="U56" s="10">
        <f t="shared" si="14"/>
        <v>0</v>
      </c>
      <c r="V56" s="10">
        <f t="shared" si="15"/>
        <v>0</v>
      </c>
    </row>
    <row r="57" spans="1:22" x14ac:dyDescent="0.2">
      <c r="A57" s="32">
        <v>3</v>
      </c>
      <c r="B57" s="33">
        <v>0.16666666666666699</v>
      </c>
      <c r="C57" s="32">
        <f>'0800z'!E12</f>
        <v>0</v>
      </c>
      <c r="D57" s="32">
        <f>'0800z'!F12</f>
        <v>0</v>
      </c>
      <c r="E57" s="32">
        <f t="shared" si="16"/>
        <v>0</v>
      </c>
      <c r="F57" s="10">
        <f t="shared" si="17"/>
        <v>0</v>
      </c>
      <c r="G57" s="10">
        <f t="shared" si="18"/>
        <v>0</v>
      </c>
      <c r="H57" s="10">
        <f t="shared" si="1"/>
        <v>0</v>
      </c>
      <c r="I57" s="10">
        <f t="shared" si="2"/>
        <v>0</v>
      </c>
      <c r="J57" s="10">
        <f t="shared" si="3"/>
        <v>0</v>
      </c>
      <c r="K57" s="10">
        <f t="shared" si="4"/>
        <v>0</v>
      </c>
      <c r="L57" s="10">
        <f t="shared" si="5"/>
        <v>0</v>
      </c>
      <c r="M57" s="10">
        <f t="shared" si="6"/>
        <v>0</v>
      </c>
      <c r="N57" s="10">
        <f t="shared" si="7"/>
        <v>0</v>
      </c>
      <c r="O57" s="10">
        <f t="shared" si="8"/>
        <v>0</v>
      </c>
      <c r="P57" s="10">
        <f t="shared" si="9"/>
        <v>0</v>
      </c>
      <c r="Q57" s="10">
        <f t="shared" si="10"/>
        <v>0</v>
      </c>
      <c r="R57" s="10">
        <f t="shared" si="11"/>
        <v>0</v>
      </c>
      <c r="S57" s="10">
        <f t="shared" si="12"/>
        <v>0</v>
      </c>
      <c r="T57" s="10">
        <f t="shared" si="13"/>
        <v>0</v>
      </c>
      <c r="U57" s="10">
        <f t="shared" si="14"/>
        <v>0</v>
      </c>
      <c r="V57" s="10">
        <f t="shared" si="15"/>
        <v>0</v>
      </c>
    </row>
    <row r="58" spans="1:22" x14ac:dyDescent="0.2">
      <c r="A58" s="32">
        <v>3</v>
      </c>
      <c r="B58" s="33">
        <v>0.20833333333333301</v>
      </c>
      <c r="C58" s="32">
        <f>'0900z'!E12</f>
        <v>9</v>
      </c>
      <c r="D58" s="32">
        <f>'0900z'!F12</f>
        <v>5</v>
      </c>
      <c r="E58" s="32">
        <f t="shared" si="16"/>
        <v>90</v>
      </c>
      <c r="F58" s="10">
        <f t="shared" si="17"/>
        <v>0</v>
      </c>
      <c r="G58" s="10">
        <f t="shared" si="18"/>
        <v>0</v>
      </c>
      <c r="H58" s="10">
        <f t="shared" si="1"/>
        <v>0</v>
      </c>
      <c r="I58" s="10">
        <f t="shared" si="2"/>
        <v>0</v>
      </c>
      <c r="J58" s="10">
        <f t="shared" si="3"/>
        <v>1</v>
      </c>
      <c r="K58" s="10">
        <f t="shared" si="4"/>
        <v>0</v>
      </c>
      <c r="L58" s="10">
        <f t="shared" si="5"/>
        <v>0</v>
      </c>
      <c r="M58" s="10">
        <f t="shared" si="6"/>
        <v>0</v>
      </c>
      <c r="N58" s="10">
        <f t="shared" si="7"/>
        <v>0</v>
      </c>
      <c r="O58" s="10">
        <f t="shared" si="8"/>
        <v>0</v>
      </c>
      <c r="P58" s="10">
        <f t="shared" si="9"/>
        <v>0</v>
      </c>
      <c r="Q58" s="10">
        <f t="shared" si="10"/>
        <v>0</v>
      </c>
      <c r="R58" s="10">
        <f t="shared" si="11"/>
        <v>0</v>
      </c>
      <c r="S58" s="10">
        <f t="shared" si="12"/>
        <v>0</v>
      </c>
      <c r="T58" s="10">
        <f t="shared" si="13"/>
        <v>0</v>
      </c>
      <c r="U58" s="10">
        <f t="shared" si="14"/>
        <v>0</v>
      </c>
      <c r="V58" s="10">
        <f t="shared" si="15"/>
        <v>0</v>
      </c>
    </row>
    <row r="59" spans="1:22" x14ac:dyDescent="0.2">
      <c r="A59" s="32">
        <v>3</v>
      </c>
      <c r="B59" s="33">
        <v>0.25</v>
      </c>
      <c r="C59" s="32">
        <f>'1000z'!E12</f>
        <v>7</v>
      </c>
      <c r="D59" s="32">
        <f>'1000z'!F12</f>
        <v>5</v>
      </c>
      <c r="E59" s="32">
        <f t="shared" si="16"/>
        <v>70</v>
      </c>
      <c r="F59" s="10">
        <f t="shared" si="17"/>
        <v>0</v>
      </c>
      <c r="G59" s="10">
        <f t="shared" si="18"/>
        <v>0</v>
      </c>
      <c r="H59" s="10">
        <f t="shared" si="1"/>
        <v>0</v>
      </c>
      <c r="I59" s="10">
        <f t="shared" si="2"/>
        <v>1</v>
      </c>
      <c r="J59" s="10">
        <f t="shared" si="3"/>
        <v>0</v>
      </c>
      <c r="K59" s="10">
        <f t="shared" si="4"/>
        <v>0</v>
      </c>
      <c r="L59" s="10">
        <f t="shared" si="5"/>
        <v>0</v>
      </c>
      <c r="M59" s="10">
        <f t="shared" si="6"/>
        <v>0</v>
      </c>
      <c r="N59" s="10">
        <f t="shared" si="7"/>
        <v>0</v>
      </c>
      <c r="O59" s="10">
        <f t="shared" si="8"/>
        <v>0</v>
      </c>
      <c r="P59" s="10">
        <f t="shared" si="9"/>
        <v>0</v>
      </c>
      <c r="Q59" s="10">
        <f t="shared" si="10"/>
        <v>0</v>
      </c>
      <c r="R59" s="10">
        <f t="shared" si="11"/>
        <v>0</v>
      </c>
      <c r="S59" s="10">
        <f t="shared" si="12"/>
        <v>0</v>
      </c>
      <c r="T59" s="10">
        <f t="shared" si="13"/>
        <v>0</v>
      </c>
      <c r="U59" s="10">
        <f t="shared" si="14"/>
        <v>0</v>
      </c>
      <c r="V59" s="10">
        <f t="shared" si="15"/>
        <v>0</v>
      </c>
    </row>
    <row r="60" spans="1:22" x14ac:dyDescent="0.2">
      <c r="A60" s="32">
        <v>3</v>
      </c>
      <c r="B60" s="33">
        <v>0.29166666666666702</v>
      </c>
      <c r="C60" s="32">
        <f>'1100z'!E12</f>
        <v>7</v>
      </c>
      <c r="D60" s="32">
        <f>'1100z'!F12</f>
        <v>10</v>
      </c>
      <c r="E60" s="32">
        <f t="shared" si="16"/>
        <v>70</v>
      </c>
      <c r="F60" s="10">
        <f t="shared" si="17"/>
        <v>0</v>
      </c>
      <c r="G60" s="10">
        <f t="shared" si="18"/>
        <v>0</v>
      </c>
      <c r="H60" s="10">
        <f t="shared" si="1"/>
        <v>0</v>
      </c>
      <c r="I60" s="10">
        <f t="shared" si="2"/>
        <v>1</v>
      </c>
      <c r="J60" s="10">
        <f t="shared" si="3"/>
        <v>0</v>
      </c>
      <c r="K60" s="10">
        <f t="shared" si="4"/>
        <v>0</v>
      </c>
      <c r="L60" s="10">
        <f t="shared" si="5"/>
        <v>0</v>
      </c>
      <c r="M60" s="10">
        <f t="shared" si="6"/>
        <v>0</v>
      </c>
      <c r="N60" s="10">
        <f t="shared" si="7"/>
        <v>0</v>
      </c>
      <c r="O60" s="10">
        <f t="shared" si="8"/>
        <v>0</v>
      </c>
      <c r="P60" s="10">
        <f t="shared" si="9"/>
        <v>0</v>
      </c>
      <c r="Q60" s="10">
        <f t="shared" si="10"/>
        <v>0</v>
      </c>
      <c r="R60" s="10">
        <f t="shared" si="11"/>
        <v>0</v>
      </c>
      <c r="S60" s="10">
        <f t="shared" si="12"/>
        <v>0</v>
      </c>
      <c r="T60" s="10">
        <f t="shared" si="13"/>
        <v>0</v>
      </c>
      <c r="U60" s="10">
        <f t="shared" si="14"/>
        <v>0</v>
      </c>
      <c r="V60" s="10">
        <f t="shared" si="15"/>
        <v>0</v>
      </c>
    </row>
    <row r="61" spans="1:22" x14ac:dyDescent="0.2">
      <c r="A61" s="32">
        <v>3</v>
      </c>
      <c r="B61" s="33">
        <v>0.33333333333333298</v>
      </c>
      <c r="C61" s="32">
        <f>'1200z'!E12</f>
        <v>9</v>
      </c>
      <c r="D61" s="32">
        <f>'1200z'!F12</f>
        <v>12</v>
      </c>
      <c r="E61" s="32">
        <f t="shared" si="16"/>
        <v>90</v>
      </c>
      <c r="F61" s="10">
        <f t="shared" si="17"/>
        <v>0</v>
      </c>
      <c r="G61" s="10">
        <f t="shared" si="18"/>
        <v>0</v>
      </c>
      <c r="H61" s="10">
        <f t="shared" si="1"/>
        <v>0</v>
      </c>
      <c r="I61" s="10">
        <f t="shared" si="2"/>
        <v>0</v>
      </c>
      <c r="J61" s="10">
        <f t="shared" si="3"/>
        <v>1</v>
      </c>
      <c r="K61" s="10">
        <f t="shared" si="4"/>
        <v>0</v>
      </c>
      <c r="L61" s="10">
        <f t="shared" si="5"/>
        <v>0</v>
      </c>
      <c r="M61" s="10">
        <f t="shared" si="6"/>
        <v>0</v>
      </c>
      <c r="N61" s="10">
        <f t="shared" si="7"/>
        <v>0</v>
      </c>
      <c r="O61" s="10">
        <f t="shared" si="8"/>
        <v>0</v>
      </c>
      <c r="P61" s="10">
        <f t="shared" si="9"/>
        <v>0</v>
      </c>
      <c r="Q61" s="10">
        <f t="shared" si="10"/>
        <v>0</v>
      </c>
      <c r="R61" s="10">
        <f t="shared" si="11"/>
        <v>0</v>
      </c>
      <c r="S61" s="10">
        <f t="shared" si="12"/>
        <v>0</v>
      </c>
      <c r="T61" s="10">
        <f t="shared" si="13"/>
        <v>0</v>
      </c>
      <c r="U61" s="10">
        <f t="shared" si="14"/>
        <v>0</v>
      </c>
      <c r="V61" s="10">
        <f t="shared" si="15"/>
        <v>0</v>
      </c>
    </row>
    <row r="62" spans="1:22" x14ac:dyDescent="0.2">
      <c r="A62" s="32">
        <v>3</v>
      </c>
      <c r="B62" s="33">
        <v>0.375</v>
      </c>
      <c r="C62" s="32">
        <f>'1300z'!E12</f>
        <v>10</v>
      </c>
      <c r="D62" s="32">
        <f>'1300z'!F12</f>
        <v>16</v>
      </c>
      <c r="E62" s="32">
        <f t="shared" si="16"/>
        <v>100</v>
      </c>
      <c r="F62" s="10">
        <f t="shared" si="17"/>
        <v>0</v>
      </c>
      <c r="G62" s="10">
        <f t="shared" si="18"/>
        <v>0</v>
      </c>
      <c r="H62" s="10">
        <f t="shared" si="1"/>
        <v>0</v>
      </c>
      <c r="I62" s="10">
        <f t="shared" si="2"/>
        <v>0</v>
      </c>
      <c r="J62" s="10">
        <f t="shared" si="3"/>
        <v>1</v>
      </c>
      <c r="K62" s="10">
        <f t="shared" si="4"/>
        <v>0</v>
      </c>
      <c r="L62" s="10">
        <f t="shared" si="5"/>
        <v>0</v>
      </c>
      <c r="M62" s="10">
        <f t="shared" si="6"/>
        <v>0</v>
      </c>
      <c r="N62" s="10">
        <f t="shared" si="7"/>
        <v>0</v>
      </c>
      <c r="O62" s="10">
        <f t="shared" si="8"/>
        <v>0</v>
      </c>
      <c r="P62" s="10">
        <f t="shared" si="9"/>
        <v>0</v>
      </c>
      <c r="Q62" s="10">
        <f t="shared" si="10"/>
        <v>0</v>
      </c>
      <c r="R62" s="10">
        <f t="shared" si="11"/>
        <v>0</v>
      </c>
      <c r="S62" s="10">
        <f t="shared" si="12"/>
        <v>0</v>
      </c>
      <c r="T62" s="10">
        <f t="shared" si="13"/>
        <v>0</v>
      </c>
      <c r="U62" s="10">
        <f t="shared" si="14"/>
        <v>0</v>
      </c>
      <c r="V62" s="10">
        <f t="shared" si="15"/>
        <v>0</v>
      </c>
    </row>
    <row r="63" spans="1:22" x14ac:dyDescent="0.2">
      <c r="A63" s="32">
        <v>3</v>
      </c>
      <c r="B63" s="33">
        <v>0.41666666666666702</v>
      </c>
      <c r="C63" s="32">
        <f>'1400z'!E12</f>
        <v>11</v>
      </c>
      <c r="D63" s="32">
        <f>'1400z'!F12</f>
        <v>16</v>
      </c>
      <c r="E63" s="32">
        <f t="shared" si="16"/>
        <v>110</v>
      </c>
      <c r="F63" s="10">
        <f t="shared" si="17"/>
        <v>0</v>
      </c>
      <c r="G63" s="10">
        <f t="shared" si="18"/>
        <v>0</v>
      </c>
      <c r="H63" s="10">
        <f t="shared" si="1"/>
        <v>0</v>
      </c>
      <c r="I63" s="10">
        <f t="shared" si="2"/>
        <v>0</v>
      </c>
      <c r="J63" s="10">
        <f t="shared" si="3"/>
        <v>0</v>
      </c>
      <c r="K63" s="10">
        <f t="shared" si="4"/>
        <v>1</v>
      </c>
      <c r="L63" s="10">
        <f t="shared" si="5"/>
        <v>0</v>
      </c>
      <c r="M63" s="10">
        <f t="shared" si="6"/>
        <v>0</v>
      </c>
      <c r="N63" s="10">
        <f t="shared" si="7"/>
        <v>0</v>
      </c>
      <c r="O63" s="10">
        <f t="shared" si="8"/>
        <v>0</v>
      </c>
      <c r="P63" s="10">
        <f t="shared" si="9"/>
        <v>0</v>
      </c>
      <c r="Q63" s="10">
        <f t="shared" si="10"/>
        <v>0</v>
      </c>
      <c r="R63" s="10">
        <f t="shared" si="11"/>
        <v>0</v>
      </c>
      <c r="S63" s="10">
        <f t="shared" si="12"/>
        <v>0</v>
      </c>
      <c r="T63" s="10">
        <f t="shared" si="13"/>
        <v>0</v>
      </c>
      <c r="U63" s="10">
        <f t="shared" si="14"/>
        <v>0</v>
      </c>
      <c r="V63" s="10">
        <f t="shared" si="15"/>
        <v>0</v>
      </c>
    </row>
    <row r="64" spans="1:22" x14ac:dyDescent="0.2">
      <c r="A64" s="32">
        <v>3</v>
      </c>
      <c r="B64" s="33">
        <v>0.45833333333333298</v>
      </c>
      <c r="C64" s="32">
        <f>'1500z'!E12</f>
        <v>11</v>
      </c>
      <c r="D64" s="32">
        <f>'1500z'!F12</f>
        <v>15</v>
      </c>
      <c r="E64" s="32">
        <f t="shared" si="16"/>
        <v>110</v>
      </c>
      <c r="F64" s="10">
        <f t="shared" si="17"/>
        <v>0</v>
      </c>
      <c r="G64" s="10">
        <f t="shared" si="18"/>
        <v>0</v>
      </c>
      <c r="H64" s="10">
        <f t="shared" si="1"/>
        <v>0</v>
      </c>
      <c r="I64" s="10">
        <f t="shared" si="2"/>
        <v>0</v>
      </c>
      <c r="J64" s="10">
        <f t="shared" si="3"/>
        <v>0</v>
      </c>
      <c r="K64" s="10">
        <f t="shared" si="4"/>
        <v>1</v>
      </c>
      <c r="L64" s="10">
        <f t="shared" si="5"/>
        <v>0</v>
      </c>
      <c r="M64" s="10">
        <f t="shared" si="6"/>
        <v>0</v>
      </c>
      <c r="N64" s="10">
        <f t="shared" si="7"/>
        <v>0</v>
      </c>
      <c r="O64" s="10">
        <f t="shared" si="8"/>
        <v>0</v>
      </c>
      <c r="P64" s="10">
        <f t="shared" si="9"/>
        <v>0</v>
      </c>
      <c r="Q64" s="10">
        <f t="shared" si="10"/>
        <v>0</v>
      </c>
      <c r="R64" s="10">
        <f t="shared" si="11"/>
        <v>0</v>
      </c>
      <c r="S64" s="10">
        <f t="shared" si="12"/>
        <v>0</v>
      </c>
      <c r="T64" s="10">
        <f t="shared" si="13"/>
        <v>0</v>
      </c>
      <c r="U64" s="10">
        <f t="shared" si="14"/>
        <v>0</v>
      </c>
      <c r="V64" s="10">
        <f t="shared" si="15"/>
        <v>0</v>
      </c>
    </row>
    <row r="65" spans="1:22" x14ac:dyDescent="0.2">
      <c r="A65" s="32">
        <v>3</v>
      </c>
      <c r="B65" s="33">
        <v>0.5</v>
      </c>
      <c r="C65" s="32">
        <f>'1600z'!E12</f>
        <v>11</v>
      </c>
      <c r="D65" s="32">
        <f>'1600z'!F12</f>
        <v>14</v>
      </c>
      <c r="E65" s="32">
        <f t="shared" si="16"/>
        <v>110</v>
      </c>
      <c r="F65" s="10">
        <f t="shared" si="17"/>
        <v>0</v>
      </c>
      <c r="G65" s="10">
        <f t="shared" si="18"/>
        <v>0</v>
      </c>
      <c r="H65" s="10">
        <f t="shared" si="1"/>
        <v>0</v>
      </c>
      <c r="I65" s="10">
        <f t="shared" si="2"/>
        <v>0</v>
      </c>
      <c r="J65" s="10">
        <f t="shared" si="3"/>
        <v>0</v>
      </c>
      <c r="K65" s="10">
        <f t="shared" si="4"/>
        <v>1</v>
      </c>
      <c r="L65" s="10">
        <f t="shared" si="5"/>
        <v>0</v>
      </c>
      <c r="M65" s="10">
        <f t="shared" si="6"/>
        <v>0</v>
      </c>
      <c r="N65" s="10">
        <f t="shared" si="7"/>
        <v>0</v>
      </c>
      <c r="O65" s="10">
        <f t="shared" si="8"/>
        <v>0</v>
      </c>
      <c r="P65" s="10">
        <f t="shared" si="9"/>
        <v>0</v>
      </c>
      <c r="Q65" s="10">
        <f t="shared" si="10"/>
        <v>0</v>
      </c>
      <c r="R65" s="10">
        <f t="shared" si="11"/>
        <v>0</v>
      </c>
      <c r="S65" s="10">
        <f t="shared" si="12"/>
        <v>0</v>
      </c>
      <c r="T65" s="10">
        <f t="shared" si="13"/>
        <v>0</v>
      </c>
      <c r="U65" s="10">
        <f t="shared" si="14"/>
        <v>0</v>
      </c>
      <c r="V65" s="10">
        <f t="shared" si="15"/>
        <v>0</v>
      </c>
    </row>
    <row r="66" spans="1:22" x14ac:dyDescent="0.2">
      <c r="A66" s="32">
        <v>3</v>
      </c>
      <c r="B66" s="33">
        <v>0.54166666666666696</v>
      </c>
      <c r="C66" s="32">
        <f>'1700z'!E12</f>
        <v>11</v>
      </c>
      <c r="D66" s="32">
        <f>'1700z'!F12</f>
        <v>14</v>
      </c>
      <c r="E66" s="32">
        <f t="shared" si="16"/>
        <v>110</v>
      </c>
      <c r="F66" s="10">
        <f t="shared" si="17"/>
        <v>0</v>
      </c>
      <c r="G66" s="10">
        <f t="shared" si="18"/>
        <v>0</v>
      </c>
      <c r="H66" s="10">
        <f t="shared" si="1"/>
        <v>0</v>
      </c>
      <c r="I66" s="10">
        <f t="shared" si="2"/>
        <v>0</v>
      </c>
      <c r="J66" s="10">
        <f t="shared" si="3"/>
        <v>0</v>
      </c>
      <c r="K66" s="10">
        <f t="shared" si="4"/>
        <v>1</v>
      </c>
      <c r="L66" s="10">
        <f t="shared" si="5"/>
        <v>0</v>
      </c>
      <c r="M66" s="10">
        <f t="shared" si="6"/>
        <v>0</v>
      </c>
      <c r="N66" s="10">
        <f t="shared" si="7"/>
        <v>0</v>
      </c>
      <c r="O66" s="10">
        <f t="shared" si="8"/>
        <v>0</v>
      </c>
      <c r="P66" s="10">
        <f t="shared" si="9"/>
        <v>0</v>
      </c>
      <c r="Q66" s="10">
        <f t="shared" si="10"/>
        <v>0</v>
      </c>
      <c r="R66" s="10">
        <f t="shared" si="11"/>
        <v>0</v>
      </c>
      <c r="S66" s="10">
        <f t="shared" si="12"/>
        <v>0</v>
      </c>
      <c r="T66" s="10">
        <f t="shared" si="13"/>
        <v>0</v>
      </c>
      <c r="U66" s="10">
        <f t="shared" si="14"/>
        <v>0</v>
      </c>
      <c r="V66" s="10">
        <f t="shared" si="15"/>
        <v>0</v>
      </c>
    </row>
    <row r="67" spans="1:22" x14ac:dyDescent="0.2">
      <c r="A67" s="32">
        <v>3</v>
      </c>
      <c r="B67" s="33">
        <v>0.58333333333333304</v>
      </c>
      <c r="C67" s="32">
        <f>'1800z'!E12</f>
        <v>12</v>
      </c>
      <c r="D67" s="32">
        <f>'1800z'!F12</f>
        <v>15</v>
      </c>
      <c r="E67" s="32">
        <f t="shared" si="16"/>
        <v>120</v>
      </c>
      <c r="F67" s="10">
        <f t="shared" si="17"/>
        <v>0</v>
      </c>
      <c r="G67" s="10">
        <f t="shared" si="18"/>
        <v>0</v>
      </c>
      <c r="H67" s="10">
        <f t="shared" si="1"/>
        <v>0</v>
      </c>
      <c r="I67" s="10">
        <f t="shared" si="2"/>
        <v>0</v>
      </c>
      <c r="J67" s="10">
        <f t="shared" si="3"/>
        <v>0</v>
      </c>
      <c r="K67" s="10">
        <f t="shared" si="4"/>
        <v>1</v>
      </c>
      <c r="L67" s="10">
        <f t="shared" si="5"/>
        <v>0</v>
      </c>
      <c r="M67" s="10">
        <f t="shared" si="6"/>
        <v>0</v>
      </c>
      <c r="N67" s="10">
        <f t="shared" si="7"/>
        <v>0</v>
      </c>
      <c r="O67" s="10">
        <f t="shared" si="8"/>
        <v>0</v>
      </c>
      <c r="P67" s="10">
        <f t="shared" si="9"/>
        <v>0</v>
      </c>
      <c r="Q67" s="10">
        <f t="shared" si="10"/>
        <v>0</v>
      </c>
      <c r="R67" s="10">
        <f t="shared" si="11"/>
        <v>0</v>
      </c>
      <c r="S67" s="10">
        <f t="shared" si="12"/>
        <v>0</v>
      </c>
      <c r="T67" s="10">
        <f t="shared" si="13"/>
        <v>0</v>
      </c>
      <c r="U67" s="10">
        <f t="shared" si="14"/>
        <v>0</v>
      </c>
      <c r="V67" s="10">
        <f t="shared" si="15"/>
        <v>0</v>
      </c>
    </row>
    <row r="68" spans="1:22" x14ac:dyDescent="0.2">
      <c r="A68" s="32">
        <v>3</v>
      </c>
      <c r="B68" s="33">
        <v>0.625</v>
      </c>
      <c r="C68" s="32">
        <f>'1900z'!E12</f>
        <v>11</v>
      </c>
      <c r="D68" s="32">
        <f>'1900z'!F12</f>
        <v>14</v>
      </c>
      <c r="E68" s="32">
        <f t="shared" si="16"/>
        <v>110</v>
      </c>
      <c r="F68" s="10">
        <f t="shared" si="17"/>
        <v>0</v>
      </c>
      <c r="G68" s="10">
        <f t="shared" si="18"/>
        <v>0</v>
      </c>
      <c r="H68" s="10">
        <f t="shared" si="1"/>
        <v>0</v>
      </c>
      <c r="I68" s="10">
        <f t="shared" si="2"/>
        <v>0</v>
      </c>
      <c r="J68" s="10">
        <f t="shared" si="3"/>
        <v>0</v>
      </c>
      <c r="K68" s="10">
        <f t="shared" si="4"/>
        <v>1</v>
      </c>
      <c r="L68" s="10">
        <f t="shared" si="5"/>
        <v>0</v>
      </c>
      <c r="M68" s="10">
        <f t="shared" si="6"/>
        <v>0</v>
      </c>
      <c r="N68" s="10">
        <f t="shared" si="7"/>
        <v>0</v>
      </c>
      <c r="O68" s="10">
        <f t="shared" si="8"/>
        <v>0</v>
      </c>
      <c r="P68" s="10">
        <f t="shared" si="9"/>
        <v>0</v>
      </c>
      <c r="Q68" s="10">
        <f t="shared" si="10"/>
        <v>0</v>
      </c>
      <c r="R68" s="10">
        <f t="shared" si="11"/>
        <v>0</v>
      </c>
      <c r="S68" s="10">
        <f t="shared" si="12"/>
        <v>0</v>
      </c>
      <c r="T68" s="10">
        <f t="shared" si="13"/>
        <v>0</v>
      </c>
      <c r="U68" s="10">
        <f t="shared" si="14"/>
        <v>0</v>
      </c>
      <c r="V68" s="10">
        <f t="shared" si="15"/>
        <v>0</v>
      </c>
    </row>
    <row r="69" spans="1:22" x14ac:dyDescent="0.2">
      <c r="A69" s="32">
        <v>3</v>
      </c>
      <c r="B69" s="33">
        <v>0.66666666666666696</v>
      </c>
      <c r="C69" s="32">
        <f>'2000z'!E12</f>
        <v>12</v>
      </c>
      <c r="D69" s="32">
        <f>'2000z'!F12</f>
        <v>12</v>
      </c>
      <c r="E69" s="32">
        <f t="shared" si="16"/>
        <v>120</v>
      </c>
      <c r="F69" s="10">
        <f t="shared" si="17"/>
        <v>0</v>
      </c>
      <c r="G69" s="10">
        <f t="shared" si="18"/>
        <v>0</v>
      </c>
      <c r="H69" s="10">
        <f t="shared" si="1"/>
        <v>0</v>
      </c>
      <c r="I69" s="10">
        <f t="shared" si="2"/>
        <v>0</v>
      </c>
      <c r="J69" s="10">
        <f t="shared" si="3"/>
        <v>0</v>
      </c>
      <c r="K69" s="10">
        <f t="shared" si="4"/>
        <v>1</v>
      </c>
      <c r="L69" s="10">
        <f t="shared" si="5"/>
        <v>0</v>
      </c>
      <c r="M69" s="10">
        <f t="shared" si="6"/>
        <v>0</v>
      </c>
      <c r="N69" s="10">
        <f t="shared" si="7"/>
        <v>0</v>
      </c>
      <c r="O69" s="10">
        <f t="shared" si="8"/>
        <v>0</v>
      </c>
      <c r="P69" s="10">
        <f t="shared" si="9"/>
        <v>0</v>
      </c>
      <c r="Q69" s="10">
        <f t="shared" si="10"/>
        <v>0</v>
      </c>
      <c r="R69" s="10">
        <f t="shared" si="11"/>
        <v>0</v>
      </c>
      <c r="S69" s="10">
        <f t="shared" si="12"/>
        <v>0</v>
      </c>
      <c r="T69" s="10">
        <f t="shared" si="13"/>
        <v>0</v>
      </c>
      <c r="U69" s="10">
        <f t="shared" si="14"/>
        <v>0</v>
      </c>
      <c r="V69" s="10">
        <f t="shared" si="15"/>
        <v>0</v>
      </c>
    </row>
    <row r="70" spans="1:22" x14ac:dyDescent="0.2">
      <c r="A70" s="32">
        <v>3</v>
      </c>
      <c r="B70" s="33">
        <v>0.70833333333333304</v>
      </c>
      <c r="C70" s="32">
        <f>'2100z'!E12</f>
        <v>10</v>
      </c>
      <c r="D70" s="32">
        <f>'2100z'!F12</f>
        <v>12</v>
      </c>
      <c r="E70" s="32">
        <f t="shared" si="16"/>
        <v>100</v>
      </c>
      <c r="F70" s="10">
        <f t="shared" si="17"/>
        <v>0</v>
      </c>
      <c r="G70" s="10">
        <f t="shared" si="18"/>
        <v>0</v>
      </c>
      <c r="H70" s="10">
        <f t="shared" ref="H70:H133" si="20">IF(E70&gt;33.75,IF(E70&lt;=56.25,1,0),0)</f>
        <v>0</v>
      </c>
      <c r="I70" s="10">
        <f t="shared" ref="I70:I133" si="21">IF(E70&gt;56.25,IF(E70&lt;=78.75,1,0),0)</f>
        <v>0</v>
      </c>
      <c r="J70" s="10">
        <f t="shared" ref="J70:J133" si="22">IF(E70&gt;78.75,IF(E70&lt;=101.25,1,0),0)</f>
        <v>1</v>
      </c>
      <c r="K70" s="10">
        <f t="shared" ref="K70:K133" si="23">IF(E70&gt;101.25,IF(E70&lt;=123.75,1,0),0)</f>
        <v>0</v>
      </c>
      <c r="L70" s="10">
        <f t="shared" ref="L70:L133" si="24">IF(E70&gt;123.75,IF(E70&lt;=146.25,1,0),0)</f>
        <v>0</v>
      </c>
      <c r="M70" s="10">
        <f t="shared" ref="M70:M133" si="25">IF(E70&gt;146.25,IF(E70&lt;=168.75,1,0),0)</f>
        <v>0</v>
      </c>
      <c r="N70" s="10">
        <f t="shared" ref="N70:N133" si="26">IF(E70&gt;168.75,IF(E70&lt;=191.25,1,0),0)</f>
        <v>0</v>
      </c>
      <c r="O70" s="10">
        <f t="shared" ref="O70:O133" si="27">IF(E70&gt;191.25,IF(E70&lt;=213.75,1,0),0)</f>
        <v>0</v>
      </c>
      <c r="P70" s="10">
        <f t="shared" ref="P70:P133" si="28">IF(E70&gt;213.75,IF(E70&lt;=236.25,1,0),0)</f>
        <v>0</v>
      </c>
      <c r="Q70" s="10">
        <f t="shared" ref="Q70:Q133" si="29">IF(E70&gt;236.25,IF(E70&lt;=258.75,1,0),0)</f>
        <v>0</v>
      </c>
      <c r="R70" s="10">
        <f t="shared" ref="R70:R133" si="30">IF(E70&gt;258.75,IF(E70&lt;=281.25,1,0),0)</f>
        <v>0</v>
      </c>
      <c r="S70" s="10">
        <f t="shared" ref="S70:S133" si="31">IF(E70&gt;281.25,IF(E70&lt;=303.75,1,0),0)</f>
        <v>0</v>
      </c>
      <c r="T70" s="10">
        <f t="shared" ref="T70:T133" si="32">IF(E70&gt;303.75,IF(E70&lt;=326.25,1,0),0)</f>
        <v>0</v>
      </c>
      <c r="U70" s="10">
        <f t="shared" ref="U70:U133" si="33">IF(E70&gt;326.25,IF(E70&lt;=348.75,1,0),0)</f>
        <v>0</v>
      </c>
      <c r="V70" s="10">
        <f t="shared" ref="V70:V133" si="34">IF(E70&gt;348.75,IF(E70&lt;=360,1,0),0)</f>
        <v>0</v>
      </c>
    </row>
    <row r="71" spans="1:22" x14ac:dyDescent="0.2">
      <c r="A71" s="32">
        <v>3</v>
      </c>
      <c r="B71" s="33">
        <v>0.75</v>
      </c>
      <c r="C71" s="32">
        <f>'2200z'!E12</f>
        <v>9</v>
      </c>
      <c r="D71" s="32">
        <f>'2200z'!F12</f>
        <v>7</v>
      </c>
      <c r="E71" s="32">
        <f t="shared" ref="E71:E134" si="35">(C71*10)</f>
        <v>90</v>
      </c>
      <c r="F71" s="10">
        <f t="shared" ref="F71:F134" si="36">IF(E71&gt;0,IF(E71&lt;=11.25,1,0),0)</f>
        <v>0</v>
      </c>
      <c r="G71" s="10">
        <f t="shared" ref="G71:G134" si="37">IF(E71&gt;11.25,IF(E71&lt;=33.75,1,0),0)</f>
        <v>0</v>
      </c>
      <c r="H71" s="10">
        <f t="shared" si="20"/>
        <v>0</v>
      </c>
      <c r="I71" s="10">
        <f t="shared" si="21"/>
        <v>0</v>
      </c>
      <c r="J71" s="10">
        <f t="shared" si="22"/>
        <v>1</v>
      </c>
      <c r="K71" s="10">
        <f t="shared" si="23"/>
        <v>0</v>
      </c>
      <c r="L71" s="10">
        <f t="shared" si="24"/>
        <v>0</v>
      </c>
      <c r="M71" s="10">
        <f t="shared" si="25"/>
        <v>0</v>
      </c>
      <c r="N71" s="10">
        <f t="shared" si="26"/>
        <v>0</v>
      </c>
      <c r="O71" s="10">
        <f t="shared" si="27"/>
        <v>0</v>
      </c>
      <c r="P71" s="10">
        <f t="shared" si="28"/>
        <v>0</v>
      </c>
      <c r="Q71" s="10">
        <f t="shared" si="29"/>
        <v>0</v>
      </c>
      <c r="R71" s="10">
        <f t="shared" si="30"/>
        <v>0</v>
      </c>
      <c r="S71" s="10">
        <f t="shared" si="31"/>
        <v>0</v>
      </c>
      <c r="T71" s="10">
        <f t="shared" si="32"/>
        <v>0</v>
      </c>
      <c r="U71" s="10">
        <f t="shared" si="33"/>
        <v>0</v>
      </c>
      <c r="V71" s="10">
        <f t="shared" si="34"/>
        <v>0</v>
      </c>
    </row>
    <row r="72" spans="1:22" x14ac:dyDescent="0.2">
      <c r="A72" s="32">
        <v>3</v>
      </c>
      <c r="B72" s="33">
        <v>0.79166666666666696</v>
      </c>
      <c r="C72" s="32">
        <f>'2300z'!E12</f>
        <v>7</v>
      </c>
      <c r="D72" s="32">
        <f>'2300z'!F12</f>
        <v>10</v>
      </c>
      <c r="E72" s="32">
        <f t="shared" si="35"/>
        <v>70</v>
      </c>
      <c r="F72" s="10">
        <f t="shared" si="36"/>
        <v>0</v>
      </c>
      <c r="G72" s="10">
        <f t="shared" si="37"/>
        <v>0</v>
      </c>
      <c r="H72" s="10">
        <f t="shared" si="20"/>
        <v>0</v>
      </c>
      <c r="I72" s="10">
        <f t="shared" si="21"/>
        <v>1</v>
      </c>
      <c r="J72" s="10">
        <f t="shared" si="22"/>
        <v>0</v>
      </c>
      <c r="K72" s="10">
        <f t="shared" si="23"/>
        <v>0</v>
      </c>
      <c r="L72" s="10">
        <f t="shared" si="24"/>
        <v>0</v>
      </c>
      <c r="M72" s="10">
        <f t="shared" si="25"/>
        <v>0</v>
      </c>
      <c r="N72" s="10">
        <f t="shared" si="26"/>
        <v>0</v>
      </c>
      <c r="O72" s="10">
        <f t="shared" si="27"/>
        <v>0</v>
      </c>
      <c r="P72" s="10">
        <f t="shared" si="28"/>
        <v>0</v>
      </c>
      <c r="Q72" s="10">
        <f t="shared" si="29"/>
        <v>0</v>
      </c>
      <c r="R72" s="10">
        <f t="shared" si="30"/>
        <v>0</v>
      </c>
      <c r="S72" s="10">
        <f t="shared" si="31"/>
        <v>0</v>
      </c>
      <c r="T72" s="10">
        <f t="shared" si="32"/>
        <v>0</v>
      </c>
      <c r="U72" s="10">
        <f t="shared" si="33"/>
        <v>0</v>
      </c>
      <c r="V72" s="10">
        <f t="shared" si="34"/>
        <v>0</v>
      </c>
    </row>
    <row r="73" spans="1:22" x14ac:dyDescent="0.2">
      <c r="A73" s="32">
        <v>3</v>
      </c>
      <c r="B73" s="33">
        <v>0.83333333333333304</v>
      </c>
      <c r="C73" s="32">
        <f>'0000z'!E12</f>
        <v>8</v>
      </c>
      <c r="D73" s="32">
        <f>'0000z'!F12</f>
        <v>8</v>
      </c>
      <c r="E73" s="32">
        <f t="shared" si="35"/>
        <v>80</v>
      </c>
      <c r="F73" s="10">
        <f t="shared" si="36"/>
        <v>0</v>
      </c>
      <c r="G73" s="10">
        <f t="shared" si="37"/>
        <v>0</v>
      </c>
      <c r="H73" s="10">
        <f t="shared" si="20"/>
        <v>0</v>
      </c>
      <c r="I73" s="10">
        <f t="shared" si="21"/>
        <v>0</v>
      </c>
      <c r="J73" s="10">
        <f t="shared" si="22"/>
        <v>1</v>
      </c>
      <c r="K73" s="10">
        <f t="shared" si="23"/>
        <v>0</v>
      </c>
      <c r="L73" s="10">
        <f t="shared" si="24"/>
        <v>0</v>
      </c>
      <c r="M73" s="10">
        <f t="shared" si="25"/>
        <v>0</v>
      </c>
      <c r="N73" s="10">
        <f t="shared" si="26"/>
        <v>0</v>
      </c>
      <c r="O73" s="10">
        <f t="shared" si="27"/>
        <v>0</v>
      </c>
      <c r="P73" s="10">
        <f t="shared" si="28"/>
        <v>0</v>
      </c>
      <c r="Q73" s="10">
        <f t="shared" si="29"/>
        <v>0</v>
      </c>
      <c r="R73" s="10">
        <f t="shared" si="30"/>
        <v>0</v>
      </c>
      <c r="S73" s="10">
        <f t="shared" si="31"/>
        <v>0</v>
      </c>
      <c r="T73" s="10">
        <f t="shared" si="32"/>
        <v>0</v>
      </c>
      <c r="U73" s="10">
        <f t="shared" si="33"/>
        <v>0</v>
      </c>
      <c r="V73" s="10">
        <f t="shared" si="34"/>
        <v>0</v>
      </c>
    </row>
    <row r="74" spans="1:22" x14ac:dyDescent="0.2">
      <c r="A74" s="32">
        <v>3</v>
      </c>
      <c r="B74" s="33">
        <v>0.875</v>
      </c>
      <c r="C74" s="32">
        <f>'0100z'!E12</f>
        <v>7</v>
      </c>
      <c r="D74" s="32">
        <f>'0100z'!F12</f>
        <v>8</v>
      </c>
      <c r="E74" s="32">
        <f t="shared" si="35"/>
        <v>70</v>
      </c>
      <c r="F74" s="10">
        <f t="shared" si="36"/>
        <v>0</v>
      </c>
      <c r="G74" s="10">
        <f t="shared" si="37"/>
        <v>0</v>
      </c>
      <c r="H74" s="10">
        <f t="shared" si="20"/>
        <v>0</v>
      </c>
      <c r="I74" s="10">
        <f t="shared" si="21"/>
        <v>1</v>
      </c>
      <c r="J74" s="10">
        <f t="shared" si="22"/>
        <v>0</v>
      </c>
      <c r="K74" s="10">
        <f t="shared" si="23"/>
        <v>0</v>
      </c>
      <c r="L74" s="10">
        <f t="shared" si="24"/>
        <v>0</v>
      </c>
      <c r="M74" s="10">
        <f t="shared" si="25"/>
        <v>0</v>
      </c>
      <c r="N74" s="10">
        <f t="shared" si="26"/>
        <v>0</v>
      </c>
      <c r="O74" s="10">
        <f t="shared" si="27"/>
        <v>0</v>
      </c>
      <c r="P74" s="10">
        <f t="shared" si="28"/>
        <v>0</v>
      </c>
      <c r="Q74" s="10">
        <f t="shared" si="29"/>
        <v>0</v>
      </c>
      <c r="R74" s="10">
        <f t="shared" si="30"/>
        <v>0</v>
      </c>
      <c r="S74" s="10">
        <f t="shared" si="31"/>
        <v>0</v>
      </c>
      <c r="T74" s="10">
        <f t="shared" si="32"/>
        <v>0</v>
      </c>
      <c r="U74" s="10">
        <f t="shared" si="33"/>
        <v>0</v>
      </c>
      <c r="V74" s="10">
        <f t="shared" si="34"/>
        <v>0</v>
      </c>
    </row>
    <row r="75" spans="1:22" x14ac:dyDescent="0.2">
      <c r="A75" s="32">
        <v>3</v>
      </c>
      <c r="B75" s="33">
        <v>0.91666666666666696</v>
      </c>
      <c r="C75" s="32">
        <f>'0200z'!E12</f>
        <v>7</v>
      </c>
      <c r="D75" s="32">
        <f>'0200z'!F12</f>
        <v>9</v>
      </c>
      <c r="E75" s="32">
        <f t="shared" si="35"/>
        <v>70</v>
      </c>
      <c r="F75" s="10">
        <f t="shared" si="36"/>
        <v>0</v>
      </c>
      <c r="G75" s="10">
        <f t="shared" si="37"/>
        <v>0</v>
      </c>
      <c r="H75" s="10">
        <f t="shared" si="20"/>
        <v>0</v>
      </c>
      <c r="I75" s="10">
        <f t="shared" si="21"/>
        <v>1</v>
      </c>
      <c r="J75" s="10">
        <f t="shared" si="22"/>
        <v>0</v>
      </c>
      <c r="K75" s="10">
        <f t="shared" si="23"/>
        <v>0</v>
      </c>
      <c r="L75" s="10">
        <f t="shared" si="24"/>
        <v>0</v>
      </c>
      <c r="M75" s="10">
        <f t="shared" si="25"/>
        <v>0</v>
      </c>
      <c r="N75" s="10">
        <f t="shared" si="26"/>
        <v>0</v>
      </c>
      <c r="O75" s="10">
        <f t="shared" si="27"/>
        <v>0</v>
      </c>
      <c r="P75" s="10">
        <f t="shared" si="28"/>
        <v>0</v>
      </c>
      <c r="Q75" s="10">
        <f t="shared" si="29"/>
        <v>0</v>
      </c>
      <c r="R75" s="10">
        <f t="shared" si="30"/>
        <v>0</v>
      </c>
      <c r="S75" s="10">
        <f t="shared" si="31"/>
        <v>0</v>
      </c>
      <c r="T75" s="10">
        <f t="shared" si="32"/>
        <v>0</v>
      </c>
      <c r="U75" s="10">
        <f t="shared" si="33"/>
        <v>0</v>
      </c>
      <c r="V75" s="10">
        <f t="shared" si="34"/>
        <v>0</v>
      </c>
    </row>
    <row r="76" spans="1:22" x14ac:dyDescent="0.2">
      <c r="A76" s="32">
        <v>3</v>
      </c>
      <c r="B76" s="33">
        <v>0.95833333333333304</v>
      </c>
      <c r="C76" s="32">
        <f>'0300z'!E12</f>
        <v>9</v>
      </c>
      <c r="D76" s="32">
        <f>'0300z'!F12</f>
        <v>10</v>
      </c>
      <c r="E76" s="32">
        <f t="shared" si="35"/>
        <v>90</v>
      </c>
      <c r="F76" s="10">
        <f t="shared" si="36"/>
        <v>0</v>
      </c>
      <c r="G76" s="10">
        <f t="shared" si="37"/>
        <v>0</v>
      </c>
      <c r="H76" s="10">
        <f t="shared" si="20"/>
        <v>0</v>
      </c>
      <c r="I76" s="10">
        <f t="shared" si="21"/>
        <v>0</v>
      </c>
      <c r="J76" s="10">
        <f t="shared" si="22"/>
        <v>1</v>
      </c>
      <c r="K76" s="10">
        <f t="shared" si="23"/>
        <v>0</v>
      </c>
      <c r="L76" s="10">
        <f t="shared" si="24"/>
        <v>0</v>
      </c>
      <c r="M76" s="10">
        <f t="shared" si="25"/>
        <v>0</v>
      </c>
      <c r="N76" s="10">
        <f t="shared" si="26"/>
        <v>0</v>
      </c>
      <c r="O76" s="10">
        <f t="shared" si="27"/>
        <v>0</v>
      </c>
      <c r="P76" s="10">
        <f t="shared" si="28"/>
        <v>0</v>
      </c>
      <c r="Q76" s="10">
        <f t="shared" si="29"/>
        <v>0</v>
      </c>
      <c r="R76" s="10">
        <f t="shared" si="30"/>
        <v>0</v>
      </c>
      <c r="S76" s="10">
        <f t="shared" si="31"/>
        <v>0</v>
      </c>
      <c r="T76" s="10">
        <f t="shared" si="32"/>
        <v>0</v>
      </c>
      <c r="U76" s="10">
        <f t="shared" si="33"/>
        <v>0</v>
      </c>
      <c r="V76" s="10">
        <f t="shared" si="34"/>
        <v>0</v>
      </c>
    </row>
    <row r="77" spans="1:22" x14ac:dyDescent="0.2">
      <c r="A77" s="32">
        <v>4</v>
      </c>
      <c r="B77" s="33">
        <v>0</v>
      </c>
      <c r="C77" s="32">
        <f>'0400z'!E13</f>
        <v>6</v>
      </c>
      <c r="D77" s="32">
        <f>'0400z'!F13</f>
        <v>5</v>
      </c>
      <c r="E77" s="32">
        <f t="shared" si="35"/>
        <v>60</v>
      </c>
      <c r="F77" s="10">
        <f t="shared" si="36"/>
        <v>0</v>
      </c>
      <c r="G77" s="10">
        <f t="shared" si="37"/>
        <v>0</v>
      </c>
      <c r="H77" s="10">
        <f t="shared" si="20"/>
        <v>0</v>
      </c>
      <c r="I77" s="10">
        <f t="shared" si="21"/>
        <v>1</v>
      </c>
      <c r="J77" s="10">
        <f t="shared" si="22"/>
        <v>0</v>
      </c>
      <c r="K77" s="10">
        <f t="shared" si="23"/>
        <v>0</v>
      </c>
      <c r="L77" s="10">
        <f t="shared" si="24"/>
        <v>0</v>
      </c>
      <c r="M77" s="10">
        <f t="shared" si="25"/>
        <v>0</v>
      </c>
      <c r="N77" s="10">
        <f t="shared" si="26"/>
        <v>0</v>
      </c>
      <c r="O77" s="10">
        <f t="shared" si="27"/>
        <v>0</v>
      </c>
      <c r="P77" s="10">
        <f t="shared" si="28"/>
        <v>0</v>
      </c>
      <c r="Q77" s="10">
        <f t="shared" si="29"/>
        <v>0</v>
      </c>
      <c r="R77" s="10">
        <f t="shared" si="30"/>
        <v>0</v>
      </c>
      <c r="S77" s="10">
        <f t="shared" si="31"/>
        <v>0</v>
      </c>
      <c r="T77" s="10">
        <f t="shared" si="32"/>
        <v>0</v>
      </c>
      <c r="U77" s="10">
        <f t="shared" si="33"/>
        <v>0</v>
      </c>
      <c r="V77" s="10">
        <f t="shared" si="34"/>
        <v>0</v>
      </c>
    </row>
    <row r="78" spans="1:22" x14ac:dyDescent="0.2">
      <c r="A78" s="32">
        <v>4</v>
      </c>
      <c r="B78" s="33">
        <v>4.1666666666666664E-2</v>
      </c>
      <c r="C78" s="32">
        <f>'0500z'!E13</f>
        <v>8</v>
      </c>
      <c r="D78" s="32">
        <f>'0500z'!F13</f>
        <v>10</v>
      </c>
      <c r="E78" s="32">
        <f t="shared" si="35"/>
        <v>80</v>
      </c>
      <c r="F78" s="10">
        <f t="shared" si="36"/>
        <v>0</v>
      </c>
      <c r="G78" s="10">
        <f t="shared" si="37"/>
        <v>0</v>
      </c>
      <c r="H78" s="10">
        <f t="shared" si="20"/>
        <v>0</v>
      </c>
      <c r="I78" s="10">
        <f t="shared" si="21"/>
        <v>0</v>
      </c>
      <c r="J78" s="10">
        <f t="shared" si="22"/>
        <v>1</v>
      </c>
      <c r="K78" s="10">
        <f t="shared" si="23"/>
        <v>0</v>
      </c>
      <c r="L78" s="10">
        <f t="shared" si="24"/>
        <v>0</v>
      </c>
      <c r="M78" s="10">
        <f t="shared" si="25"/>
        <v>0</v>
      </c>
      <c r="N78" s="10">
        <f t="shared" si="26"/>
        <v>0</v>
      </c>
      <c r="O78" s="10">
        <f t="shared" si="27"/>
        <v>0</v>
      </c>
      <c r="P78" s="10">
        <f t="shared" si="28"/>
        <v>0</v>
      </c>
      <c r="Q78" s="10">
        <f t="shared" si="29"/>
        <v>0</v>
      </c>
      <c r="R78" s="10">
        <f t="shared" si="30"/>
        <v>0</v>
      </c>
      <c r="S78" s="10">
        <f t="shared" si="31"/>
        <v>0</v>
      </c>
      <c r="T78" s="10">
        <f t="shared" si="32"/>
        <v>0</v>
      </c>
      <c r="U78" s="10">
        <f t="shared" si="33"/>
        <v>0</v>
      </c>
      <c r="V78" s="10">
        <f t="shared" si="34"/>
        <v>0</v>
      </c>
    </row>
    <row r="79" spans="1:22" x14ac:dyDescent="0.2">
      <c r="A79" s="32">
        <v>4</v>
      </c>
      <c r="B79" s="33">
        <v>8.3333333333333329E-2</v>
      </c>
      <c r="C79" s="32">
        <f>'0600z'!E13</f>
        <v>7</v>
      </c>
      <c r="D79" s="32">
        <f>'0600z'!F13</f>
        <v>5</v>
      </c>
      <c r="E79" s="32">
        <f t="shared" si="35"/>
        <v>70</v>
      </c>
      <c r="F79" s="10">
        <f t="shared" si="36"/>
        <v>0</v>
      </c>
      <c r="G79" s="10">
        <f t="shared" si="37"/>
        <v>0</v>
      </c>
      <c r="H79" s="10">
        <f t="shared" si="20"/>
        <v>0</v>
      </c>
      <c r="I79" s="10">
        <f t="shared" si="21"/>
        <v>1</v>
      </c>
      <c r="J79" s="10">
        <f t="shared" si="22"/>
        <v>0</v>
      </c>
      <c r="K79" s="10">
        <f t="shared" si="23"/>
        <v>0</v>
      </c>
      <c r="L79" s="10">
        <f t="shared" si="24"/>
        <v>0</v>
      </c>
      <c r="M79" s="10">
        <f t="shared" si="25"/>
        <v>0</v>
      </c>
      <c r="N79" s="10">
        <f t="shared" si="26"/>
        <v>0</v>
      </c>
      <c r="O79" s="10">
        <f t="shared" si="27"/>
        <v>0</v>
      </c>
      <c r="P79" s="10">
        <f t="shared" si="28"/>
        <v>0</v>
      </c>
      <c r="Q79" s="10">
        <f t="shared" si="29"/>
        <v>0</v>
      </c>
      <c r="R79" s="10">
        <f t="shared" si="30"/>
        <v>0</v>
      </c>
      <c r="S79" s="10">
        <f t="shared" si="31"/>
        <v>0</v>
      </c>
      <c r="T79" s="10">
        <f t="shared" si="32"/>
        <v>0</v>
      </c>
      <c r="U79" s="10">
        <f t="shared" si="33"/>
        <v>0</v>
      </c>
      <c r="V79" s="10">
        <f t="shared" si="34"/>
        <v>0</v>
      </c>
    </row>
    <row r="80" spans="1:22" x14ac:dyDescent="0.2">
      <c r="A80" s="32">
        <v>4</v>
      </c>
      <c r="B80" s="33">
        <v>0.125</v>
      </c>
      <c r="C80" s="32">
        <f>'0700z'!E13</f>
        <v>0</v>
      </c>
      <c r="D80" s="32">
        <f>'0700z'!F13</f>
        <v>0</v>
      </c>
      <c r="E80" s="32">
        <f t="shared" si="35"/>
        <v>0</v>
      </c>
      <c r="F80" s="10">
        <f t="shared" si="36"/>
        <v>0</v>
      </c>
      <c r="G80" s="10">
        <f t="shared" si="37"/>
        <v>0</v>
      </c>
      <c r="H80" s="10">
        <f t="shared" si="20"/>
        <v>0</v>
      </c>
      <c r="I80" s="10">
        <f t="shared" si="21"/>
        <v>0</v>
      </c>
      <c r="J80" s="10">
        <f t="shared" si="22"/>
        <v>0</v>
      </c>
      <c r="K80" s="10">
        <f t="shared" si="23"/>
        <v>0</v>
      </c>
      <c r="L80" s="10">
        <f t="shared" si="24"/>
        <v>0</v>
      </c>
      <c r="M80" s="10">
        <f t="shared" si="25"/>
        <v>0</v>
      </c>
      <c r="N80" s="10">
        <f t="shared" si="26"/>
        <v>0</v>
      </c>
      <c r="O80" s="10">
        <f t="shared" si="27"/>
        <v>0</v>
      </c>
      <c r="P80" s="10">
        <f t="shared" si="28"/>
        <v>0</v>
      </c>
      <c r="Q80" s="10">
        <f t="shared" si="29"/>
        <v>0</v>
      </c>
      <c r="R80" s="10">
        <f t="shared" si="30"/>
        <v>0</v>
      </c>
      <c r="S80" s="10">
        <f t="shared" si="31"/>
        <v>0</v>
      </c>
      <c r="T80" s="10">
        <f t="shared" si="32"/>
        <v>0</v>
      </c>
      <c r="U80" s="10">
        <f t="shared" si="33"/>
        <v>0</v>
      </c>
      <c r="V80" s="10">
        <f t="shared" si="34"/>
        <v>0</v>
      </c>
    </row>
    <row r="81" spans="1:22" x14ac:dyDescent="0.2">
      <c r="A81" s="32">
        <v>4</v>
      </c>
      <c r="B81" s="33">
        <v>0.16666666666666699</v>
      </c>
      <c r="C81" s="32">
        <f>'0800z'!E13</f>
        <v>0</v>
      </c>
      <c r="D81" s="32">
        <f>'0800z'!F13</f>
        <v>0</v>
      </c>
      <c r="E81" s="32">
        <f t="shared" si="35"/>
        <v>0</v>
      </c>
      <c r="F81" s="10">
        <f t="shared" si="36"/>
        <v>0</v>
      </c>
      <c r="G81" s="10">
        <f t="shared" si="37"/>
        <v>0</v>
      </c>
      <c r="H81" s="10">
        <f t="shared" si="20"/>
        <v>0</v>
      </c>
      <c r="I81" s="10">
        <f t="shared" si="21"/>
        <v>0</v>
      </c>
      <c r="J81" s="10">
        <f t="shared" si="22"/>
        <v>0</v>
      </c>
      <c r="K81" s="10">
        <f t="shared" si="23"/>
        <v>0</v>
      </c>
      <c r="L81" s="10">
        <f t="shared" si="24"/>
        <v>0</v>
      </c>
      <c r="M81" s="10">
        <f t="shared" si="25"/>
        <v>0</v>
      </c>
      <c r="N81" s="10">
        <f t="shared" si="26"/>
        <v>0</v>
      </c>
      <c r="O81" s="10">
        <f t="shared" si="27"/>
        <v>0</v>
      </c>
      <c r="P81" s="10">
        <f t="shared" si="28"/>
        <v>0</v>
      </c>
      <c r="Q81" s="10">
        <f t="shared" si="29"/>
        <v>0</v>
      </c>
      <c r="R81" s="10">
        <f t="shared" si="30"/>
        <v>0</v>
      </c>
      <c r="S81" s="10">
        <f t="shared" si="31"/>
        <v>0</v>
      </c>
      <c r="T81" s="10">
        <f t="shared" si="32"/>
        <v>0</v>
      </c>
      <c r="U81" s="10">
        <f t="shared" si="33"/>
        <v>0</v>
      </c>
      <c r="V81" s="10">
        <f t="shared" si="34"/>
        <v>0</v>
      </c>
    </row>
    <row r="82" spans="1:22" x14ac:dyDescent="0.2">
      <c r="A82" s="32">
        <v>4</v>
      </c>
      <c r="B82" s="33">
        <v>0.20833333333333301</v>
      </c>
      <c r="C82" s="32">
        <f>'0900z'!E13</f>
        <v>0</v>
      </c>
      <c r="D82" s="32">
        <f>'0900z'!F13</f>
        <v>0</v>
      </c>
      <c r="E82" s="32">
        <f t="shared" si="35"/>
        <v>0</v>
      </c>
      <c r="F82" s="10">
        <f t="shared" si="36"/>
        <v>0</v>
      </c>
      <c r="G82" s="10">
        <f t="shared" si="37"/>
        <v>0</v>
      </c>
      <c r="H82" s="10">
        <f t="shared" si="20"/>
        <v>0</v>
      </c>
      <c r="I82" s="10">
        <f t="shared" si="21"/>
        <v>0</v>
      </c>
      <c r="J82" s="10">
        <f t="shared" si="22"/>
        <v>0</v>
      </c>
      <c r="K82" s="10">
        <f t="shared" si="23"/>
        <v>0</v>
      </c>
      <c r="L82" s="10">
        <f t="shared" si="24"/>
        <v>0</v>
      </c>
      <c r="M82" s="10">
        <f t="shared" si="25"/>
        <v>0</v>
      </c>
      <c r="N82" s="10">
        <f t="shared" si="26"/>
        <v>0</v>
      </c>
      <c r="O82" s="10">
        <f t="shared" si="27"/>
        <v>0</v>
      </c>
      <c r="P82" s="10">
        <f t="shared" si="28"/>
        <v>0</v>
      </c>
      <c r="Q82" s="10">
        <f t="shared" si="29"/>
        <v>0</v>
      </c>
      <c r="R82" s="10">
        <f t="shared" si="30"/>
        <v>0</v>
      </c>
      <c r="S82" s="10">
        <f t="shared" si="31"/>
        <v>0</v>
      </c>
      <c r="T82" s="10">
        <f t="shared" si="32"/>
        <v>0</v>
      </c>
      <c r="U82" s="10">
        <f t="shared" si="33"/>
        <v>0</v>
      </c>
      <c r="V82" s="10">
        <f t="shared" si="34"/>
        <v>0</v>
      </c>
    </row>
    <row r="83" spans="1:22" x14ac:dyDescent="0.2">
      <c r="A83" s="32">
        <v>4</v>
      </c>
      <c r="B83" s="33">
        <v>0.25</v>
      </c>
      <c r="C83" s="32">
        <f>'1000z'!E13</f>
        <v>0</v>
      </c>
      <c r="D83" s="32">
        <f>'1000z'!F13</f>
        <v>0</v>
      </c>
      <c r="E83" s="32">
        <f t="shared" si="35"/>
        <v>0</v>
      </c>
      <c r="F83" s="10">
        <f t="shared" si="36"/>
        <v>0</v>
      </c>
      <c r="G83" s="10">
        <f t="shared" si="37"/>
        <v>0</v>
      </c>
      <c r="H83" s="10">
        <f t="shared" si="20"/>
        <v>0</v>
      </c>
      <c r="I83" s="10">
        <f t="shared" si="21"/>
        <v>0</v>
      </c>
      <c r="J83" s="10">
        <f t="shared" si="22"/>
        <v>0</v>
      </c>
      <c r="K83" s="10">
        <f t="shared" si="23"/>
        <v>0</v>
      </c>
      <c r="L83" s="10">
        <f t="shared" si="24"/>
        <v>0</v>
      </c>
      <c r="M83" s="10">
        <f t="shared" si="25"/>
        <v>0</v>
      </c>
      <c r="N83" s="10">
        <f t="shared" si="26"/>
        <v>0</v>
      </c>
      <c r="O83" s="10">
        <f t="shared" si="27"/>
        <v>0</v>
      </c>
      <c r="P83" s="10">
        <f t="shared" si="28"/>
        <v>0</v>
      </c>
      <c r="Q83" s="10">
        <f t="shared" si="29"/>
        <v>0</v>
      </c>
      <c r="R83" s="10">
        <f t="shared" si="30"/>
        <v>0</v>
      </c>
      <c r="S83" s="10">
        <f t="shared" si="31"/>
        <v>0</v>
      </c>
      <c r="T83" s="10">
        <f t="shared" si="32"/>
        <v>0</v>
      </c>
      <c r="U83" s="10">
        <f t="shared" si="33"/>
        <v>0</v>
      </c>
      <c r="V83" s="10">
        <f t="shared" si="34"/>
        <v>0</v>
      </c>
    </row>
    <row r="84" spans="1:22" x14ac:dyDescent="0.2">
      <c r="A84" s="32">
        <v>4</v>
      </c>
      <c r="B84" s="33">
        <v>0.29166666666666702</v>
      </c>
      <c r="C84" s="32">
        <f>'1100z'!E13</f>
        <v>7</v>
      </c>
      <c r="D84" s="32">
        <f>'1100z'!F13</f>
        <v>7</v>
      </c>
      <c r="E84" s="32">
        <f t="shared" si="35"/>
        <v>70</v>
      </c>
      <c r="F84" s="10">
        <f t="shared" si="36"/>
        <v>0</v>
      </c>
      <c r="G84" s="10">
        <f t="shared" si="37"/>
        <v>0</v>
      </c>
      <c r="H84" s="10">
        <f t="shared" si="20"/>
        <v>0</v>
      </c>
      <c r="I84" s="10">
        <f t="shared" si="21"/>
        <v>1</v>
      </c>
      <c r="J84" s="10">
        <f t="shared" si="22"/>
        <v>0</v>
      </c>
      <c r="K84" s="10">
        <f t="shared" si="23"/>
        <v>0</v>
      </c>
      <c r="L84" s="10">
        <f t="shared" si="24"/>
        <v>0</v>
      </c>
      <c r="M84" s="10">
        <f t="shared" si="25"/>
        <v>0</v>
      </c>
      <c r="N84" s="10">
        <f t="shared" si="26"/>
        <v>0</v>
      </c>
      <c r="O84" s="10">
        <f t="shared" si="27"/>
        <v>0</v>
      </c>
      <c r="P84" s="10">
        <f t="shared" si="28"/>
        <v>0</v>
      </c>
      <c r="Q84" s="10">
        <f t="shared" si="29"/>
        <v>0</v>
      </c>
      <c r="R84" s="10">
        <f t="shared" si="30"/>
        <v>0</v>
      </c>
      <c r="S84" s="10">
        <f t="shared" si="31"/>
        <v>0</v>
      </c>
      <c r="T84" s="10">
        <f t="shared" si="32"/>
        <v>0</v>
      </c>
      <c r="U84" s="10">
        <f t="shared" si="33"/>
        <v>0</v>
      </c>
      <c r="V84" s="10">
        <f t="shared" si="34"/>
        <v>0</v>
      </c>
    </row>
    <row r="85" spans="1:22" x14ac:dyDescent="0.2">
      <c r="A85" s="32">
        <v>4</v>
      </c>
      <c r="B85" s="33">
        <v>0.33333333333333298</v>
      </c>
      <c r="C85" s="32">
        <f>'1200z'!E13</f>
        <v>9</v>
      </c>
      <c r="D85" s="32">
        <f>'1200z'!F13</f>
        <v>11</v>
      </c>
      <c r="E85" s="32">
        <f t="shared" si="35"/>
        <v>90</v>
      </c>
      <c r="F85" s="10">
        <f t="shared" si="36"/>
        <v>0</v>
      </c>
      <c r="G85" s="10">
        <f t="shared" si="37"/>
        <v>0</v>
      </c>
      <c r="H85" s="10">
        <f t="shared" si="20"/>
        <v>0</v>
      </c>
      <c r="I85" s="10">
        <f t="shared" si="21"/>
        <v>0</v>
      </c>
      <c r="J85" s="10">
        <f t="shared" si="22"/>
        <v>1</v>
      </c>
      <c r="K85" s="10">
        <f t="shared" si="23"/>
        <v>0</v>
      </c>
      <c r="L85" s="10">
        <f t="shared" si="24"/>
        <v>0</v>
      </c>
      <c r="M85" s="10">
        <f t="shared" si="25"/>
        <v>0</v>
      </c>
      <c r="N85" s="10">
        <f t="shared" si="26"/>
        <v>0</v>
      </c>
      <c r="O85" s="10">
        <f t="shared" si="27"/>
        <v>0</v>
      </c>
      <c r="P85" s="10">
        <f t="shared" si="28"/>
        <v>0</v>
      </c>
      <c r="Q85" s="10">
        <f t="shared" si="29"/>
        <v>0</v>
      </c>
      <c r="R85" s="10">
        <f t="shared" si="30"/>
        <v>0</v>
      </c>
      <c r="S85" s="10">
        <f t="shared" si="31"/>
        <v>0</v>
      </c>
      <c r="T85" s="10">
        <f t="shared" si="32"/>
        <v>0</v>
      </c>
      <c r="U85" s="10">
        <f t="shared" si="33"/>
        <v>0</v>
      </c>
      <c r="V85" s="10">
        <f t="shared" si="34"/>
        <v>0</v>
      </c>
    </row>
    <row r="86" spans="1:22" x14ac:dyDescent="0.2">
      <c r="A86" s="32">
        <v>4</v>
      </c>
      <c r="B86" s="33">
        <v>0.375</v>
      </c>
      <c r="C86" s="32">
        <f>'1300z'!E13</f>
        <v>11</v>
      </c>
      <c r="D86" s="32">
        <f>'1300z'!F13</f>
        <v>13</v>
      </c>
      <c r="E86" s="32">
        <f t="shared" si="35"/>
        <v>110</v>
      </c>
      <c r="F86" s="10">
        <f t="shared" si="36"/>
        <v>0</v>
      </c>
      <c r="G86" s="10">
        <f t="shared" si="37"/>
        <v>0</v>
      </c>
      <c r="H86" s="10">
        <f t="shared" si="20"/>
        <v>0</v>
      </c>
      <c r="I86" s="10">
        <f t="shared" si="21"/>
        <v>0</v>
      </c>
      <c r="J86" s="10">
        <f t="shared" si="22"/>
        <v>0</v>
      </c>
      <c r="K86" s="10">
        <f t="shared" si="23"/>
        <v>1</v>
      </c>
      <c r="L86" s="10">
        <f t="shared" si="24"/>
        <v>0</v>
      </c>
      <c r="M86" s="10">
        <f t="shared" si="25"/>
        <v>0</v>
      </c>
      <c r="N86" s="10">
        <f t="shared" si="26"/>
        <v>0</v>
      </c>
      <c r="O86" s="10">
        <f t="shared" si="27"/>
        <v>0</v>
      </c>
      <c r="P86" s="10">
        <f t="shared" si="28"/>
        <v>0</v>
      </c>
      <c r="Q86" s="10">
        <f t="shared" si="29"/>
        <v>0</v>
      </c>
      <c r="R86" s="10">
        <f t="shared" si="30"/>
        <v>0</v>
      </c>
      <c r="S86" s="10">
        <f t="shared" si="31"/>
        <v>0</v>
      </c>
      <c r="T86" s="10">
        <f t="shared" si="32"/>
        <v>0</v>
      </c>
      <c r="U86" s="10">
        <f t="shared" si="33"/>
        <v>0</v>
      </c>
      <c r="V86" s="10">
        <f t="shared" si="34"/>
        <v>0</v>
      </c>
    </row>
    <row r="87" spans="1:22" x14ac:dyDescent="0.2">
      <c r="A87" s="32">
        <v>4</v>
      </c>
      <c r="B87" s="33">
        <v>0.41666666666666702</v>
      </c>
      <c r="C87" s="32">
        <f>'1400z'!E13</f>
        <v>12</v>
      </c>
      <c r="D87" s="32">
        <f>'1400z'!F13</f>
        <v>13</v>
      </c>
      <c r="E87" s="32">
        <f t="shared" si="35"/>
        <v>120</v>
      </c>
      <c r="F87" s="10">
        <f t="shared" si="36"/>
        <v>0</v>
      </c>
      <c r="G87" s="10">
        <f t="shared" si="37"/>
        <v>0</v>
      </c>
      <c r="H87" s="10">
        <f t="shared" si="20"/>
        <v>0</v>
      </c>
      <c r="I87" s="10">
        <f t="shared" si="21"/>
        <v>0</v>
      </c>
      <c r="J87" s="10">
        <f t="shared" si="22"/>
        <v>0</v>
      </c>
      <c r="K87" s="10">
        <f t="shared" si="23"/>
        <v>1</v>
      </c>
      <c r="L87" s="10">
        <f t="shared" si="24"/>
        <v>0</v>
      </c>
      <c r="M87" s="10">
        <f t="shared" si="25"/>
        <v>0</v>
      </c>
      <c r="N87" s="10">
        <f t="shared" si="26"/>
        <v>0</v>
      </c>
      <c r="O87" s="10">
        <f t="shared" si="27"/>
        <v>0</v>
      </c>
      <c r="P87" s="10">
        <f t="shared" si="28"/>
        <v>0</v>
      </c>
      <c r="Q87" s="10">
        <f t="shared" si="29"/>
        <v>0</v>
      </c>
      <c r="R87" s="10">
        <f t="shared" si="30"/>
        <v>0</v>
      </c>
      <c r="S87" s="10">
        <f t="shared" si="31"/>
        <v>0</v>
      </c>
      <c r="T87" s="10">
        <f t="shared" si="32"/>
        <v>0</v>
      </c>
      <c r="U87" s="10">
        <f t="shared" si="33"/>
        <v>0</v>
      </c>
      <c r="V87" s="10">
        <f t="shared" si="34"/>
        <v>0</v>
      </c>
    </row>
    <row r="88" spans="1:22" x14ac:dyDescent="0.2">
      <c r="A88" s="32">
        <v>4</v>
      </c>
      <c r="B88" s="33">
        <v>0.45833333333333298</v>
      </c>
      <c r="C88" s="32">
        <f>'1500z'!E13</f>
        <v>11</v>
      </c>
      <c r="D88" s="32">
        <f>'1500z'!F13</f>
        <v>15</v>
      </c>
      <c r="E88" s="32">
        <f t="shared" si="35"/>
        <v>110</v>
      </c>
      <c r="F88" s="10">
        <f t="shared" si="36"/>
        <v>0</v>
      </c>
      <c r="G88" s="10">
        <f t="shared" si="37"/>
        <v>0</v>
      </c>
      <c r="H88" s="10">
        <f t="shared" si="20"/>
        <v>0</v>
      </c>
      <c r="I88" s="10">
        <f t="shared" si="21"/>
        <v>0</v>
      </c>
      <c r="J88" s="10">
        <f t="shared" si="22"/>
        <v>0</v>
      </c>
      <c r="K88" s="10">
        <f t="shared" si="23"/>
        <v>1</v>
      </c>
      <c r="L88" s="10">
        <f t="shared" si="24"/>
        <v>0</v>
      </c>
      <c r="M88" s="10">
        <f t="shared" si="25"/>
        <v>0</v>
      </c>
      <c r="N88" s="10">
        <f t="shared" si="26"/>
        <v>0</v>
      </c>
      <c r="O88" s="10">
        <f t="shared" si="27"/>
        <v>0</v>
      </c>
      <c r="P88" s="10">
        <f t="shared" si="28"/>
        <v>0</v>
      </c>
      <c r="Q88" s="10">
        <f t="shared" si="29"/>
        <v>0</v>
      </c>
      <c r="R88" s="10">
        <f t="shared" si="30"/>
        <v>0</v>
      </c>
      <c r="S88" s="10">
        <f t="shared" si="31"/>
        <v>0</v>
      </c>
      <c r="T88" s="10">
        <f t="shared" si="32"/>
        <v>0</v>
      </c>
      <c r="U88" s="10">
        <f t="shared" si="33"/>
        <v>0</v>
      </c>
      <c r="V88" s="10">
        <f t="shared" si="34"/>
        <v>0</v>
      </c>
    </row>
    <row r="89" spans="1:22" x14ac:dyDescent="0.2">
      <c r="A89" s="32">
        <v>4</v>
      </c>
      <c r="B89" s="33">
        <v>0.5</v>
      </c>
      <c r="C89" s="32">
        <f>'1600z'!E13</f>
        <v>12</v>
      </c>
      <c r="D89" s="32">
        <f>'1600z'!F13</f>
        <v>12</v>
      </c>
      <c r="E89" s="32">
        <f t="shared" si="35"/>
        <v>120</v>
      </c>
      <c r="F89" s="10">
        <f t="shared" si="36"/>
        <v>0</v>
      </c>
      <c r="G89" s="10">
        <f t="shared" si="37"/>
        <v>0</v>
      </c>
      <c r="H89" s="10">
        <f t="shared" si="20"/>
        <v>0</v>
      </c>
      <c r="I89" s="10">
        <f t="shared" si="21"/>
        <v>0</v>
      </c>
      <c r="J89" s="10">
        <f t="shared" si="22"/>
        <v>0</v>
      </c>
      <c r="K89" s="10">
        <f t="shared" si="23"/>
        <v>1</v>
      </c>
      <c r="L89" s="10">
        <f t="shared" si="24"/>
        <v>0</v>
      </c>
      <c r="M89" s="10">
        <f t="shared" si="25"/>
        <v>0</v>
      </c>
      <c r="N89" s="10">
        <f t="shared" si="26"/>
        <v>0</v>
      </c>
      <c r="O89" s="10">
        <f t="shared" si="27"/>
        <v>0</v>
      </c>
      <c r="P89" s="10">
        <f t="shared" si="28"/>
        <v>0</v>
      </c>
      <c r="Q89" s="10">
        <f t="shared" si="29"/>
        <v>0</v>
      </c>
      <c r="R89" s="10">
        <f t="shared" si="30"/>
        <v>0</v>
      </c>
      <c r="S89" s="10">
        <f t="shared" si="31"/>
        <v>0</v>
      </c>
      <c r="T89" s="10">
        <f t="shared" si="32"/>
        <v>0</v>
      </c>
      <c r="U89" s="10">
        <f t="shared" si="33"/>
        <v>0</v>
      </c>
      <c r="V89" s="10">
        <f t="shared" si="34"/>
        <v>0</v>
      </c>
    </row>
    <row r="90" spans="1:22" x14ac:dyDescent="0.2">
      <c r="A90" s="32">
        <v>4</v>
      </c>
      <c r="B90" s="33">
        <v>0.54166666666666696</v>
      </c>
      <c r="C90" s="32">
        <f>'1700z'!E13</f>
        <v>11</v>
      </c>
      <c r="D90" s="32">
        <f>'1700z'!F13</f>
        <v>16</v>
      </c>
      <c r="E90" s="32">
        <f t="shared" si="35"/>
        <v>110</v>
      </c>
      <c r="F90" s="10">
        <f t="shared" si="36"/>
        <v>0</v>
      </c>
      <c r="G90" s="10">
        <f t="shared" si="37"/>
        <v>0</v>
      </c>
      <c r="H90" s="10">
        <f t="shared" si="20"/>
        <v>0</v>
      </c>
      <c r="I90" s="10">
        <f t="shared" si="21"/>
        <v>0</v>
      </c>
      <c r="J90" s="10">
        <f t="shared" si="22"/>
        <v>0</v>
      </c>
      <c r="K90" s="10">
        <f t="shared" si="23"/>
        <v>1</v>
      </c>
      <c r="L90" s="10">
        <f t="shared" si="24"/>
        <v>0</v>
      </c>
      <c r="M90" s="10">
        <f t="shared" si="25"/>
        <v>0</v>
      </c>
      <c r="N90" s="10">
        <f t="shared" si="26"/>
        <v>0</v>
      </c>
      <c r="O90" s="10">
        <f t="shared" si="27"/>
        <v>0</v>
      </c>
      <c r="P90" s="10">
        <f t="shared" si="28"/>
        <v>0</v>
      </c>
      <c r="Q90" s="10">
        <f t="shared" si="29"/>
        <v>0</v>
      </c>
      <c r="R90" s="10">
        <f t="shared" si="30"/>
        <v>0</v>
      </c>
      <c r="S90" s="10">
        <f t="shared" si="31"/>
        <v>0</v>
      </c>
      <c r="T90" s="10">
        <f t="shared" si="32"/>
        <v>0</v>
      </c>
      <c r="U90" s="10">
        <f t="shared" si="33"/>
        <v>0</v>
      </c>
      <c r="V90" s="10">
        <f t="shared" si="34"/>
        <v>0</v>
      </c>
    </row>
    <row r="91" spans="1:22" x14ac:dyDescent="0.2">
      <c r="A91" s="32">
        <v>4</v>
      </c>
      <c r="B91" s="33">
        <v>0.58333333333333304</v>
      </c>
      <c r="C91" s="32">
        <f>'1800z'!E13</f>
        <v>12</v>
      </c>
      <c r="D91" s="32">
        <f>'1800z'!F13</f>
        <v>17</v>
      </c>
      <c r="E91" s="32">
        <f t="shared" si="35"/>
        <v>120</v>
      </c>
      <c r="F91" s="10">
        <f t="shared" si="36"/>
        <v>0</v>
      </c>
      <c r="G91" s="10">
        <f t="shared" si="37"/>
        <v>0</v>
      </c>
      <c r="H91" s="10">
        <f t="shared" si="20"/>
        <v>0</v>
      </c>
      <c r="I91" s="10">
        <f t="shared" si="21"/>
        <v>0</v>
      </c>
      <c r="J91" s="10">
        <f t="shared" si="22"/>
        <v>0</v>
      </c>
      <c r="K91" s="10">
        <f t="shared" si="23"/>
        <v>1</v>
      </c>
      <c r="L91" s="10">
        <f t="shared" si="24"/>
        <v>0</v>
      </c>
      <c r="M91" s="10">
        <f t="shared" si="25"/>
        <v>0</v>
      </c>
      <c r="N91" s="10">
        <f t="shared" si="26"/>
        <v>0</v>
      </c>
      <c r="O91" s="10">
        <f t="shared" si="27"/>
        <v>0</v>
      </c>
      <c r="P91" s="10">
        <f t="shared" si="28"/>
        <v>0</v>
      </c>
      <c r="Q91" s="10">
        <f t="shared" si="29"/>
        <v>0</v>
      </c>
      <c r="R91" s="10">
        <f t="shared" si="30"/>
        <v>0</v>
      </c>
      <c r="S91" s="10">
        <f t="shared" si="31"/>
        <v>0</v>
      </c>
      <c r="T91" s="10">
        <f t="shared" si="32"/>
        <v>0</v>
      </c>
      <c r="U91" s="10">
        <f t="shared" si="33"/>
        <v>0</v>
      </c>
      <c r="V91" s="10">
        <f t="shared" si="34"/>
        <v>0</v>
      </c>
    </row>
    <row r="92" spans="1:22" x14ac:dyDescent="0.2">
      <c r="A92" s="32">
        <v>4</v>
      </c>
      <c r="B92" s="33">
        <v>0.625</v>
      </c>
      <c r="C92" s="32">
        <f>'1900z'!E13</f>
        <v>11</v>
      </c>
      <c r="D92" s="32">
        <f>'1900z'!F13</f>
        <v>15</v>
      </c>
      <c r="E92" s="32">
        <f t="shared" si="35"/>
        <v>110</v>
      </c>
      <c r="F92" s="10">
        <f t="shared" si="36"/>
        <v>0</v>
      </c>
      <c r="G92" s="10">
        <f t="shared" si="37"/>
        <v>0</v>
      </c>
      <c r="H92" s="10">
        <f t="shared" si="20"/>
        <v>0</v>
      </c>
      <c r="I92" s="10">
        <f t="shared" si="21"/>
        <v>0</v>
      </c>
      <c r="J92" s="10">
        <f t="shared" si="22"/>
        <v>0</v>
      </c>
      <c r="K92" s="10">
        <f t="shared" si="23"/>
        <v>1</v>
      </c>
      <c r="L92" s="10">
        <f t="shared" si="24"/>
        <v>0</v>
      </c>
      <c r="M92" s="10">
        <f t="shared" si="25"/>
        <v>0</v>
      </c>
      <c r="N92" s="10">
        <f t="shared" si="26"/>
        <v>0</v>
      </c>
      <c r="O92" s="10">
        <f t="shared" si="27"/>
        <v>0</v>
      </c>
      <c r="P92" s="10">
        <f t="shared" si="28"/>
        <v>0</v>
      </c>
      <c r="Q92" s="10">
        <f t="shared" si="29"/>
        <v>0</v>
      </c>
      <c r="R92" s="10">
        <f t="shared" si="30"/>
        <v>0</v>
      </c>
      <c r="S92" s="10">
        <f t="shared" si="31"/>
        <v>0</v>
      </c>
      <c r="T92" s="10">
        <f t="shared" si="32"/>
        <v>0</v>
      </c>
      <c r="U92" s="10">
        <f t="shared" si="33"/>
        <v>0</v>
      </c>
      <c r="V92" s="10">
        <f t="shared" si="34"/>
        <v>0</v>
      </c>
    </row>
    <row r="93" spans="1:22" x14ac:dyDescent="0.2">
      <c r="A93" s="32">
        <v>4</v>
      </c>
      <c r="B93" s="33">
        <v>0.66666666666666696</v>
      </c>
      <c r="C93" s="32">
        <f>'2000z'!E13</f>
        <v>10</v>
      </c>
      <c r="D93" s="32">
        <f>'2000z'!F13</f>
        <v>15</v>
      </c>
      <c r="E93" s="32">
        <f t="shared" si="35"/>
        <v>100</v>
      </c>
      <c r="F93" s="10">
        <f t="shared" si="36"/>
        <v>0</v>
      </c>
      <c r="G93" s="10">
        <f t="shared" si="37"/>
        <v>0</v>
      </c>
      <c r="H93" s="10">
        <f t="shared" si="20"/>
        <v>0</v>
      </c>
      <c r="I93" s="10">
        <f t="shared" si="21"/>
        <v>0</v>
      </c>
      <c r="J93" s="10">
        <f t="shared" si="22"/>
        <v>1</v>
      </c>
      <c r="K93" s="10">
        <f t="shared" si="23"/>
        <v>0</v>
      </c>
      <c r="L93" s="10">
        <f t="shared" si="24"/>
        <v>0</v>
      </c>
      <c r="M93" s="10">
        <f t="shared" si="25"/>
        <v>0</v>
      </c>
      <c r="N93" s="10">
        <f t="shared" si="26"/>
        <v>0</v>
      </c>
      <c r="O93" s="10">
        <f t="shared" si="27"/>
        <v>0</v>
      </c>
      <c r="P93" s="10">
        <f t="shared" si="28"/>
        <v>0</v>
      </c>
      <c r="Q93" s="10">
        <f t="shared" si="29"/>
        <v>0</v>
      </c>
      <c r="R93" s="10">
        <f t="shared" si="30"/>
        <v>0</v>
      </c>
      <c r="S93" s="10">
        <f t="shared" si="31"/>
        <v>0</v>
      </c>
      <c r="T93" s="10">
        <f t="shared" si="32"/>
        <v>0</v>
      </c>
      <c r="U93" s="10">
        <f t="shared" si="33"/>
        <v>0</v>
      </c>
      <c r="V93" s="10">
        <f t="shared" si="34"/>
        <v>0</v>
      </c>
    </row>
    <row r="94" spans="1:22" x14ac:dyDescent="0.2">
      <c r="A94" s="32">
        <v>4</v>
      </c>
      <c r="B94" s="33">
        <v>0.70833333333333304</v>
      </c>
      <c r="C94" s="32">
        <f>'2100z'!E13</f>
        <v>8</v>
      </c>
      <c r="D94" s="32">
        <f>'2100z'!F13</f>
        <v>12</v>
      </c>
      <c r="E94" s="32">
        <f t="shared" si="35"/>
        <v>80</v>
      </c>
      <c r="F94" s="10">
        <f t="shared" si="36"/>
        <v>0</v>
      </c>
      <c r="G94" s="10">
        <f t="shared" si="37"/>
        <v>0</v>
      </c>
      <c r="H94" s="10">
        <f t="shared" si="20"/>
        <v>0</v>
      </c>
      <c r="I94" s="10">
        <f t="shared" si="21"/>
        <v>0</v>
      </c>
      <c r="J94" s="10">
        <f t="shared" si="22"/>
        <v>1</v>
      </c>
      <c r="K94" s="10">
        <f t="shared" si="23"/>
        <v>0</v>
      </c>
      <c r="L94" s="10">
        <f t="shared" si="24"/>
        <v>0</v>
      </c>
      <c r="M94" s="10">
        <f t="shared" si="25"/>
        <v>0</v>
      </c>
      <c r="N94" s="10">
        <f t="shared" si="26"/>
        <v>0</v>
      </c>
      <c r="O94" s="10">
        <f t="shared" si="27"/>
        <v>0</v>
      </c>
      <c r="P94" s="10">
        <f t="shared" si="28"/>
        <v>0</v>
      </c>
      <c r="Q94" s="10">
        <f t="shared" si="29"/>
        <v>0</v>
      </c>
      <c r="R94" s="10">
        <f t="shared" si="30"/>
        <v>0</v>
      </c>
      <c r="S94" s="10">
        <f t="shared" si="31"/>
        <v>0</v>
      </c>
      <c r="T94" s="10">
        <f t="shared" si="32"/>
        <v>0</v>
      </c>
      <c r="U94" s="10">
        <f t="shared" si="33"/>
        <v>0</v>
      </c>
      <c r="V94" s="10">
        <f t="shared" si="34"/>
        <v>0</v>
      </c>
    </row>
    <row r="95" spans="1:22" x14ac:dyDescent="0.2">
      <c r="A95" s="32">
        <v>4</v>
      </c>
      <c r="B95" s="33">
        <v>0.75</v>
      </c>
      <c r="C95" s="32">
        <f>'2200z'!E13</f>
        <v>11</v>
      </c>
      <c r="D95" s="32">
        <f>'2200z'!F13</f>
        <v>13</v>
      </c>
      <c r="E95" s="32">
        <f t="shared" si="35"/>
        <v>110</v>
      </c>
      <c r="F95" s="10">
        <f t="shared" si="36"/>
        <v>0</v>
      </c>
      <c r="G95" s="10">
        <f t="shared" si="37"/>
        <v>0</v>
      </c>
      <c r="H95" s="10">
        <f t="shared" si="20"/>
        <v>0</v>
      </c>
      <c r="I95" s="10">
        <f t="shared" si="21"/>
        <v>0</v>
      </c>
      <c r="J95" s="10">
        <f t="shared" si="22"/>
        <v>0</v>
      </c>
      <c r="K95" s="10">
        <f t="shared" si="23"/>
        <v>1</v>
      </c>
      <c r="L95" s="10">
        <f t="shared" si="24"/>
        <v>0</v>
      </c>
      <c r="M95" s="10">
        <f t="shared" si="25"/>
        <v>0</v>
      </c>
      <c r="N95" s="10">
        <f t="shared" si="26"/>
        <v>0</v>
      </c>
      <c r="O95" s="10">
        <f t="shared" si="27"/>
        <v>0</v>
      </c>
      <c r="P95" s="10">
        <f t="shared" si="28"/>
        <v>0</v>
      </c>
      <c r="Q95" s="10">
        <f t="shared" si="29"/>
        <v>0</v>
      </c>
      <c r="R95" s="10">
        <f t="shared" si="30"/>
        <v>0</v>
      </c>
      <c r="S95" s="10">
        <f t="shared" si="31"/>
        <v>0</v>
      </c>
      <c r="T95" s="10">
        <f t="shared" si="32"/>
        <v>0</v>
      </c>
      <c r="U95" s="10">
        <f t="shared" si="33"/>
        <v>0</v>
      </c>
      <c r="V95" s="10">
        <f t="shared" si="34"/>
        <v>0</v>
      </c>
    </row>
    <row r="96" spans="1:22" x14ac:dyDescent="0.2">
      <c r="A96" s="32">
        <v>4</v>
      </c>
      <c r="B96" s="33">
        <v>0.79166666666666696</v>
      </c>
      <c r="C96" s="32">
        <f>'2300z'!E13</f>
        <v>9</v>
      </c>
      <c r="D96" s="32">
        <f>'2300z'!F13</f>
        <v>13</v>
      </c>
      <c r="E96" s="32">
        <f t="shared" si="35"/>
        <v>90</v>
      </c>
      <c r="F96" s="10">
        <f t="shared" si="36"/>
        <v>0</v>
      </c>
      <c r="G96" s="10">
        <f t="shared" si="37"/>
        <v>0</v>
      </c>
      <c r="H96" s="10">
        <f t="shared" si="20"/>
        <v>0</v>
      </c>
      <c r="I96" s="10">
        <f t="shared" si="21"/>
        <v>0</v>
      </c>
      <c r="J96" s="10">
        <f t="shared" si="22"/>
        <v>1</v>
      </c>
      <c r="K96" s="10">
        <f t="shared" si="23"/>
        <v>0</v>
      </c>
      <c r="L96" s="10">
        <f t="shared" si="24"/>
        <v>0</v>
      </c>
      <c r="M96" s="10">
        <f t="shared" si="25"/>
        <v>0</v>
      </c>
      <c r="N96" s="10">
        <f t="shared" si="26"/>
        <v>0</v>
      </c>
      <c r="O96" s="10">
        <f t="shared" si="27"/>
        <v>0</v>
      </c>
      <c r="P96" s="10">
        <f t="shared" si="28"/>
        <v>0</v>
      </c>
      <c r="Q96" s="10">
        <f t="shared" si="29"/>
        <v>0</v>
      </c>
      <c r="R96" s="10">
        <f t="shared" si="30"/>
        <v>0</v>
      </c>
      <c r="S96" s="10">
        <f t="shared" si="31"/>
        <v>0</v>
      </c>
      <c r="T96" s="10">
        <f t="shared" si="32"/>
        <v>0</v>
      </c>
      <c r="U96" s="10">
        <f t="shared" si="33"/>
        <v>0</v>
      </c>
      <c r="V96" s="10">
        <f t="shared" si="34"/>
        <v>0</v>
      </c>
    </row>
    <row r="97" spans="1:22" x14ac:dyDescent="0.2">
      <c r="A97" s="32">
        <v>4</v>
      </c>
      <c r="B97" s="33">
        <v>0.83333333333333304</v>
      </c>
      <c r="C97" s="32">
        <f>'0000z'!E13</f>
        <v>9</v>
      </c>
      <c r="D97" s="32">
        <f>'0000z'!F13</f>
        <v>13</v>
      </c>
      <c r="E97" s="32">
        <f t="shared" si="35"/>
        <v>90</v>
      </c>
      <c r="F97" s="10">
        <f t="shared" si="36"/>
        <v>0</v>
      </c>
      <c r="G97" s="10">
        <f t="shared" si="37"/>
        <v>0</v>
      </c>
      <c r="H97" s="10">
        <f t="shared" si="20"/>
        <v>0</v>
      </c>
      <c r="I97" s="10">
        <f t="shared" si="21"/>
        <v>0</v>
      </c>
      <c r="J97" s="10">
        <f t="shared" si="22"/>
        <v>1</v>
      </c>
      <c r="K97" s="10">
        <f t="shared" si="23"/>
        <v>0</v>
      </c>
      <c r="L97" s="10">
        <f t="shared" si="24"/>
        <v>0</v>
      </c>
      <c r="M97" s="10">
        <f t="shared" si="25"/>
        <v>0</v>
      </c>
      <c r="N97" s="10">
        <f t="shared" si="26"/>
        <v>0</v>
      </c>
      <c r="O97" s="10">
        <f t="shared" si="27"/>
        <v>0</v>
      </c>
      <c r="P97" s="10">
        <f t="shared" si="28"/>
        <v>0</v>
      </c>
      <c r="Q97" s="10">
        <f t="shared" si="29"/>
        <v>0</v>
      </c>
      <c r="R97" s="10">
        <f t="shared" si="30"/>
        <v>0</v>
      </c>
      <c r="S97" s="10">
        <f t="shared" si="31"/>
        <v>0</v>
      </c>
      <c r="T97" s="10">
        <f t="shared" si="32"/>
        <v>0</v>
      </c>
      <c r="U97" s="10">
        <f t="shared" si="33"/>
        <v>0</v>
      </c>
      <c r="V97" s="10">
        <f t="shared" si="34"/>
        <v>0</v>
      </c>
    </row>
    <row r="98" spans="1:22" x14ac:dyDescent="0.2">
      <c r="A98" s="32">
        <v>4</v>
      </c>
      <c r="B98" s="33">
        <v>0.875</v>
      </c>
      <c r="C98" s="32">
        <f>'0100z'!E13</f>
        <v>10</v>
      </c>
      <c r="D98" s="32">
        <f>'0100z'!F13</f>
        <v>13</v>
      </c>
      <c r="E98" s="32">
        <f t="shared" si="35"/>
        <v>100</v>
      </c>
      <c r="F98" s="10">
        <f t="shared" si="36"/>
        <v>0</v>
      </c>
      <c r="G98" s="10">
        <f t="shared" si="37"/>
        <v>0</v>
      </c>
      <c r="H98" s="10">
        <f t="shared" si="20"/>
        <v>0</v>
      </c>
      <c r="I98" s="10">
        <f t="shared" si="21"/>
        <v>0</v>
      </c>
      <c r="J98" s="10">
        <f t="shared" si="22"/>
        <v>1</v>
      </c>
      <c r="K98" s="10">
        <f t="shared" si="23"/>
        <v>0</v>
      </c>
      <c r="L98" s="10">
        <f t="shared" si="24"/>
        <v>0</v>
      </c>
      <c r="M98" s="10">
        <f t="shared" si="25"/>
        <v>0</v>
      </c>
      <c r="N98" s="10">
        <f t="shared" si="26"/>
        <v>0</v>
      </c>
      <c r="O98" s="10">
        <f t="shared" si="27"/>
        <v>0</v>
      </c>
      <c r="P98" s="10">
        <f t="shared" si="28"/>
        <v>0</v>
      </c>
      <c r="Q98" s="10">
        <f t="shared" si="29"/>
        <v>0</v>
      </c>
      <c r="R98" s="10">
        <f t="shared" si="30"/>
        <v>0</v>
      </c>
      <c r="S98" s="10">
        <f t="shared" si="31"/>
        <v>0</v>
      </c>
      <c r="T98" s="10">
        <f t="shared" si="32"/>
        <v>0</v>
      </c>
      <c r="U98" s="10">
        <f t="shared" si="33"/>
        <v>0</v>
      </c>
      <c r="V98" s="10">
        <f t="shared" si="34"/>
        <v>0</v>
      </c>
    </row>
    <row r="99" spans="1:22" x14ac:dyDescent="0.2">
      <c r="A99" s="32">
        <v>4</v>
      </c>
      <c r="B99" s="33">
        <v>0.91666666666666696</v>
      </c>
      <c r="C99" s="32">
        <f>'0200z'!E13</f>
        <v>9</v>
      </c>
      <c r="D99" s="32">
        <f>'0200z'!F13</f>
        <v>13</v>
      </c>
      <c r="E99" s="32">
        <f t="shared" si="35"/>
        <v>90</v>
      </c>
      <c r="F99" s="10">
        <f t="shared" si="36"/>
        <v>0</v>
      </c>
      <c r="G99" s="10">
        <f t="shared" si="37"/>
        <v>0</v>
      </c>
      <c r="H99" s="10">
        <f t="shared" si="20"/>
        <v>0</v>
      </c>
      <c r="I99" s="10">
        <f t="shared" si="21"/>
        <v>0</v>
      </c>
      <c r="J99" s="10">
        <f t="shared" si="22"/>
        <v>1</v>
      </c>
      <c r="K99" s="10">
        <f t="shared" si="23"/>
        <v>0</v>
      </c>
      <c r="L99" s="10">
        <f t="shared" si="24"/>
        <v>0</v>
      </c>
      <c r="M99" s="10">
        <f t="shared" si="25"/>
        <v>0</v>
      </c>
      <c r="N99" s="10">
        <f t="shared" si="26"/>
        <v>0</v>
      </c>
      <c r="O99" s="10">
        <f t="shared" si="27"/>
        <v>0</v>
      </c>
      <c r="P99" s="10">
        <f t="shared" si="28"/>
        <v>0</v>
      </c>
      <c r="Q99" s="10">
        <f t="shared" si="29"/>
        <v>0</v>
      </c>
      <c r="R99" s="10">
        <f t="shared" si="30"/>
        <v>0</v>
      </c>
      <c r="S99" s="10">
        <f t="shared" si="31"/>
        <v>0</v>
      </c>
      <c r="T99" s="10">
        <f t="shared" si="32"/>
        <v>0</v>
      </c>
      <c r="U99" s="10">
        <f t="shared" si="33"/>
        <v>0</v>
      </c>
      <c r="V99" s="10">
        <f t="shared" si="34"/>
        <v>0</v>
      </c>
    </row>
    <row r="100" spans="1:22" x14ac:dyDescent="0.2">
      <c r="A100" s="32">
        <v>4</v>
      </c>
      <c r="B100" s="33">
        <v>0.95833333333333304</v>
      </c>
      <c r="C100" s="32">
        <f>'0300z'!E13</f>
        <v>10</v>
      </c>
      <c r="D100" s="32">
        <f>'0300z'!F13</f>
        <v>10</v>
      </c>
      <c r="E100" s="32">
        <f t="shared" si="35"/>
        <v>100</v>
      </c>
      <c r="F100" s="10">
        <f t="shared" si="36"/>
        <v>0</v>
      </c>
      <c r="G100" s="10">
        <f t="shared" si="37"/>
        <v>0</v>
      </c>
      <c r="H100" s="10">
        <f t="shared" si="20"/>
        <v>0</v>
      </c>
      <c r="I100" s="10">
        <f t="shared" si="21"/>
        <v>0</v>
      </c>
      <c r="J100" s="10">
        <f t="shared" si="22"/>
        <v>1</v>
      </c>
      <c r="K100" s="10">
        <f t="shared" si="23"/>
        <v>0</v>
      </c>
      <c r="L100" s="10">
        <f t="shared" si="24"/>
        <v>0</v>
      </c>
      <c r="M100" s="10">
        <f t="shared" si="25"/>
        <v>0</v>
      </c>
      <c r="N100" s="10">
        <f t="shared" si="26"/>
        <v>0</v>
      </c>
      <c r="O100" s="10">
        <f t="shared" si="27"/>
        <v>0</v>
      </c>
      <c r="P100" s="10">
        <f t="shared" si="28"/>
        <v>0</v>
      </c>
      <c r="Q100" s="10">
        <f t="shared" si="29"/>
        <v>0</v>
      </c>
      <c r="R100" s="10">
        <f t="shared" si="30"/>
        <v>0</v>
      </c>
      <c r="S100" s="10">
        <f t="shared" si="31"/>
        <v>0</v>
      </c>
      <c r="T100" s="10">
        <f t="shared" si="32"/>
        <v>0</v>
      </c>
      <c r="U100" s="10">
        <f t="shared" si="33"/>
        <v>0</v>
      </c>
      <c r="V100" s="10">
        <f t="shared" si="34"/>
        <v>0</v>
      </c>
    </row>
    <row r="101" spans="1:22" x14ac:dyDescent="0.2">
      <c r="A101" s="32">
        <v>5</v>
      </c>
      <c r="B101" s="33">
        <v>0</v>
      </c>
      <c r="C101" s="32">
        <f>'0400z'!E14</f>
        <v>8</v>
      </c>
      <c r="D101" s="32">
        <f>'0400z'!F14</f>
        <v>7</v>
      </c>
      <c r="E101" s="32">
        <f t="shared" si="35"/>
        <v>80</v>
      </c>
      <c r="F101" s="10">
        <f t="shared" si="36"/>
        <v>0</v>
      </c>
      <c r="G101" s="10">
        <f t="shared" si="37"/>
        <v>0</v>
      </c>
      <c r="H101" s="10">
        <f t="shared" si="20"/>
        <v>0</v>
      </c>
      <c r="I101" s="10">
        <f t="shared" si="21"/>
        <v>0</v>
      </c>
      <c r="J101" s="10">
        <f t="shared" si="22"/>
        <v>1</v>
      </c>
      <c r="K101" s="10">
        <f t="shared" si="23"/>
        <v>0</v>
      </c>
      <c r="L101" s="10">
        <f t="shared" si="24"/>
        <v>0</v>
      </c>
      <c r="M101" s="10">
        <f t="shared" si="25"/>
        <v>0</v>
      </c>
      <c r="N101" s="10">
        <f t="shared" si="26"/>
        <v>0</v>
      </c>
      <c r="O101" s="10">
        <f t="shared" si="27"/>
        <v>0</v>
      </c>
      <c r="P101" s="10">
        <f t="shared" si="28"/>
        <v>0</v>
      </c>
      <c r="Q101" s="10">
        <f t="shared" si="29"/>
        <v>0</v>
      </c>
      <c r="R101" s="10">
        <f t="shared" si="30"/>
        <v>0</v>
      </c>
      <c r="S101" s="10">
        <f t="shared" si="31"/>
        <v>0</v>
      </c>
      <c r="T101" s="10">
        <f t="shared" si="32"/>
        <v>0</v>
      </c>
      <c r="U101" s="10">
        <f t="shared" si="33"/>
        <v>0</v>
      </c>
      <c r="V101" s="10">
        <f t="shared" si="34"/>
        <v>0</v>
      </c>
    </row>
    <row r="102" spans="1:22" x14ac:dyDescent="0.2">
      <c r="A102" s="32">
        <v>5</v>
      </c>
      <c r="B102" s="33">
        <v>4.1666666666666664E-2</v>
      </c>
      <c r="C102" s="32">
        <f>'0500z'!E14</f>
        <v>10</v>
      </c>
      <c r="D102" s="32">
        <f>'0500z'!F14</f>
        <v>11</v>
      </c>
      <c r="E102" s="32">
        <f t="shared" si="35"/>
        <v>100</v>
      </c>
      <c r="F102" s="10">
        <f t="shared" si="36"/>
        <v>0</v>
      </c>
      <c r="G102" s="10">
        <f t="shared" si="37"/>
        <v>0</v>
      </c>
      <c r="H102" s="10">
        <f t="shared" si="20"/>
        <v>0</v>
      </c>
      <c r="I102" s="10">
        <f t="shared" si="21"/>
        <v>0</v>
      </c>
      <c r="J102" s="10">
        <f t="shared" si="22"/>
        <v>1</v>
      </c>
      <c r="K102" s="10">
        <f t="shared" si="23"/>
        <v>0</v>
      </c>
      <c r="L102" s="10">
        <f t="shared" si="24"/>
        <v>0</v>
      </c>
      <c r="M102" s="10">
        <f t="shared" si="25"/>
        <v>0</v>
      </c>
      <c r="N102" s="10">
        <f t="shared" si="26"/>
        <v>0</v>
      </c>
      <c r="O102" s="10">
        <f t="shared" si="27"/>
        <v>0</v>
      </c>
      <c r="P102" s="10">
        <f t="shared" si="28"/>
        <v>0</v>
      </c>
      <c r="Q102" s="10">
        <f t="shared" si="29"/>
        <v>0</v>
      </c>
      <c r="R102" s="10">
        <f t="shared" si="30"/>
        <v>0</v>
      </c>
      <c r="S102" s="10">
        <f t="shared" si="31"/>
        <v>0</v>
      </c>
      <c r="T102" s="10">
        <f t="shared" si="32"/>
        <v>0</v>
      </c>
      <c r="U102" s="10">
        <f t="shared" si="33"/>
        <v>0</v>
      </c>
      <c r="V102" s="10">
        <f t="shared" si="34"/>
        <v>0</v>
      </c>
    </row>
    <row r="103" spans="1:22" x14ac:dyDescent="0.2">
      <c r="A103" s="32">
        <v>5</v>
      </c>
      <c r="B103" s="33">
        <v>8.3333333333333329E-2</v>
      </c>
      <c r="C103" s="32">
        <f>'0600z'!E14</f>
        <v>11</v>
      </c>
      <c r="D103" s="32">
        <f>'0600z'!F14</f>
        <v>12</v>
      </c>
      <c r="E103" s="32">
        <f t="shared" si="35"/>
        <v>110</v>
      </c>
      <c r="F103" s="10">
        <f t="shared" si="36"/>
        <v>0</v>
      </c>
      <c r="G103" s="10">
        <f t="shared" si="37"/>
        <v>0</v>
      </c>
      <c r="H103" s="10">
        <f t="shared" si="20"/>
        <v>0</v>
      </c>
      <c r="I103" s="10">
        <f t="shared" si="21"/>
        <v>0</v>
      </c>
      <c r="J103" s="10">
        <f t="shared" si="22"/>
        <v>0</v>
      </c>
      <c r="K103" s="10">
        <f t="shared" si="23"/>
        <v>1</v>
      </c>
      <c r="L103" s="10">
        <f t="shared" si="24"/>
        <v>0</v>
      </c>
      <c r="M103" s="10">
        <f t="shared" si="25"/>
        <v>0</v>
      </c>
      <c r="N103" s="10">
        <f t="shared" si="26"/>
        <v>0</v>
      </c>
      <c r="O103" s="10">
        <f t="shared" si="27"/>
        <v>0</v>
      </c>
      <c r="P103" s="10">
        <f t="shared" si="28"/>
        <v>0</v>
      </c>
      <c r="Q103" s="10">
        <f t="shared" si="29"/>
        <v>0</v>
      </c>
      <c r="R103" s="10">
        <f t="shared" si="30"/>
        <v>0</v>
      </c>
      <c r="S103" s="10">
        <f t="shared" si="31"/>
        <v>0</v>
      </c>
      <c r="T103" s="10">
        <f t="shared" si="32"/>
        <v>0</v>
      </c>
      <c r="U103" s="10">
        <f t="shared" si="33"/>
        <v>0</v>
      </c>
      <c r="V103" s="10">
        <f t="shared" si="34"/>
        <v>0</v>
      </c>
    </row>
    <row r="104" spans="1:22" x14ac:dyDescent="0.2">
      <c r="A104" s="32">
        <v>5</v>
      </c>
      <c r="B104" s="33">
        <v>0.125</v>
      </c>
      <c r="C104" s="32">
        <f>'0700z'!E14</f>
        <v>10</v>
      </c>
      <c r="D104" s="32">
        <f>'0700z'!F14</f>
        <v>14</v>
      </c>
      <c r="E104" s="32">
        <f t="shared" si="35"/>
        <v>100</v>
      </c>
      <c r="F104" s="10">
        <f t="shared" si="36"/>
        <v>0</v>
      </c>
      <c r="G104" s="10">
        <f t="shared" si="37"/>
        <v>0</v>
      </c>
      <c r="H104" s="10">
        <f t="shared" si="20"/>
        <v>0</v>
      </c>
      <c r="I104" s="10">
        <f t="shared" si="21"/>
        <v>0</v>
      </c>
      <c r="J104" s="10">
        <f t="shared" si="22"/>
        <v>1</v>
      </c>
      <c r="K104" s="10">
        <f t="shared" si="23"/>
        <v>0</v>
      </c>
      <c r="L104" s="10">
        <f t="shared" si="24"/>
        <v>0</v>
      </c>
      <c r="M104" s="10">
        <f t="shared" si="25"/>
        <v>0</v>
      </c>
      <c r="N104" s="10">
        <f t="shared" si="26"/>
        <v>0</v>
      </c>
      <c r="O104" s="10">
        <f t="shared" si="27"/>
        <v>0</v>
      </c>
      <c r="P104" s="10">
        <f t="shared" si="28"/>
        <v>0</v>
      </c>
      <c r="Q104" s="10">
        <f t="shared" si="29"/>
        <v>0</v>
      </c>
      <c r="R104" s="10">
        <f t="shared" si="30"/>
        <v>0</v>
      </c>
      <c r="S104" s="10">
        <f t="shared" si="31"/>
        <v>0</v>
      </c>
      <c r="T104" s="10">
        <f t="shared" si="32"/>
        <v>0</v>
      </c>
      <c r="U104" s="10">
        <f t="shared" si="33"/>
        <v>0</v>
      </c>
      <c r="V104" s="10">
        <f t="shared" si="34"/>
        <v>0</v>
      </c>
    </row>
    <row r="105" spans="1:22" x14ac:dyDescent="0.2">
      <c r="A105" s="32">
        <v>5</v>
      </c>
      <c r="B105" s="33">
        <v>0.16666666666666699</v>
      </c>
      <c r="C105" s="32">
        <f>'0800z'!E14</f>
        <v>9</v>
      </c>
      <c r="D105" s="32">
        <f>'0800z'!F14</f>
        <v>12</v>
      </c>
      <c r="E105" s="32">
        <f t="shared" si="35"/>
        <v>90</v>
      </c>
      <c r="F105" s="10">
        <f t="shared" si="36"/>
        <v>0</v>
      </c>
      <c r="G105" s="10">
        <f t="shared" si="37"/>
        <v>0</v>
      </c>
      <c r="H105" s="10">
        <f t="shared" si="20"/>
        <v>0</v>
      </c>
      <c r="I105" s="10">
        <f t="shared" si="21"/>
        <v>0</v>
      </c>
      <c r="J105" s="10">
        <f t="shared" si="22"/>
        <v>1</v>
      </c>
      <c r="K105" s="10">
        <f t="shared" si="23"/>
        <v>0</v>
      </c>
      <c r="L105" s="10">
        <f t="shared" si="24"/>
        <v>0</v>
      </c>
      <c r="M105" s="10">
        <f t="shared" si="25"/>
        <v>0</v>
      </c>
      <c r="N105" s="10">
        <f t="shared" si="26"/>
        <v>0</v>
      </c>
      <c r="O105" s="10">
        <f t="shared" si="27"/>
        <v>0</v>
      </c>
      <c r="P105" s="10">
        <f t="shared" si="28"/>
        <v>0</v>
      </c>
      <c r="Q105" s="10">
        <f t="shared" si="29"/>
        <v>0</v>
      </c>
      <c r="R105" s="10">
        <f t="shared" si="30"/>
        <v>0</v>
      </c>
      <c r="S105" s="10">
        <f t="shared" si="31"/>
        <v>0</v>
      </c>
      <c r="T105" s="10">
        <f t="shared" si="32"/>
        <v>0</v>
      </c>
      <c r="U105" s="10">
        <f t="shared" si="33"/>
        <v>0</v>
      </c>
      <c r="V105" s="10">
        <f t="shared" si="34"/>
        <v>0</v>
      </c>
    </row>
    <row r="106" spans="1:22" x14ac:dyDescent="0.2">
      <c r="A106" s="32">
        <v>5</v>
      </c>
      <c r="B106" s="33">
        <v>0.20833333333333301</v>
      </c>
      <c r="C106" s="32">
        <f>'0900z'!E14</f>
        <v>10</v>
      </c>
      <c r="D106" s="32">
        <f>'0900z'!F14</f>
        <v>11</v>
      </c>
      <c r="E106" s="32">
        <f t="shared" si="35"/>
        <v>100</v>
      </c>
      <c r="F106" s="10">
        <f t="shared" si="36"/>
        <v>0</v>
      </c>
      <c r="G106" s="10">
        <f t="shared" si="37"/>
        <v>0</v>
      </c>
      <c r="H106" s="10">
        <f t="shared" si="20"/>
        <v>0</v>
      </c>
      <c r="I106" s="10">
        <f t="shared" si="21"/>
        <v>0</v>
      </c>
      <c r="J106" s="10">
        <f t="shared" si="22"/>
        <v>1</v>
      </c>
      <c r="K106" s="10">
        <f t="shared" si="23"/>
        <v>0</v>
      </c>
      <c r="L106" s="10">
        <f t="shared" si="24"/>
        <v>0</v>
      </c>
      <c r="M106" s="10">
        <f t="shared" si="25"/>
        <v>0</v>
      </c>
      <c r="N106" s="10">
        <f t="shared" si="26"/>
        <v>0</v>
      </c>
      <c r="O106" s="10">
        <f t="shared" si="27"/>
        <v>0</v>
      </c>
      <c r="P106" s="10">
        <f t="shared" si="28"/>
        <v>0</v>
      </c>
      <c r="Q106" s="10">
        <f t="shared" si="29"/>
        <v>0</v>
      </c>
      <c r="R106" s="10">
        <f t="shared" si="30"/>
        <v>0</v>
      </c>
      <c r="S106" s="10">
        <f t="shared" si="31"/>
        <v>0</v>
      </c>
      <c r="T106" s="10">
        <f t="shared" si="32"/>
        <v>0</v>
      </c>
      <c r="U106" s="10">
        <f t="shared" si="33"/>
        <v>0</v>
      </c>
      <c r="V106" s="10">
        <f t="shared" si="34"/>
        <v>0</v>
      </c>
    </row>
    <row r="107" spans="1:22" x14ac:dyDescent="0.2">
      <c r="A107" s="32">
        <v>5</v>
      </c>
      <c r="B107" s="33">
        <v>0.25</v>
      </c>
      <c r="C107" s="32">
        <f>'1000z'!E14</f>
        <v>10</v>
      </c>
      <c r="D107" s="32">
        <f>'1000z'!F14</f>
        <v>13</v>
      </c>
      <c r="E107" s="32">
        <f t="shared" si="35"/>
        <v>100</v>
      </c>
      <c r="F107" s="10">
        <f t="shared" si="36"/>
        <v>0</v>
      </c>
      <c r="G107" s="10">
        <f t="shared" si="37"/>
        <v>0</v>
      </c>
      <c r="H107" s="10">
        <f t="shared" si="20"/>
        <v>0</v>
      </c>
      <c r="I107" s="10">
        <f t="shared" si="21"/>
        <v>0</v>
      </c>
      <c r="J107" s="10">
        <f t="shared" si="22"/>
        <v>1</v>
      </c>
      <c r="K107" s="10">
        <f t="shared" si="23"/>
        <v>0</v>
      </c>
      <c r="L107" s="10">
        <f t="shared" si="24"/>
        <v>0</v>
      </c>
      <c r="M107" s="10">
        <f t="shared" si="25"/>
        <v>0</v>
      </c>
      <c r="N107" s="10">
        <f t="shared" si="26"/>
        <v>0</v>
      </c>
      <c r="O107" s="10">
        <f t="shared" si="27"/>
        <v>0</v>
      </c>
      <c r="P107" s="10">
        <f t="shared" si="28"/>
        <v>0</v>
      </c>
      <c r="Q107" s="10">
        <f t="shared" si="29"/>
        <v>0</v>
      </c>
      <c r="R107" s="10">
        <f t="shared" si="30"/>
        <v>0</v>
      </c>
      <c r="S107" s="10">
        <f t="shared" si="31"/>
        <v>0</v>
      </c>
      <c r="T107" s="10">
        <f t="shared" si="32"/>
        <v>0</v>
      </c>
      <c r="U107" s="10">
        <f t="shared" si="33"/>
        <v>0</v>
      </c>
      <c r="V107" s="10">
        <f t="shared" si="34"/>
        <v>0</v>
      </c>
    </row>
    <row r="108" spans="1:22" x14ac:dyDescent="0.2">
      <c r="A108" s="32">
        <v>5</v>
      </c>
      <c r="B108" s="33">
        <v>0.29166666666666702</v>
      </c>
      <c r="C108" s="32">
        <f>'1100z'!E14</f>
        <v>9</v>
      </c>
      <c r="D108" s="32">
        <f>'1100z'!F14</f>
        <v>12</v>
      </c>
      <c r="E108" s="32">
        <f t="shared" si="35"/>
        <v>90</v>
      </c>
      <c r="F108" s="10">
        <f t="shared" si="36"/>
        <v>0</v>
      </c>
      <c r="G108" s="10">
        <f t="shared" si="37"/>
        <v>0</v>
      </c>
      <c r="H108" s="10">
        <f t="shared" si="20"/>
        <v>0</v>
      </c>
      <c r="I108" s="10">
        <f t="shared" si="21"/>
        <v>0</v>
      </c>
      <c r="J108" s="10">
        <f t="shared" si="22"/>
        <v>1</v>
      </c>
      <c r="K108" s="10">
        <f t="shared" si="23"/>
        <v>0</v>
      </c>
      <c r="L108" s="10">
        <f t="shared" si="24"/>
        <v>0</v>
      </c>
      <c r="M108" s="10">
        <f t="shared" si="25"/>
        <v>0</v>
      </c>
      <c r="N108" s="10">
        <f t="shared" si="26"/>
        <v>0</v>
      </c>
      <c r="O108" s="10">
        <f t="shared" si="27"/>
        <v>0</v>
      </c>
      <c r="P108" s="10">
        <f t="shared" si="28"/>
        <v>0</v>
      </c>
      <c r="Q108" s="10">
        <f t="shared" si="29"/>
        <v>0</v>
      </c>
      <c r="R108" s="10">
        <f t="shared" si="30"/>
        <v>0</v>
      </c>
      <c r="S108" s="10">
        <f t="shared" si="31"/>
        <v>0</v>
      </c>
      <c r="T108" s="10">
        <f t="shared" si="32"/>
        <v>0</v>
      </c>
      <c r="U108" s="10">
        <f t="shared" si="33"/>
        <v>0</v>
      </c>
      <c r="V108" s="10">
        <f t="shared" si="34"/>
        <v>0</v>
      </c>
    </row>
    <row r="109" spans="1:22" x14ac:dyDescent="0.2">
      <c r="A109" s="32">
        <v>5</v>
      </c>
      <c r="B109" s="33">
        <v>0.33333333333333298</v>
      </c>
      <c r="C109" s="32">
        <f>'1200z'!E14</f>
        <v>10</v>
      </c>
      <c r="D109" s="32">
        <f>'1200z'!F14</f>
        <v>13</v>
      </c>
      <c r="E109" s="32">
        <f t="shared" si="35"/>
        <v>100</v>
      </c>
      <c r="F109" s="10">
        <f t="shared" si="36"/>
        <v>0</v>
      </c>
      <c r="G109" s="10">
        <f t="shared" si="37"/>
        <v>0</v>
      </c>
      <c r="H109" s="10">
        <f t="shared" si="20"/>
        <v>0</v>
      </c>
      <c r="I109" s="10">
        <f t="shared" si="21"/>
        <v>0</v>
      </c>
      <c r="J109" s="10">
        <f t="shared" si="22"/>
        <v>1</v>
      </c>
      <c r="K109" s="10">
        <f t="shared" si="23"/>
        <v>0</v>
      </c>
      <c r="L109" s="10">
        <f t="shared" si="24"/>
        <v>0</v>
      </c>
      <c r="M109" s="10">
        <f t="shared" si="25"/>
        <v>0</v>
      </c>
      <c r="N109" s="10">
        <f t="shared" si="26"/>
        <v>0</v>
      </c>
      <c r="O109" s="10">
        <f t="shared" si="27"/>
        <v>0</v>
      </c>
      <c r="P109" s="10">
        <f t="shared" si="28"/>
        <v>0</v>
      </c>
      <c r="Q109" s="10">
        <f t="shared" si="29"/>
        <v>0</v>
      </c>
      <c r="R109" s="10">
        <f t="shared" si="30"/>
        <v>0</v>
      </c>
      <c r="S109" s="10">
        <f t="shared" si="31"/>
        <v>0</v>
      </c>
      <c r="T109" s="10">
        <f t="shared" si="32"/>
        <v>0</v>
      </c>
      <c r="U109" s="10">
        <f t="shared" si="33"/>
        <v>0</v>
      </c>
      <c r="V109" s="10">
        <f t="shared" si="34"/>
        <v>0</v>
      </c>
    </row>
    <row r="110" spans="1:22" x14ac:dyDescent="0.2">
      <c r="A110" s="32">
        <v>5</v>
      </c>
      <c r="B110" s="33">
        <v>0.375</v>
      </c>
      <c r="C110" s="32">
        <f>'1300z'!E14</f>
        <v>10</v>
      </c>
      <c r="D110" s="32">
        <f>'1300z'!F14</f>
        <v>14</v>
      </c>
      <c r="E110" s="32">
        <f t="shared" si="35"/>
        <v>100</v>
      </c>
      <c r="F110" s="10">
        <f t="shared" si="36"/>
        <v>0</v>
      </c>
      <c r="G110" s="10">
        <f t="shared" si="37"/>
        <v>0</v>
      </c>
      <c r="H110" s="10">
        <f t="shared" si="20"/>
        <v>0</v>
      </c>
      <c r="I110" s="10">
        <f t="shared" si="21"/>
        <v>0</v>
      </c>
      <c r="J110" s="10">
        <f t="shared" si="22"/>
        <v>1</v>
      </c>
      <c r="K110" s="10">
        <f t="shared" si="23"/>
        <v>0</v>
      </c>
      <c r="L110" s="10">
        <f t="shared" si="24"/>
        <v>0</v>
      </c>
      <c r="M110" s="10">
        <f t="shared" si="25"/>
        <v>0</v>
      </c>
      <c r="N110" s="10">
        <f t="shared" si="26"/>
        <v>0</v>
      </c>
      <c r="O110" s="10">
        <f t="shared" si="27"/>
        <v>0</v>
      </c>
      <c r="P110" s="10">
        <f t="shared" si="28"/>
        <v>0</v>
      </c>
      <c r="Q110" s="10">
        <f t="shared" si="29"/>
        <v>0</v>
      </c>
      <c r="R110" s="10">
        <f t="shared" si="30"/>
        <v>0</v>
      </c>
      <c r="S110" s="10">
        <f t="shared" si="31"/>
        <v>0</v>
      </c>
      <c r="T110" s="10">
        <f t="shared" si="32"/>
        <v>0</v>
      </c>
      <c r="U110" s="10">
        <f t="shared" si="33"/>
        <v>0</v>
      </c>
      <c r="V110" s="10">
        <f t="shared" si="34"/>
        <v>0</v>
      </c>
    </row>
    <row r="111" spans="1:22" x14ac:dyDescent="0.2">
      <c r="A111" s="32">
        <v>5</v>
      </c>
      <c r="B111" s="33">
        <v>0.41666666666666702</v>
      </c>
      <c r="C111" s="32">
        <f>'1400z'!E14</f>
        <v>11</v>
      </c>
      <c r="D111" s="32">
        <f>'1400z'!F14</f>
        <v>13</v>
      </c>
      <c r="E111" s="32">
        <f t="shared" si="35"/>
        <v>110</v>
      </c>
      <c r="F111" s="10">
        <f t="shared" si="36"/>
        <v>0</v>
      </c>
      <c r="G111" s="10">
        <f t="shared" si="37"/>
        <v>0</v>
      </c>
      <c r="H111" s="10">
        <f t="shared" si="20"/>
        <v>0</v>
      </c>
      <c r="I111" s="10">
        <f t="shared" si="21"/>
        <v>0</v>
      </c>
      <c r="J111" s="10">
        <f t="shared" si="22"/>
        <v>0</v>
      </c>
      <c r="K111" s="10">
        <f t="shared" si="23"/>
        <v>1</v>
      </c>
      <c r="L111" s="10">
        <f t="shared" si="24"/>
        <v>0</v>
      </c>
      <c r="M111" s="10">
        <f t="shared" si="25"/>
        <v>0</v>
      </c>
      <c r="N111" s="10">
        <f t="shared" si="26"/>
        <v>0</v>
      </c>
      <c r="O111" s="10">
        <f t="shared" si="27"/>
        <v>0</v>
      </c>
      <c r="P111" s="10">
        <f t="shared" si="28"/>
        <v>0</v>
      </c>
      <c r="Q111" s="10">
        <f t="shared" si="29"/>
        <v>0</v>
      </c>
      <c r="R111" s="10">
        <f t="shared" si="30"/>
        <v>0</v>
      </c>
      <c r="S111" s="10">
        <f t="shared" si="31"/>
        <v>0</v>
      </c>
      <c r="T111" s="10">
        <f t="shared" si="32"/>
        <v>0</v>
      </c>
      <c r="U111" s="10">
        <f t="shared" si="33"/>
        <v>0</v>
      </c>
      <c r="V111" s="10">
        <f t="shared" si="34"/>
        <v>0</v>
      </c>
    </row>
    <row r="112" spans="1:22" x14ac:dyDescent="0.2">
      <c r="A112" s="32">
        <v>5</v>
      </c>
      <c r="B112" s="33">
        <v>0.45833333333333298</v>
      </c>
      <c r="C112" s="32">
        <f>'1500z'!E14</f>
        <v>12</v>
      </c>
      <c r="D112" s="32">
        <f>'1500z'!F14</f>
        <v>15</v>
      </c>
      <c r="E112" s="32">
        <f t="shared" si="35"/>
        <v>120</v>
      </c>
      <c r="F112" s="10">
        <f t="shared" si="36"/>
        <v>0</v>
      </c>
      <c r="G112" s="10">
        <f t="shared" si="37"/>
        <v>0</v>
      </c>
      <c r="H112" s="10">
        <f t="shared" si="20"/>
        <v>0</v>
      </c>
      <c r="I112" s="10">
        <f t="shared" si="21"/>
        <v>0</v>
      </c>
      <c r="J112" s="10">
        <f t="shared" si="22"/>
        <v>0</v>
      </c>
      <c r="K112" s="10">
        <f t="shared" si="23"/>
        <v>1</v>
      </c>
      <c r="L112" s="10">
        <f t="shared" si="24"/>
        <v>0</v>
      </c>
      <c r="M112" s="10">
        <f t="shared" si="25"/>
        <v>0</v>
      </c>
      <c r="N112" s="10">
        <f t="shared" si="26"/>
        <v>0</v>
      </c>
      <c r="O112" s="10">
        <f t="shared" si="27"/>
        <v>0</v>
      </c>
      <c r="P112" s="10">
        <f t="shared" si="28"/>
        <v>0</v>
      </c>
      <c r="Q112" s="10">
        <f t="shared" si="29"/>
        <v>0</v>
      </c>
      <c r="R112" s="10">
        <f t="shared" si="30"/>
        <v>0</v>
      </c>
      <c r="S112" s="10">
        <f t="shared" si="31"/>
        <v>0</v>
      </c>
      <c r="T112" s="10">
        <f t="shared" si="32"/>
        <v>0</v>
      </c>
      <c r="U112" s="10">
        <f t="shared" si="33"/>
        <v>0</v>
      </c>
      <c r="V112" s="10">
        <f t="shared" si="34"/>
        <v>0</v>
      </c>
    </row>
    <row r="113" spans="1:22" x14ac:dyDescent="0.2">
      <c r="A113" s="32">
        <v>5</v>
      </c>
      <c r="B113" s="33">
        <v>0.5</v>
      </c>
      <c r="C113" s="32">
        <f>'1600z'!E14</f>
        <v>12</v>
      </c>
      <c r="D113" s="32">
        <f>'1600z'!F14</f>
        <v>13</v>
      </c>
      <c r="E113" s="32">
        <f t="shared" si="35"/>
        <v>120</v>
      </c>
      <c r="F113" s="10">
        <f t="shared" si="36"/>
        <v>0</v>
      </c>
      <c r="G113" s="10">
        <f t="shared" si="37"/>
        <v>0</v>
      </c>
      <c r="H113" s="10">
        <f t="shared" si="20"/>
        <v>0</v>
      </c>
      <c r="I113" s="10">
        <f t="shared" si="21"/>
        <v>0</v>
      </c>
      <c r="J113" s="10">
        <f t="shared" si="22"/>
        <v>0</v>
      </c>
      <c r="K113" s="10">
        <f t="shared" si="23"/>
        <v>1</v>
      </c>
      <c r="L113" s="10">
        <f t="shared" si="24"/>
        <v>0</v>
      </c>
      <c r="M113" s="10">
        <f t="shared" si="25"/>
        <v>0</v>
      </c>
      <c r="N113" s="10">
        <f t="shared" si="26"/>
        <v>0</v>
      </c>
      <c r="O113" s="10">
        <f t="shared" si="27"/>
        <v>0</v>
      </c>
      <c r="P113" s="10">
        <f t="shared" si="28"/>
        <v>0</v>
      </c>
      <c r="Q113" s="10">
        <f t="shared" si="29"/>
        <v>0</v>
      </c>
      <c r="R113" s="10">
        <f t="shared" si="30"/>
        <v>0</v>
      </c>
      <c r="S113" s="10">
        <f t="shared" si="31"/>
        <v>0</v>
      </c>
      <c r="T113" s="10">
        <f t="shared" si="32"/>
        <v>0</v>
      </c>
      <c r="U113" s="10">
        <f t="shared" si="33"/>
        <v>0</v>
      </c>
      <c r="V113" s="10">
        <f t="shared" si="34"/>
        <v>0</v>
      </c>
    </row>
    <row r="114" spans="1:22" x14ac:dyDescent="0.2">
      <c r="A114" s="32">
        <v>5</v>
      </c>
      <c r="B114" s="33">
        <v>0.54166666666666696</v>
      </c>
      <c r="C114" s="32">
        <f>'1700z'!E14</f>
        <v>10</v>
      </c>
      <c r="D114" s="32">
        <f>'1700z'!F14</f>
        <v>14</v>
      </c>
      <c r="E114" s="32">
        <f t="shared" si="35"/>
        <v>100</v>
      </c>
      <c r="F114" s="10">
        <f t="shared" si="36"/>
        <v>0</v>
      </c>
      <c r="G114" s="10">
        <f t="shared" si="37"/>
        <v>0</v>
      </c>
      <c r="H114" s="10">
        <f t="shared" si="20"/>
        <v>0</v>
      </c>
      <c r="I114" s="10">
        <f t="shared" si="21"/>
        <v>0</v>
      </c>
      <c r="J114" s="10">
        <f t="shared" si="22"/>
        <v>1</v>
      </c>
      <c r="K114" s="10">
        <f t="shared" si="23"/>
        <v>0</v>
      </c>
      <c r="L114" s="10">
        <f t="shared" si="24"/>
        <v>0</v>
      </c>
      <c r="M114" s="10">
        <f t="shared" si="25"/>
        <v>0</v>
      </c>
      <c r="N114" s="10">
        <f t="shared" si="26"/>
        <v>0</v>
      </c>
      <c r="O114" s="10">
        <f t="shared" si="27"/>
        <v>0</v>
      </c>
      <c r="P114" s="10">
        <f t="shared" si="28"/>
        <v>0</v>
      </c>
      <c r="Q114" s="10">
        <f t="shared" si="29"/>
        <v>0</v>
      </c>
      <c r="R114" s="10">
        <f t="shared" si="30"/>
        <v>0</v>
      </c>
      <c r="S114" s="10">
        <f t="shared" si="31"/>
        <v>0</v>
      </c>
      <c r="T114" s="10">
        <f t="shared" si="32"/>
        <v>0</v>
      </c>
      <c r="U114" s="10">
        <f t="shared" si="33"/>
        <v>0</v>
      </c>
      <c r="V114" s="10">
        <f t="shared" si="34"/>
        <v>0</v>
      </c>
    </row>
    <row r="115" spans="1:22" x14ac:dyDescent="0.2">
      <c r="A115" s="32">
        <v>5</v>
      </c>
      <c r="B115" s="33">
        <v>0.58333333333333304</v>
      </c>
      <c r="C115" s="32">
        <f>'1800z'!E14</f>
        <v>10</v>
      </c>
      <c r="D115" s="32">
        <f>'1800z'!F14</f>
        <v>14</v>
      </c>
      <c r="E115" s="32">
        <f t="shared" si="35"/>
        <v>100</v>
      </c>
      <c r="F115" s="10">
        <f t="shared" si="36"/>
        <v>0</v>
      </c>
      <c r="G115" s="10">
        <f t="shared" si="37"/>
        <v>0</v>
      </c>
      <c r="H115" s="10">
        <f t="shared" si="20"/>
        <v>0</v>
      </c>
      <c r="I115" s="10">
        <f t="shared" si="21"/>
        <v>0</v>
      </c>
      <c r="J115" s="10">
        <f t="shared" si="22"/>
        <v>1</v>
      </c>
      <c r="K115" s="10">
        <f t="shared" si="23"/>
        <v>0</v>
      </c>
      <c r="L115" s="10">
        <f t="shared" si="24"/>
        <v>0</v>
      </c>
      <c r="M115" s="10">
        <f t="shared" si="25"/>
        <v>0</v>
      </c>
      <c r="N115" s="10">
        <f t="shared" si="26"/>
        <v>0</v>
      </c>
      <c r="O115" s="10">
        <f t="shared" si="27"/>
        <v>0</v>
      </c>
      <c r="P115" s="10">
        <f t="shared" si="28"/>
        <v>0</v>
      </c>
      <c r="Q115" s="10">
        <f t="shared" si="29"/>
        <v>0</v>
      </c>
      <c r="R115" s="10">
        <f t="shared" si="30"/>
        <v>0</v>
      </c>
      <c r="S115" s="10">
        <f t="shared" si="31"/>
        <v>0</v>
      </c>
      <c r="T115" s="10">
        <f t="shared" si="32"/>
        <v>0</v>
      </c>
      <c r="U115" s="10">
        <f t="shared" si="33"/>
        <v>0</v>
      </c>
      <c r="V115" s="10">
        <f t="shared" si="34"/>
        <v>0</v>
      </c>
    </row>
    <row r="116" spans="1:22" x14ac:dyDescent="0.2">
      <c r="A116" s="32">
        <v>5</v>
      </c>
      <c r="B116" s="33">
        <v>0.625</v>
      </c>
      <c r="C116" s="32">
        <f>'1900z'!E14</f>
        <v>11</v>
      </c>
      <c r="D116" s="32">
        <f>'1900z'!F14</f>
        <v>14</v>
      </c>
      <c r="E116" s="32">
        <f t="shared" si="35"/>
        <v>110</v>
      </c>
      <c r="F116" s="10">
        <f t="shared" si="36"/>
        <v>0</v>
      </c>
      <c r="G116" s="10">
        <f t="shared" si="37"/>
        <v>0</v>
      </c>
      <c r="H116" s="10">
        <f t="shared" si="20"/>
        <v>0</v>
      </c>
      <c r="I116" s="10">
        <f t="shared" si="21"/>
        <v>0</v>
      </c>
      <c r="J116" s="10">
        <f t="shared" si="22"/>
        <v>0</v>
      </c>
      <c r="K116" s="10">
        <f t="shared" si="23"/>
        <v>1</v>
      </c>
      <c r="L116" s="10">
        <f t="shared" si="24"/>
        <v>0</v>
      </c>
      <c r="M116" s="10">
        <f t="shared" si="25"/>
        <v>0</v>
      </c>
      <c r="N116" s="10">
        <f t="shared" si="26"/>
        <v>0</v>
      </c>
      <c r="O116" s="10">
        <f t="shared" si="27"/>
        <v>0</v>
      </c>
      <c r="P116" s="10">
        <f t="shared" si="28"/>
        <v>0</v>
      </c>
      <c r="Q116" s="10">
        <f t="shared" si="29"/>
        <v>0</v>
      </c>
      <c r="R116" s="10">
        <f t="shared" si="30"/>
        <v>0</v>
      </c>
      <c r="S116" s="10">
        <f t="shared" si="31"/>
        <v>0</v>
      </c>
      <c r="T116" s="10">
        <f t="shared" si="32"/>
        <v>0</v>
      </c>
      <c r="U116" s="10">
        <f t="shared" si="33"/>
        <v>0</v>
      </c>
      <c r="V116" s="10">
        <f t="shared" si="34"/>
        <v>0</v>
      </c>
    </row>
    <row r="117" spans="1:22" x14ac:dyDescent="0.2">
      <c r="A117" s="32">
        <v>5</v>
      </c>
      <c r="B117" s="33">
        <v>0.66666666666666696</v>
      </c>
      <c r="C117" s="32">
        <f>'2000z'!E14</f>
        <v>9</v>
      </c>
      <c r="D117" s="32">
        <f>'2000z'!F14</f>
        <v>12</v>
      </c>
      <c r="E117" s="32">
        <f t="shared" si="35"/>
        <v>90</v>
      </c>
      <c r="F117" s="10">
        <f t="shared" si="36"/>
        <v>0</v>
      </c>
      <c r="G117" s="10">
        <f t="shared" si="37"/>
        <v>0</v>
      </c>
      <c r="H117" s="10">
        <f t="shared" si="20"/>
        <v>0</v>
      </c>
      <c r="I117" s="10">
        <f t="shared" si="21"/>
        <v>0</v>
      </c>
      <c r="J117" s="10">
        <f t="shared" si="22"/>
        <v>1</v>
      </c>
      <c r="K117" s="10">
        <f t="shared" si="23"/>
        <v>0</v>
      </c>
      <c r="L117" s="10">
        <f t="shared" si="24"/>
        <v>0</v>
      </c>
      <c r="M117" s="10">
        <f t="shared" si="25"/>
        <v>0</v>
      </c>
      <c r="N117" s="10">
        <f t="shared" si="26"/>
        <v>0</v>
      </c>
      <c r="O117" s="10">
        <f t="shared" si="27"/>
        <v>0</v>
      </c>
      <c r="P117" s="10">
        <f t="shared" si="28"/>
        <v>0</v>
      </c>
      <c r="Q117" s="10">
        <f t="shared" si="29"/>
        <v>0</v>
      </c>
      <c r="R117" s="10">
        <f t="shared" si="30"/>
        <v>0</v>
      </c>
      <c r="S117" s="10">
        <f t="shared" si="31"/>
        <v>0</v>
      </c>
      <c r="T117" s="10">
        <f t="shared" si="32"/>
        <v>0</v>
      </c>
      <c r="U117" s="10">
        <f t="shared" si="33"/>
        <v>0</v>
      </c>
      <c r="V117" s="10">
        <f t="shared" si="34"/>
        <v>0</v>
      </c>
    </row>
    <row r="118" spans="1:22" x14ac:dyDescent="0.2">
      <c r="A118" s="32">
        <v>5</v>
      </c>
      <c r="B118" s="33">
        <v>0.70833333333333304</v>
      </c>
      <c r="C118" s="32">
        <f>'2100z'!E14</f>
        <v>9</v>
      </c>
      <c r="D118" s="32">
        <f>'2100z'!F14</f>
        <v>14</v>
      </c>
      <c r="E118" s="32">
        <f t="shared" si="35"/>
        <v>90</v>
      </c>
      <c r="F118" s="10">
        <f t="shared" si="36"/>
        <v>0</v>
      </c>
      <c r="G118" s="10">
        <f t="shared" si="37"/>
        <v>0</v>
      </c>
      <c r="H118" s="10">
        <f t="shared" si="20"/>
        <v>0</v>
      </c>
      <c r="I118" s="10">
        <f t="shared" si="21"/>
        <v>0</v>
      </c>
      <c r="J118" s="10">
        <f t="shared" si="22"/>
        <v>1</v>
      </c>
      <c r="K118" s="10">
        <f t="shared" si="23"/>
        <v>0</v>
      </c>
      <c r="L118" s="10">
        <f t="shared" si="24"/>
        <v>0</v>
      </c>
      <c r="M118" s="10">
        <f t="shared" si="25"/>
        <v>0</v>
      </c>
      <c r="N118" s="10">
        <f t="shared" si="26"/>
        <v>0</v>
      </c>
      <c r="O118" s="10">
        <f t="shared" si="27"/>
        <v>0</v>
      </c>
      <c r="P118" s="10">
        <f t="shared" si="28"/>
        <v>0</v>
      </c>
      <c r="Q118" s="10">
        <f t="shared" si="29"/>
        <v>0</v>
      </c>
      <c r="R118" s="10">
        <f t="shared" si="30"/>
        <v>0</v>
      </c>
      <c r="S118" s="10">
        <f t="shared" si="31"/>
        <v>0</v>
      </c>
      <c r="T118" s="10">
        <f t="shared" si="32"/>
        <v>0</v>
      </c>
      <c r="U118" s="10">
        <f t="shared" si="33"/>
        <v>0</v>
      </c>
      <c r="V118" s="10">
        <f t="shared" si="34"/>
        <v>0</v>
      </c>
    </row>
    <row r="119" spans="1:22" x14ac:dyDescent="0.2">
      <c r="A119" s="32">
        <v>5</v>
      </c>
      <c r="B119" s="33">
        <v>0.75</v>
      </c>
      <c r="C119" s="32">
        <f>'2200z'!E14</f>
        <v>9</v>
      </c>
      <c r="D119" s="32">
        <f>'2200z'!F14</f>
        <v>10</v>
      </c>
      <c r="E119" s="32">
        <f t="shared" si="35"/>
        <v>90</v>
      </c>
      <c r="F119" s="10">
        <f t="shared" si="36"/>
        <v>0</v>
      </c>
      <c r="G119" s="10">
        <f t="shared" si="37"/>
        <v>0</v>
      </c>
      <c r="H119" s="10">
        <f t="shared" si="20"/>
        <v>0</v>
      </c>
      <c r="I119" s="10">
        <f t="shared" si="21"/>
        <v>0</v>
      </c>
      <c r="J119" s="10">
        <f t="shared" si="22"/>
        <v>1</v>
      </c>
      <c r="K119" s="10">
        <f t="shared" si="23"/>
        <v>0</v>
      </c>
      <c r="L119" s="10">
        <f t="shared" si="24"/>
        <v>0</v>
      </c>
      <c r="M119" s="10">
        <f t="shared" si="25"/>
        <v>0</v>
      </c>
      <c r="N119" s="10">
        <f t="shared" si="26"/>
        <v>0</v>
      </c>
      <c r="O119" s="10">
        <f t="shared" si="27"/>
        <v>0</v>
      </c>
      <c r="P119" s="10">
        <f t="shared" si="28"/>
        <v>0</v>
      </c>
      <c r="Q119" s="10">
        <f t="shared" si="29"/>
        <v>0</v>
      </c>
      <c r="R119" s="10">
        <f t="shared" si="30"/>
        <v>0</v>
      </c>
      <c r="S119" s="10">
        <f t="shared" si="31"/>
        <v>0</v>
      </c>
      <c r="T119" s="10">
        <f t="shared" si="32"/>
        <v>0</v>
      </c>
      <c r="U119" s="10">
        <f t="shared" si="33"/>
        <v>0</v>
      </c>
      <c r="V119" s="10">
        <f t="shared" si="34"/>
        <v>0</v>
      </c>
    </row>
    <row r="120" spans="1:22" x14ac:dyDescent="0.2">
      <c r="A120" s="32">
        <v>5</v>
      </c>
      <c r="B120" s="33">
        <v>0.79166666666666696</v>
      </c>
      <c r="C120" s="32">
        <f>'2300z'!E14</f>
        <v>10</v>
      </c>
      <c r="D120" s="32">
        <f>'2300z'!F14</f>
        <v>13</v>
      </c>
      <c r="E120" s="32">
        <f t="shared" si="35"/>
        <v>100</v>
      </c>
      <c r="F120" s="10">
        <f t="shared" si="36"/>
        <v>0</v>
      </c>
      <c r="G120" s="10">
        <f t="shared" si="37"/>
        <v>0</v>
      </c>
      <c r="H120" s="10">
        <f t="shared" si="20"/>
        <v>0</v>
      </c>
      <c r="I120" s="10">
        <f t="shared" si="21"/>
        <v>0</v>
      </c>
      <c r="J120" s="10">
        <f t="shared" si="22"/>
        <v>1</v>
      </c>
      <c r="K120" s="10">
        <f t="shared" si="23"/>
        <v>0</v>
      </c>
      <c r="L120" s="10">
        <f t="shared" si="24"/>
        <v>0</v>
      </c>
      <c r="M120" s="10">
        <f t="shared" si="25"/>
        <v>0</v>
      </c>
      <c r="N120" s="10">
        <f t="shared" si="26"/>
        <v>0</v>
      </c>
      <c r="O120" s="10">
        <f t="shared" si="27"/>
        <v>0</v>
      </c>
      <c r="P120" s="10">
        <f t="shared" si="28"/>
        <v>0</v>
      </c>
      <c r="Q120" s="10">
        <f t="shared" si="29"/>
        <v>0</v>
      </c>
      <c r="R120" s="10">
        <f t="shared" si="30"/>
        <v>0</v>
      </c>
      <c r="S120" s="10">
        <f t="shared" si="31"/>
        <v>0</v>
      </c>
      <c r="T120" s="10">
        <f t="shared" si="32"/>
        <v>0</v>
      </c>
      <c r="U120" s="10">
        <f t="shared" si="33"/>
        <v>0</v>
      </c>
      <c r="V120" s="10">
        <f t="shared" si="34"/>
        <v>0</v>
      </c>
    </row>
    <row r="121" spans="1:22" x14ac:dyDescent="0.2">
      <c r="A121" s="32">
        <v>5</v>
      </c>
      <c r="B121" s="33">
        <v>0.83333333333333304</v>
      </c>
      <c r="C121" s="32">
        <f>'0000z'!E14</f>
        <v>8</v>
      </c>
      <c r="D121" s="32">
        <f>'0000z'!F14</f>
        <v>11</v>
      </c>
      <c r="E121" s="32">
        <f t="shared" si="35"/>
        <v>80</v>
      </c>
      <c r="F121" s="10">
        <f t="shared" si="36"/>
        <v>0</v>
      </c>
      <c r="G121" s="10">
        <f t="shared" si="37"/>
        <v>0</v>
      </c>
      <c r="H121" s="10">
        <f t="shared" si="20"/>
        <v>0</v>
      </c>
      <c r="I121" s="10">
        <f t="shared" si="21"/>
        <v>0</v>
      </c>
      <c r="J121" s="10">
        <f t="shared" si="22"/>
        <v>1</v>
      </c>
      <c r="K121" s="10">
        <f t="shared" si="23"/>
        <v>0</v>
      </c>
      <c r="L121" s="10">
        <f t="shared" si="24"/>
        <v>0</v>
      </c>
      <c r="M121" s="10">
        <f t="shared" si="25"/>
        <v>0</v>
      </c>
      <c r="N121" s="10">
        <f t="shared" si="26"/>
        <v>0</v>
      </c>
      <c r="O121" s="10">
        <f t="shared" si="27"/>
        <v>0</v>
      </c>
      <c r="P121" s="10">
        <f t="shared" si="28"/>
        <v>0</v>
      </c>
      <c r="Q121" s="10">
        <f t="shared" si="29"/>
        <v>0</v>
      </c>
      <c r="R121" s="10">
        <f t="shared" si="30"/>
        <v>0</v>
      </c>
      <c r="S121" s="10">
        <f t="shared" si="31"/>
        <v>0</v>
      </c>
      <c r="T121" s="10">
        <f t="shared" si="32"/>
        <v>0</v>
      </c>
      <c r="U121" s="10">
        <f t="shared" si="33"/>
        <v>0</v>
      </c>
      <c r="V121" s="10">
        <f t="shared" si="34"/>
        <v>0</v>
      </c>
    </row>
    <row r="122" spans="1:22" x14ac:dyDescent="0.2">
      <c r="A122" s="32">
        <v>5</v>
      </c>
      <c r="B122" s="33">
        <v>0.875</v>
      </c>
      <c r="C122" s="32">
        <f>'0100z'!E14</f>
        <v>8</v>
      </c>
      <c r="D122" s="32">
        <f>'0100z'!F14</f>
        <v>12</v>
      </c>
      <c r="E122" s="32">
        <f t="shared" si="35"/>
        <v>80</v>
      </c>
      <c r="F122" s="10">
        <f t="shared" si="36"/>
        <v>0</v>
      </c>
      <c r="G122" s="10">
        <f t="shared" si="37"/>
        <v>0</v>
      </c>
      <c r="H122" s="10">
        <f t="shared" si="20"/>
        <v>0</v>
      </c>
      <c r="I122" s="10">
        <f t="shared" si="21"/>
        <v>0</v>
      </c>
      <c r="J122" s="10">
        <f t="shared" si="22"/>
        <v>1</v>
      </c>
      <c r="K122" s="10">
        <f t="shared" si="23"/>
        <v>0</v>
      </c>
      <c r="L122" s="10">
        <f t="shared" si="24"/>
        <v>0</v>
      </c>
      <c r="M122" s="10">
        <f t="shared" si="25"/>
        <v>0</v>
      </c>
      <c r="N122" s="10">
        <f t="shared" si="26"/>
        <v>0</v>
      </c>
      <c r="O122" s="10">
        <f t="shared" si="27"/>
        <v>0</v>
      </c>
      <c r="P122" s="10">
        <f t="shared" si="28"/>
        <v>0</v>
      </c>
      <c r="Q122" s="10">
        <f t="shared" si="29"/>
        <v>0</v>
      </c>
      <c r="R122" s="10">
        <f t="shared" si="30"/>
        <v>0</v>
      </c>
      <c r="S122" s="10">
        <f t="shared" si="31"/>
        <v>0</v>
      </c>
      <c r="T122" s="10">
        <f t="shared" si="32"/>
        <v>0</v>
      </c>
      <c r="U122" s="10">
        <f t="shared" si="33"/>
        <v>0</v>
      </c>
      <c r="V122" s="10">
        <f t="shared" si="34"/>
        <v>0</v>
      </c>
    </row>
    <row r="123" spans="1:22" x14ac:dyDescent="0.2">
      <c r="A123" s="32">
        <v>5</v>
      </c>
      <c r="B123" s="33">
        <v>0.91666666666666696</v>
      </c>
      <c r="C123" s="32">
        <f>'0200z'!E14</f>
        <v>9</v>
      </c>
      <c r="D123" s="32">
        <f>'0200z'!F14</f>
        <v>12</v>
      </c>
      <c r="E123" s="32">
        <f t="shared" si="35"/>
        <v>90</v>
      </c>
      <c r="F123" s="10">
        <f t="shared" si="36"/>
        <v>0</v>
      </c>
      <c r="G123" s="10">
        <f t="shared" si="37"/>
        <v>0</v>
      </c>
      <c r="H123" s="10">
        <f t="shared" si="20"/>
        <v>0</v>
      </c>
      <c r="I123" s="10">
        <f t="shared" si="21"/>
        <v>0</v>
      </c>
      <c r="J123" s="10">
        <f t="shared" si="22"/>
        <v>1</v>
      </c>
      <c r="K123" s="10">
        <f t="shared" si="23"/>
        <v>0</v>
      </c>
      <c r="L123" s="10">
        <f t="shared" si="24"/>
        <v>0</v>
      </c>
      <c r="M123" s="10">
        <f t="shared" si="25"/>
        <v>0</v>
      </c>
      <c r="N123" s="10">
        <f t="shared" si="26"/>
        <v>0</v>
      </c>
      <c r="O123" s="10">
        <f t="shared" si="27"/>
        <v>0</v>
      </c>
      <c r="P123" s="10">
        <f t="shared" si="28"/>
        <v>0</v>
      </c>
      <c r="Q123" s="10">
        <f t="shared" si="29"/>
        <v>0</v>
      </c>
      <c r="R123" s="10">
        <f t="shared" si="30"/>
        <v>0</v>
      </c>
      <c r="S123" s="10">
        <f t="shared" si="31"/>
        <v>0</v>
      </c>
      <c r="T123" s="10">
        <f t="shared" si="32"/>
        <v>0</v>
      </c>
      <c r="U123" s="10">
        <f t="shared" si="33"/>
        <v>0</v>
      </c>
      <c r="V123" s="10">
        <f t="shared" si="34"/>
        <v>0</v>
      </c>
    </row>
    <row r="124" spans="1:22" x14ac:dyDescent="0.2">
      <c r="A124" s="32">
        <v>5</v>
      </c>
      <c r="B124" s="33">
        <v>0.95833333333333304</v>
      </c>
      <c r="C124" s="32">
        <f>'0300z'!E14</f>
        <v>9</v>
      </c>
      <c r="D124" s="32">
        <f>'0300z'!F14</f>
        <v>11</v>
      </c>
      <c r="E124" s="32">
        <f t="shared" si="35"/>
        <v>90</v>
      </c>
      <c r="F124" s="10">
        <f t="shared" si="36"/>
        <v>0</v>
      </c>
      <c r="G124" s="10">
        <f t="shared" si="37"/>
        <v>0</v>
      </c>
      <c r="H124" s="10">
        <f t="shared" si="20"/>
        <v>0</v>
      </c>
      <c r="I124" s="10">
        <f t="shared" si="21"/>
        <v>0</v>
      </c>
      <c r="J124" s="10">
        <f t="shared" si="22"/>
        <v>1</v>
      </c>
      <c r="K124" s="10">
        <f t="shared" si="23"/>
        <v>0</v>
      </c>
      <c r="L124" s="10">
        <f t="shared" si="24"/>
        <v>0</v>
      </c>
      <c r="M124" s="10">
        <f t="shared" si="25"/>
        <v>0</v>
      </c>
      <c r="N124" s="10">
        <f t="shared" si="26"/>
        <v>0</v>
      </c>
      <c r="O124" s="10">
        <f t="shared" si="27"/>
        <v>0</v>
      </c>
      <c r="P124" s="10">
        <f t="shared" si="28"/>
        <v>0</v>
      </c>
      <c r="Q124" s="10">
        <f t="shared" si="29"/>
        <v>0</v>
      </c>
      <c r="R124" s="10">
        <f t="shared" si="30"/>
        <v>0</v>
      </c>
      <c r="S124" s="10">
        <f t="shared" si="31"/>
        <v>0</v>
      </c>
      <c r="T124" s="10">
        <f t="shared" si="32"/>
        <v>0</v>
      </c>
      <c r="U124" s="10">
        <f t="shared" si="33"/>
        <v>0</v>
      </c>
      <c r="V124" s="10">
        <f t="shared" si="34"/>
        <v>0</v>
      </c>
    </row>
    <row r="125" spans="1:22" x14ac:dyDescent="0.2">
      <c r="A125" s="32">
        <v>6</v>
      </c>
      <c r="B125" s="33">
        <v>0</v>
      </c>
      <c r="C125" s="32">
        <f>'0400z'!E15</f>
        <v>10</v>
      </c>
      <c r="D125" s="32">
        <f>'0400z'!F15</f>
        <v>15</v>
      </c>
      <c r="E125" s="32">
        <f t="shared" si="35"/>
        <v>100</v>
      </c>
      <c r="F125" s="10">
        <f t="shared" si="36"/>
        <v>0</v>
      </c>
      <c r="G125" s="10">
        <f t="shared" si="37"/>
        <v>0</v>
      </c>
      <c r="H125" s="10">
        <f t="shared" si="20"/>
        <v>0</v>
      </c>
      <c r="I125" s="10">
        <f t="shared" si="21"/>
        <v>0</v>
      </c>
      <c r="J125" s="10">
        <f t="shared" si="22"/>
        <v>1</v>
      </c>
      <c r="K125" s="10">
        <f t="shared" si="23"/>
        <v>0</v>
      </c>
      <c r="L125" s="10">
        <f t="shared" si="24"/>
        <v>0</v>
      </c>
      <c r="M125" s="10">
        <f t="shared" si="25"/>
        <v>0</v>
      </c>
      <c r="N125" s="10">
        <f t="shared" si="26"/>
        <v>0</v>
      </c>
      <c r="O125" s="10">
        <f t="shared" si="27"/>
        <v>0</v>
      </c>
      <c r="P125" s="10">
        <f t="shared" si="28"/>
        <v>0</v>
      </c>
      <c r="Q125" s="10">
        <f t="shared" si="29"/>
        <v>0</v>
      </c>
      <c r="R125" s="10">
        <f t="shared" si="30"/>
        <v>0</v>
      </c>
      <c r="S125" s="10">
        <f t="shared" si="31"/>
        <v>0</v>
      </c>
      <c r="T125" s="10">
        <f t="shared" si="32"/>
        <v>0</v>
      </c>
      <c r="U125" s="10">
        <f t="shared" si="33"/>
        <v>0</v>
      </c>
      <c r="V125" s="10">
        <f t="shared" si="34"/>
        <v>0</v>
      </c>
    </row>
    <row r="126" spans="1:22" x14ac:dyDescent="0.2">
      <c r="A126" s="32">
        <v>6</v>
      </c>
      <c r="B126" s="33">
        <v>4.1666666666666664E-2</v>
      </c>
      <c r="C126" s="32">
        <f>'0500z'!E15</f>
        <v>10</v>
      </c>
      <c r="D126" s="32">
        <f>'0500z'!F15</f>
        <v>15</v>
      </c>
      <c r="E126" s="32">
        <f t="shared" si="35"/>
        <v>100</v>
      </c>
      <c r="F126" s="10">
        <f t="shared" si="36"/>
        <v>0</v>
      </c>
      <c r="G126" s="10">
        <f t="shared" si="37"/>
        <v>0</v>
      </c>
      <c r="H126" s="10">
        <f t="shared" si="20"/>
        <v>0</v>
      </c>
      <c r="I126" s="10">
        <f t="shared" si="21"/>
        <v>0</v>
      </c>
      <c r="J126" s="10">
        <f t="shared" si="22"/>
        <v>1</v>
      </c>
      <c r="K126" s="10">
        <f t="shared" si="23"/>
        <v>0</v>
      </c>
      <c r="L126" s="10">
        <f t="shared" si="24"/>
        <v>0</v>
      </c>
      <c r="M126" s="10">
        <f t="shared" si="25"/>
        <v>0</v>
      </c>
      <c r="N126" s="10">
        <f t="shared" si="26"/>
        <v>0</v>
      </c>
      <c r="O126" s="10">
        <f t="shared" si="27"/>
        <v>0</v>
      </c>
      <c r="P126" s="10">
        <f t="shared" si="28"/>
        <v>0</v>
      </c>
      <c r="Q126" s="10">
        <f t="shared" si="29"/>
        <v>0</v>
      </c>
      <c r="R126" s="10">
        <f t="shared" si="30"/>
        <v>0</v>
      </c>
      <c r="S126" s="10">
        <f t="shared" si="31"/>
        <v>0</v>
      </c>
      <c r="T126" s="10">
        <f t="shared" si="32"/>
        <v>0</v>
      </c>
      <c r="U126" s="10">
        <f t="shared" si="33"/>
        <v>0</v>
      </c>
      <c r="V126" s="10">
        <f t="shared" si="34"/>
        <v>0</v>
      </c>
    </row>
    <row r="127" spans="1:22" x14ac:dyDescent="0.2">
      <c r="A127" s="32">
        <v>6</v>
      </c>
      <c r="B127" s="33">
        <v>8.3333333333333329E-2</v>
      </c>
      <c r="C127" s="32">
        <f>'0600z'!E15</f>
        <v>11</v>
      </c>
      <c r="D127" s="32">
        <f>'0600z'!F15</f>
        <v>15</v>
      </c>
      <c r="E127" s="32">
        <f t="shared" si="35"/>
        <v>110</v>
      </c>
      <c r="F127" s="10">
        <f t="shared" si="36"/>
        <v>0</v>
      </c>
      <c r="G127" s="10">
        <f t="shared" si="37"/>
        <v>0</v>
      </c>
      <c r="H127" s="10">
        <f t="shared" si="20"/>
        <v>0</v>
      </c>
      <c r="I127" s="10">
        <f t="shared" si="21"/>
        <v>0</v>
      </c>
      <c r="J127" s="10">
        <f t="shared" si="22"/>
        <v>0</v>
      </c>
      <c r="K127" s="10">
        <f t="shared" si="23"/>
        <v>1</v>
      </c>
      <c r="L127" s="10">
        <f t="shared" si="24"/>
        <v>0</v>
      </c>
      <c r="M127" s="10">
        <f t="shared" si="25"/>
        <v>0</v>
      </c>
      <c r="N127" s="10">
        <f t="shared" si="26"/>
        <v>0</v>
      </c>
      <c r="O127" s="10">
        <f t="shared" si="27"/>
        <v>0</v>
      </c>
      <c r="P127" s="10">
        <f t="shared" si="28"/>
        <v>0</v>
      </c>
      <c r="Q127" s="10">
        <f t="shared" si="29"/>
        <v>0</v>
      </c>
      <c r="R127" s="10">
        <f t="shared" si="30"/>
        <v>0</v>
      </c>
      <c r="S127" s="10">
        <f t="shared" si="31"/>
        <v>0</v>
      </c>
      <c r="T127" s="10">
        <f t="shared" si="32"/>
        <v>0</v>
      </c>
      <c r="U127" s="10">
        <f t="shared" si="33"/>
        <v>0</v>
      </c>
      <c r="V127" s="10">
        <f t="shared" si="34"/>
        <v>0</v>
      </c>
    </row>
    <row r="128" spans="1:22" x14ac:dyDescent="0.2">
      <c r="A128" s="32">
        <v>6</v>
      </c>
      <c r="B128" s="33">
        <v>0.125</v>
      </c>
      <c r="C128" s="32">
        <f>'0700z'!E15</f>
        <v>10</v>
      </c>
      <c r="D128" s="32">
        <f>'0700z'!F15</f>
        <v>15</v>
      </c>
      <c r="E128" s="32">
        <f t="shared" si="35"/>
        <v>100</v>
      </c>
      <c r="F128" s="10">
        <f t="shared" si="36"/>
        <v>0</v>
      </c>
      <c r="G128" s="10">
        <f t="shared" si="37"/>
        <v>0</v>
      </c>
      <c r="H128" s="10">
        <f t="shared" si="20"/>
        <v>0</v>
      </c>
      <c r="I128" s="10">
        <f t="shared" si="21"/>
        <v>0</v>
      </c>
      <c r="J128" s="10">
        <f t="shared" si="22"/>
        <v>1</v>
      </c>
      <c r="K128" s="10">
        <f t="shared" si="23"/>
        <v>0</v>
      </c>
      <c r="L128" s="10">
        <f t="shared" si="24"/>
        <v>0</v>
      </c>
      <c r="M128" s="10">
        <f t="shared" si="25"/>
        <v>0</v>
      </c>
      <c r="N128" s="10">
        <f t="shared" si="26"/>
        <v>0</v>
      </c>
      <c r="O128" s="10">
        <f t="shared" si="27"/>
        <v>0</v>
      </c>
      <c r="P128" s="10">
        <f t="shared" si="28"/>
        <v>0</v>
      </c>
      <c r="Q128" s="10">
        <f t="shared" si="29"/>
        <v>0</v>
      </c>
      <c r="R128" s="10">
        <f t="shared" si="30"/>
        <v>0</v>
      </c>
      <c r="S128" s="10">
        <f t="shared" si="31"/>
        <v>0</v>
      </c>
      <c r="T128" s="10">
        <f t="shared" si="32"/>
        <v>0</v>
      </c>
      <c r="U128" s="10">
        <f t="shared" si="33"/>
        <v>0</v>
      </c>
      <c r="V128" s="10">
        <f t="shared" si="34"/>
        <v>0</v>
      </c>
    </row>
    <row r="129" spans="1:22" x14ac:dyDescent="0.2">
      <c r="A129" s="32">
        <v>6</v>
      </c>
      <c r="B129" s="33">
        <v>0.16666666666666699</v>
      </c>
      <c r="C129" s="32">
        <f>'0800z'!E15</f>
        <v>10</v>
      </c>
      <c r="D129" s="32">
        <f>'0800z'!F15</f>
        <v>14</v>
      </c>
      <c r="E129" s="32">
        <f t="shared" si="35"/>
        <v>100</v>
      </c>
      <c r="F129" s="10">
        <f t="shared" si="36"/>
        <v>0</v>
      </c>
      <c r="G129" s="10">
        <f t="shared" si="37"/>
        <v>0</v>
      </c>
      <c r="H129" s="10">
        <f t="shared" si="20"/>
        <v>0</v>
      </c>
      <c r="I129" s="10">
        <f t="shared" si="21"/>
        <v>0</v>
      </c>
      <c r="J129" s="10">
        <f t="shared" si="22"/>
        <v>1</v>
      </c>
      <c r="K129" s="10">
        <f t="shared" si="23"/>
        <v>0</v>
      </c>
      <c r="L129" s="10">
        <f t="shared" si="24"/>
        <v>0</v>
      </c>
      <c r="M129" s="10">
        <f t="shared" si="25"/>
        <v>0</v>
      </c>
      <c r="N129" s="10">
        <f t="shared" si="26"/>
        <v>0</v>
      </c>
      <c r="O129" s="10">
        <f t="shared" si="27"/>
        <v>0</v>
      </c>
      <c r="P129" s="10">
        <f t="shared" si="28"/>
        <v>0</v>
      </c>
      <c r="Q129" s="10">
        <f t="shared" si="29"/>
        <v>0</v>
      </c>
      <c r="R129" s="10">
        <f t="shared" si="30"/>
        <v>0</v>
      </c>
      <c r="S129" s="10">
        <f t="shared" si="31"/>
        <v>0</v>
      </c>
      <c r="T129" s="10">
        <f t="shared" si="32"/>
        <v>0</v>
      </c>
      <c r="U129" s="10">
        <f t="shared" si="33"/>
        <v>0</v>
      </c>
      <c r="V129" s="10">
        <f t="shared" si="34"/>
        <v>0</v>
      </c>
    </row>
    <row r="130" spans="1:22" x14ac:dyDescent="0.2">
      <c r="A130" s="32">
        <v>6</v>
      </c>
      <c r="B130" s="33">
        <v>0.20833333333333301</v>
      </c>
      <c r="C130" s="32">
        <f>'0900z'!E15</f>
        <v>9</v>
      </c>
      <c r="D130" s="32">
        <f>'0900z'!F15</f>
        <v>14</v>
      </c>
      <c r="E130" s="32">
        <f t="shared" si="35"/>
        <v>90</v>
      </c>
      <c r="F130" s="10">
        <f t="shared" si="36"/>
        <v>0</v>
      </c>
      <c r="G130" s="10">
        <f t="shared" si="37"/>
        <v>0</v>
      </c>
      <c r="H130" s="10">
        <f t="shared" si="20"/>
        <v>0</v>
      </c>
      <c r="I130" s="10">
        <f t="shared" si="21"/>
        <v>0</v>
      </c>
      <c r="J130" s="10">
        <f t="shared" si="22"/>
        <v>1</v>
      </c>
      <c r="K130" s="10">
        <f t="shared" si="23"/>
        <v>0</v>
      </c>
      <c r="L130" s="10">
        <f t="shared" si="24"/>
        <v>0</v>
      </c>
      <c r="M130" s="10">
        <f t="shared" si="25"/>
        <v>0</v>
      </c>
      <c r="N130" s="10">
        <f t="shared" si="26"/>
        <v>0</v>
      </c>
      <c r="O130" s="10">
        <f t="shared" si="27"/>
        <v>0</v>
      </c>
      <c r="P130" s="10">
        <f t="shared" si="28"/>
        <v>0</v>
      </c>
      <c r="Q130" s="10">
        <f t="shared" si="29"/>
        <v>0</v>
      </c>
      <c r="R130" s="10">
        <f t="shared" si="30"/>
        <v>0</v>
      </c>
      <c r="S130" s="10">
        <f t="shared" si="31"/>
        <v>0</v>
      </c>
      <c r="T130" s="10">
        <f t="shared" si="32"/>
        <v>0</v>
      </c>
      <c r="U130" s="10">
        <f t="shared" si="33"/>
        <v>0</v>
      </c>
      <c r="V130" s="10">
        <f t="shared" si="34"/>
        <v>0</v>
      </c>
    </row>
    <row r="131" spans="1:22" x14ac:dyDescent="0.2">
      <c r="A131" s="32">
        <v>6</v>
      </c>
      <c r="B131" s="33">
        <v>0.25</v>
      </c>
      <c r="C131" s="32">
        <f>'1000z'!E15</f>
        <v>10</v>
      </c>
      <c r="D131" s="32">
        <f>'1000z'!F15</f>
        <v>14</v>
      </c>
      <c r="E131" s="32">
        <f t="shared" si="35"/>
        <v>100</v>
      </c>
      <c r="F131" s="10">
        <f t="shared" si="36"/>
        <v>0</v>
      </c>
      <c r="G131" s="10">
        <f t="shared" si="37"/>
        <v>0</v>
      </c>
      <c r="H131" s="10">
        <f t="shared" si="20"/>
        <v>0</v>
      </c>
      <c r="I131" s="10">
        <f t="shared" si="21"/>
        <v>0</v>
      </c>
      <c r="J131" s="10">
        <f t="shared" si="22"/>
        <v>1</v>
      </c>
      <c r="K131" s="10">
        <f t="shared" si="23"/>
        <v>0</v>
      </c>
      <c r="L131" s="10">
        <f t="shared" si="24"/>
        <v>0</v>
      </c>
      <c r="M131" s="10">
        <f t="shared" si="25"/>
        <v>0</v>
      </c>
      <c r="N131" s="10">
        <f t="shared" si="26"/>
        <v>0</v>
      </c>
      <c r="O131" s="10">
        <f t="shared" si="27"/>
        <v>0</v>
      </c>
      <c r="P131" s="10">
        <f t="shared" si="28"/>
        <v>0</v>
      </c>
      <c r="Q131" s="10">
        <f t="shared" si="29"/>
        <v>0</v>
      </c>
      <c r="R131" s="10">
        <f t="shared" si="30"/>
        <v>0</v>
      </c>
      <c r="S131" s="10">
        <f t="shared" si="31"/>
        <v>0</v>
      </c>
      <c r="T131" s="10">
        <f t="shared" si="32"/>
        <v>0</v>
      </c>
      <c r="U131" s="10">
        <f t="shared" si="33"/>
        <v>0</v>
      </c>
      <c r="V131" s="10">
        <f t="shared" si="34"/>
        <v>0</v>
      </c>
    </row>
    <row r="132" spans="1:22" x14ac:dyDescent="0.2">
      <c r="A132" s="32">
        <v>6</v>
      </c>
      <c r="B132" s="33">
        <v>0.29166666666666702</v>
      </c>
      <c r="C132" s="32">
        <f>'1100z'!E15</f>
        <v>9</v>
      </c>
      <c r="D132" s="32">
        <f>'1100z'!F15</f>
        <v>18</v>
      </c>
      <c r="E132" s="32">
        <f t="shared" si="35"/>
        <v>90</v>
      </c>
      <c r="F132" s="10">
        <f t="shared" si="36"/>
        <v>0</v>
      </c>
      <c r="G132" s="10">
        <f t="shared" si="37"/>
        <v>0</v>
      </c>
      <c r="H132" s="10">
        <f t="shared" si="20"/>
        <v>0</v>
      </c>
      <c r="I132" s="10">
        <f t="shared" si="21"/>
        <v>0</v>
      </c>
      <c r="J132" s="10">
        <f t="shared" si="22"/>
        <v>1</v>
      </c>
      <c r="K132" s="10">
        <f t="shared" si="23"/>
        <v>0</v>
      </c>
      <c r="L132" s="10">
        <f t="shared" si="24"/>
        <v>0</v>
      </c>
      <c r="M132" s="10">
        <f t="shared" si="25"/>
        <v>0</v>
      </c>
      <c r="N132" s="10">
        <f t="shared" si="26"/>
        <v>0</v>
      </c>
      <c r="O132" s="10">
        <f t="shared" si="27"/>
        <v>0</v>
      </c>
      <c r="P132" s="10">
        <f t="shared" si="28"/>
        <v>0</v>
      </c>
      <c r="Q132" s="10">
        <f t="shared" si="29"/>
        <v>0</v>
      </c>
      <c r="R132" s="10">
        <f t="shared" si="30"/>
        <v>0</v>
      </c>
      <c r="S132" s="10">
        <f t="shared" si="31"/>
        <v>0</v>
      </c>
      <c r="T132" s="10">
        <f t="shared" si="32"/>
        <v>0</v>
      </c>
      <c r="U132" s="10">
        <f t="shared" si="33"/>
        <v>0</v>
      </c>
      <c r="V132" s="10">
        <f t="shared" si="34"/>
        <v>0</v>
      </c>
    </row>
    <row r="133" spans="1:22" x14ac:dyDescent="0.2">
      <c r="A133" s="32">
        <v>6</v>
      </c>
      <c r="B133" s="33">
        <v>0.33333333333333298</v>
      </c>
      <c r="C133" s="32">
        <f>'1200z'!E15</f>
        <v>9</v>
      </c>
      <c r="D133" s="32">
        <f>'1200z'!F15</f>
        <v>18</v>
      </c>
      <c r="E133" s="32">
        <f t="shared" si="35"/>
        <v>90</v>
      </c>
      <c r="F133" s="10">
        <f t="shared" si="36"/>
        <v>0</v>
      </c>
      <c r="G133" s="10">
        <f t="shared" si="37"/>
        <v>0</v>
      </c>
      <c r="H133" s="10">
        <f t="shared" si="20"/>
        <v>0</v>
      </c>
      <c r="I133" s="10">
        <f t="shared" si="21"/>
        <v>0</v>
      </c>
      <c r="J133" s="10">
        <f t="shared" si="22"/>
        <v>1</v>
      </c>
      <c r="K133" s="10">
        <f t="shared" si="23"/>
        <v>0</v>
      </c>
      <c r="L133" s="10">
        <f t="shared" si="24"/>
        <v>0</v>
      </c>
      <c r="M133" s="10">
        <f t="shared" si="25"/>
        <v>0</v>
      </c>
      <c r="N133" s="10">
        <f t="shared" si="26"/>
        <v>0</v>
      </c>
      <c r="O133" s="10">
        <f t="shared" si="27"/>
        <v>0</v>
      </c>
      <c r="P133" s="10">
        <f t="shared" si="28"/>
        <v>0</v>
      </c>
      <c r="Q133" s="10">
        <f t="shared" si="29"/>
        <v>0</v>
      </c>
      <c r="R133" s="10">
        <f t="shared" si="30"/>
        <v>0</v>
      </c>
      <c r="S133" s="10">
        <f t="shared" si="31"/>
        <v>0</v>
      </c>
      <c r="T133" s="10">
        <f t="shared" si="32"/>
        <v>0</v>
      </c>
      <c r="U133" s="10">
        <f t="shared" si="33"/>
        <v>0</v>
      </c>
      <c r="V133" s="10">
        <f t="shared" si="34"/>
        <v>0</v>
      </c>
    </row>
    <row r="134" spans="1:22" x14ac:dyDescent="0.2">
      <c r="A134" s="32">
        <v>6</v>
      </c>
      <c r="B134" s="33">
        <v>0.375</v>
      </c>
      <c r="C134" s="32">
        <f>'1300z'!E15</f>
        <v>9</v>
      </c>
      <c r="D134" s="32">
        <f>'1300z'!F15</f>
        <v>15</v>
      </c>
      <c r="E134" s="32">
        <f t="shared" si="35"/>
        <v>90</v>
      </c>
      <c r="F134" s="10">
        <f t="shared" si="36"/>
        <v>0</v>
      </c>
      <c r="G134" s="10">
        <f t="shared" si="37"/>
        <v>0</v>
      </c>
      <c r="H134" s="10">
        <f t="shared" ref="H134:H197" si="38">IF(E134&gt;33.75,IF(E134&lt;=56.25,1,0),0)</f>
        <v>0</v>
      </c>
      <c r="I134" s="10">
        <f t="shared" ref="I134:I197" si="39">IF(E134&gt;56.25,IF(E134&lt;=78.75,1,0),0)</f>
        <v>0</v>
      </c>
      <c r="J134" s="10">
        <f t="shared" ref="J134:J197" si="40">IF(E134&gt;78.75,IF(E134&lt;=101.25,1,0),0)</f>
        <v>1</v>
      </c>
      <c r="K134" s="10">
        <f t="shared" ref="K134:K197" si="41">IF(E134&gt;101.25,IF(E134&lt;=123.75,1,0),0)</f>
        <v>0</v>
      </c>
      <c r="L134" s="10">
        <f t="shared" ref="L134:L197" si="42">IF(E134&gt;123.75,IF(E134&lt;=146.25,1,0),0)</f>
        <v>0</v>
      </c>
      <c r="M134" s="10">
        <f t="shared" ref="M134:M197" si="43">IF(E134&gt;146.25,IF(E134&lt;=168.75,1,0),0)</f>
        <v>0</v>
      </c>
      <c r="N134" s="10">
        <f t="shared" ref="N134:N197" si="44">IF(E134&gt;168.75,IF(E134&lt;=191.25,1,0),0)</f>
        <v>0</v>
      </c>
      <c r="O134" s="10">
        <f t="shared" ref="O134:O197" si="45">IF(E134&gt;191.25,IF(E134&lt;=213.75,1,0),0)</f>
        <v>0</v>
      </c>
      <c r="P134" s="10">
        <f t="shared" ref="P134:P197" si="46">IF(E134&gt;213.75,IF(E134&lt;=236.25,1,0),0)</f>
        <v>0</v>
      </c>
      <c r="Q134" s="10">
        <f t="shared" ref="Q134:Q197" si="47">IF(E134&gt;236.25,IF(E134&lt;=258.75,1,0),0)</f>
        <v>0</v>
      </c>
      <c r="R134" s="10">
        <f t="shared" ref="R134:R197" si="48">IF(E134&gt;258.75,IF(E134&lt;=281.25,1,0),0)</f>
        <v>0</v>
      </c>
      <c r="S134" s="10">
        <f t="shared" ref="S134:S197" si="49">IF(E134&gt;281.25,IF(E134&lt;=303.75,1,0),0)</f>
        <v>0</v>
      </c>
      <c r="T134" s="10">
        <f t="shared" ref="T134:T197" si="50">IF(E134&gt;303.75,IF(E134&lt;=326.25,1,0),0)</f>
        <v>0</v>
      </c>
      <c r="U134" s="10">
        <f t="shared" ref="U134:U197" si="51">IF(E134&gt;326.25,IF(E134&lt;=348.75,1,0),0)</f>
        <v>0</v>
      </c>
      <c r="V134" s="10">
        <f t="shared" ref="V134:V197" si="52">IF(E134&gt;348.75,IF(E134&lt;=360,1,0),0)</f>
        <v>0</v>
      </c>
    </row>
    <row r="135" spans="1:22" x14ac:dyDescent="0.2">
      <c r="A135" s="32">
        <v>6</v>
      </c>
      <c r="B135" s="33">
        <v>0.41666666666666702</v>
      </c>
      <c r="C135" s="32">
        <f>'1400z'!E15</f>
        <v>9</v>
      </c>
      <c r="D135" s="32">
        <f>'1400z'!F15</f>
        <v>21</v>
      </c>
      <c r="E135" s="32">
        <f t="shared" ref="E135:E198" si="53">(C135*10)</f>
        <v>90</v>
      </c>
      <c r="F135" s="10">
        <f t="shared" ref="F135:F198" si="54">IF(E135&gt;0,IF(E135&lt;=11.25,1,0),0)</f>
        <v>0</v>
      </c>
      <c r="G135" s="10">
        <f t="shared" ref="G135:G198" si="55">IF(E135&gt;11.25,IF(E135&lt;=33.75,1,0),0)</f>
        <v>0</v>
      </c>
      <c r="H135" s="10">
        <f t="shared" si="38"/>
        <v>0</v>
      </c>
      <c r="I135" s="10">
        <f t="shared" si="39"/>
        <v>0</v>
      </c>
      <c r="J135" s="10">
        <f t="shared" si="40"/>
        <v>1</v>
      </c>
      <c r="K135" s="10">
        <f t="shared" si="41"/>
        <v>0</v>
      </c>
      <c r="L135" s="10">
        <f t="shared" si="42"/>
        <v>0</v>
      </c>
      <c r="M135" s="10">
        <f t="shared" si="43"/>
        <v>0</v>
      </c>
      <c r="N135" s="10">
        <f t="shared" si="44"/>
        <v>0</v>
      </c>
      <c r="O135" s="10">
        <f t="shared" si="45"/>
        <v>0</v>
      </c>
      <c r="P135" s="10">
        <f t="shared" si="46"/>
        <v>0</v>
      </c>
      <c r="Q135" s="10">
        <f t="shared" si="47"/>
        <v>0</v>
      </c>
      <c r="R135" s="10">
        <f t="shared" si="48"/>
        <v>0</v>
      </c>
      <c r="S135" s="10">
        <f t="shared" si="49"/>
        <v>0</v>
      </c>
      <c r="T135" s="10">
        <f t="shared" si="50"/>
        <v>0</v>
      </c>
      <c r="U135" s="10">
        <f t="shared" si="51"/>
        <v>0</v>
      </c>
      <c r="V135" s="10">
        <f t="shared" si="52"/>
        <v>0</v>
      </c>
    </row>
    <row r="136" spans="1:22" x14ac:dyDescent="0.2">
      <c r="A136" s="32">
        <v>6</v>
      </c>
      <c r="B136" s="33">
        <v>0.45833333333333298</v>
      </c>
      <c r="C136" s="32">
        <f>'1500z'!E15</f>
        <v>12</v>
      </c>
      <c r="D136" s="32">
        <f>'1500z'!F15</f>
        <v>16</v>
      </c>
      <c r="E136" s="32">
        <f t="shared" si="53"/>
        <v>120</v>
      </c>
      <c r="F136" s="10">
        <f t="shared" si="54"/>
        <v>0</v>
      </c>
      <c r="G136" s="10">
        <f t="shared" si="55"/>
        <v>0</v>
      </c>
      <c r="H136" s="10">
        <f t="shared" si="38"/>
        <v>0</v>
      </c>
      <c r="I136" s="10">
        <f t="shared" si="39"/>
        <v>0</v>
      </c>
      <c r="J136" s="10">
        <f t="shared" si="40"/>
        <v>0</v>
      </c>
      <c r="K136" s="10">
        <f t="shared" si="41"/>
        <v>1</v>
      </c>
      <c r="L136" s="10">
        <f t="shared" si="42"/>
        <v>0</v>
      </c>
      <c r="M136" s="10">
        <f t="shared" si="43"/>
        <v>0</v>
      </c>
      <c r="N136" s="10">
        <f t="shared" si="44"/>
        <v>0</v>
      </c>
      <c r="O136" s="10">
        <f t="shared" si="45"/>
        <v>0</v>
      </c>
      <c r="P136" s="10">
        <f t="shared" si="46"/>
        <v>0</v>
      </c>
      <c r="Q136" s="10">
        <f t="shared" si="47"/>
        <v>0</v>
      </c>
      <c r="R136" s="10">
        <f t="shared" si="48"/>
        <v>0</v>
      </c>
      <c r="S136" s="10">
        <f t="shared" si="49"/>
        <v>0</v>
      </c>
      <c r="T136" s="10">
        <f t="shared" si="50"/>
        <v>0</v>
      </c>
      <c r="U136" s="10">
        <f t="shared" si="51"/>
        <v>0</v>
      </c>
      <c r="V136" s="10">
        <f t="shared" si="52"/>
        <v>0</v>
      </c>
    </row>
    <row r="137" spans="1:22" x14ac:dyDescent="0.2">
      <c r="A137" s="32">
        <v>6</v>
      </c>
      <c r="B137" s="33">
        <v>0.5</v>
      </c>
      <c r="C137" s="32">
        <f>'1600z'!E15</f>
        <v>12</v>
      </c>
      <c r="D137" s="32">
        <f>'1600z'!F15</f>
        <v>15</v>
      </c>
      <c r="E137" s="32">
        <f t="shared" si="53"/>
        <v>120</v>
      </c>
      <c r="F137" s="10">
        <f t="shared" si="54"/>
        <v>0</v>
      </c>
      <c r="G137" s="10">
        <f t="shared" si="55"/>
        <v>0</v>
      </c>
      <c r="H137" s="10">
        <f t="shared" si="38"/>
        <v>0</v>
      </c>
      <c r="I137" s="10">
        <f t="shared" si="39"/>
        <v>0</v>
      </c>
      <c r="J137" s="10">
        <f t="shared" si="40"/>
        <v>0</v>
      </c>
      <c r="K137" s="10">
        <f t="shared" si="41"/>
        <v>1</v>
      </c>
      <c r="L137" s="10">
        <f t="shared" si="42"/>
        <v>0</v>
      </c>
      <c r="M137" s="10">
        <f t="shared" si="43"/>
        <v>0</v>
      </c>
      <c r="N137" s="10">
        <f t="shared" si="44"/>
        <v>0</v>
      </c>
      <c r="O137" s="10">
        <f t="shared" si="45"/>
        <v>0</v>
      </c>
      <c r="P137" s="10">
        <f t="shared" si="46"/>
        <v>0</v>
      </c>
      <c r="Q137" s="10">
        <f t="shared" si="47"/>
        <v>0</v>
      </c>
      <c r="R137" s="10">
        <f t="shared" si="48"/>
        <v>0</v>
      </c>
      <c r="S137" s="10">
        <f t="shared" si="49"/>
        <v>0</v>
      </c>
      <c r="T137" s="10">
        <f t="shared" si="50"/>
        <v>0</v>
      </c>
      <c r="U137" s="10">
        <f t="shared" si="51"/>
        <v>0</v>
      </c>
      <c r="V137" s="10">
        <f t="shared" si="52"/>
        <v>0</v>
      </c>
    </row>
    <row r="138" spans="1:22" x14ac:dyDescent="0.2">
      <c r="A138" s="32">
        <v>6</v>
      </c>
      <c r="B138" s="33">
        <v>0.54166666666666696</v>
      </c>
      <c r="C138" s="32">
        <f>'1700z'!E15</f>
        <v>12</v>
      </c>
      <c r="D138" s="32">
        <f>'1700z'!F15</f>
        <v>18</v>
      </c>
      <c r="E138" s="32">
        <f t="shared" si="53"/>
        <v>120</v>
      </c>
      <c r="F138" s="10">
        <f t="shared" si="54"/>
        <v>0</v>
      </c>
      <c r="G138" s="10">
        <f t="shared" si="55"/>
        <v>0</v>
      </c>
      <c r="H138" s="10">
        <f t="shared" si="38"/>
        <v>0</v>
      </c>
      <c r="I138" s="10">
        <f t="shared" si="39"/>
        <v>0</v>
      </c>
      <c r="J138" s="10">
        <f t="shared" si="40"/>
        <v>0</v>
      </c>
      <c r="K138" s="10">
        <f t="shared" si="41"/>
        <v>1</v>
      </c>
      <c r="L138" s="10">
        <f t="shared" si="42"/>
        <v>0</v>
      </c>
      <c r="M138" s="10">
        <f t="shared" si="43"/>
        <v>0</v>
      </c>
      <c r="N138" s="10">
        <f t="shared" si="44"/>
        <v>0</v>
      </c>
      <c r="O138" s="10">
        <f t="shared" si="45"/>
        <v>0</v>
      </c>
      <c r="P138" s="10">
        <f t="shared" si="46"/>
        <v>0</v>
      </c>
      <c r="Q138" s="10">
        <f t="shared" si="47"/>
        <v>0</v>
      </c>
      <c r="R138" s="10">
        <f t="shared" si="48"/>
        <v>0</v>
      </c>
      <c r="S138" s="10">
        <f t="shared" si="49"/>
        <v>0</v>
      </c>
      <c r="T138" s="10">
        <f t="shared" si="50"/>
        <v>0</v>
      </c>
      <c r="U138" s="10">
        <f t="shared" si="51"/>
        <v>0</v>
      </c>
      <c r="V138" s="10">
        <f t="shared" si="52"/>
        <v>0</v>
      </c>
    </row>
    <row r="139" spans="1:22" x14ac:dyDescent="0.2">
      <c r="A139" s="32">
        <v>6</v>
      </c>
      <c r="B139" s="33">
        <v>0.58333333333333304</v>
      </c>
      <c r="C139" s="32">
        <f>'1800z'!E15</f>
        <v>9</v>
      </c>
      <c r="D139" s="32">
        <f>'1800z'!F15</f>
        <v>16</v>
      </c>
      <c r="E139" s="32">
        <f t="shared" si="53"/>
        <v>90</v>
      </c>
      <c r="F139" s="10">
        <f t="shared" si="54"/>
        <v>0</v>
      </c>
      <c r="G139" s="10">
        <f t="shared" si="55"/>
        <v>0</v>
      </c>
      <c r="H139" s="10">
        <f t="shared" si="38"/>
        <v>0</v>
      </c>
      <c r="I139" s="10">
        <f t="shared" si="39"/>
        <v>0</v>
      </c>
      <c r="J139" s="10">
        <f t="shared" si="40"/>
        <v>1</v>
      </c>
      <c r="K139" s="10">
        <f t="shared" si="41"/>
        <v>0</v>
      </c>
      <c r="L139" s="10">
        <f t="shared" si="42"/>
        <v>0</v>
      </c>
      <c r="M139" s="10">
        <f t="shared" si="43"/>
        <v>0</v>
      </c>
      <c r="N139" s="10">
        <f t="shared" si="44"/>
        <v>0</v>
      </c>
      <c r="O139" s="10">
        <f t="shared" si="45"/>
        <v>0</v>
      </c>
      <c r="P139" s="10">
        <f t="shared" si="46"/>
        <v>0</v>
      </c>
      <c r="Q139" s="10">
        <f t="shared" si="47"/>
        <v>0</v>
      </c>
      <c r="R139" s="10">
        <f t="shared" si="48"/>
        <v>0</v>
      </c>
      <c r="S139" s="10">
        <f t="shared" si="49"/>
        <v>0</v>
      </c>
      <c r="T139" s="10">
        <f t="shared" si="50"/>
        <v>0</v>
      </c>
      <c r="U139" s="10">
        <f t="shared" si="51"/>
        <v>0</v>
      </c>
      <c r="V139" s="10">
        <f t="shared" si="52"/>
        <v>0</v>
      </c>
    </row>
    <row r="140" spans="1:22" x14ac:dyDescent="0.2">
      <c r="A140" s="32">
        <v>6</v>
      </c>
      <c r="B140" s="33">
        <v>0.625</v>
      </c>
      <c r="C140" s="32">
        <f>'1900z'!E15</f>
        <v>11</v>
      </c>
      <c r="D140" s="32">
        <f>'1900z'!F15</f>
        <v>16</v>
      </c>
      <c r="E140" s="32">
        <f t="shared" si="53"/>
        <v>110</v>
      </c>
      <c r="F140" s="10">
        <f t="shared" si="54"/>
        <v>0</v>
      </c>
      <c r="G140" s="10">
        <f t="shared" si="55"/>
        <v>0</v>
      </c>
      <c r="H140" s="10">
        <f t="shared" si="38"/>
        <v>0</v>
      </c>
      <c r="I140" s="10">
        <f t="shared" si="39"/>
        <v>0</v>
      </c>
      <c r="J140" s="10">
        <f t="shared" si="40"/>
        <v>0</v>
      </c>
      <c r="K140" s="10">
        <f t="shared" si="41"/>
        <v>1</v>
      </c>
      <c r="L140" s="10">
        <f t="shared" si="42"/>
        <v>0</v>
      </c>
      <c r="M140" s="10">
        <f t="shared" si="43"/>
        <v>0</v>
      </c>
      <c r="N140" s="10">
        <f t="shared" si="44"/>
        <v>0</v>
      </c>
      <c r="O140" s="10">
        <f t="shared" si="45"/>
        <v>0</v>
      </c>
      <c r="P140" s="10">
        <f t="shared" si="46"/>
        <v>0</v>
      </c>
      <c r="Q140" s="10">
        <f t="shared" si="47"/>
        <v>0</v>
      </c>
      <c r="R140" s="10">
        <f t="shared" si="48"/>
        <v>0</v>
      </c>
      <c r="S140" s="10">
        <f t="shared" si="49"/>
        <v>0</v>
      </c>
      <c r="T140" s="10">
        <f t="shared" si="50"/>
        <v>0</v>
      </c>
      <c r="U140" s="10">
        <f t="shared" si="51"/>
        <v>0</v>
      </c>
      <c r="V140" s="10">
        <f t="shared" si="52"/>
        <v>0</v>
      </c>
    </row>
    <row r="141" spans="1:22" x14ac:dyDescent="0.2">
      <c r="A141" s="32">
        <v>6</v>
      </c>
      <c r="B141" s="33">
        <v>0.66666666666666696</v>
      </c>
      <c r="C141" s="32">
        <f>'2000z'!E15</f>
        <v>10</v>
      </c>
      <c r="D141" s="32">
        <f>'2000z'!F15</f>
        <v>15</v>
      </c>
      <c r="E141" s="32">
        <f t="shared" si="53"/>
        <v>100</v>
      </c>
      <c r="F141" s="10">
        <f t="shared" si="54"/>
        <v>0</v>
      </c>
      <c r="G141" s="10">
        <f t="shared" si="55"/>
        <v>0</v>
      </c>
      <c r="H141" s="10">
        <f t="shared" si="38"/>
        <v>0</v>
      </c>
      <c r="I141" s="10">
        <f t="shared" si="39"/>
        <v>0</v>
      </c>
      <c r="J141" s="10">
        <f t="shared" si="40"/>
        <v>1</v>
      </c>
      <c r="K141" s="10">
        <f t="shared" si="41"/>
        <v>0</v>
      </c>
      <c r="L141" s="10">
        <f t="shared" si="42"/>
        <v>0</v>
      </c>
      <c r="M141" s="10">
        <f t="shared" si="43"/>
        <v>0</v>
      </c>
      <c r="N141" s="10">
        <f t="shared" si="44"/>
        <v>0</v>
      </c>
      <c r="O141" s="10">
        <f t="shared" si="45"/>
        <v>0</v>
      </c>
      <c r="P141" s="10">
        <f t="shared" si="46"/>
        <v>0</v>
      </c>
      <c r="Q141" s="10">
        <f t="shared" si="47"/>
        <v>0</v>
      </c>
      <c r="R141" s="10">
        <f t="shared" si="48"/>
        <v>0</v>
      </c>
      <c r="S141" s="10">
        <f t="shared" si="49"/>
        <v>0</v>
      </c>
      <c r="T141" s="10">
        <f t="shared" si="50"/>
        <v>0</v>
      </c>
      <c r="U141" s="10">
        <f t="shared" si="51"/>
        <v>0</v>
      </c>
      <c r="V141" s="10">
        <f t="shared" si="52"/>
        <v>0</v>
      </c>
    </row>
    <row r="142" spans="1:22" x14ac:dyDescent="0.2">
      <c r="A142" s="32">
        <v>6</v>
      </c>
      <c r="B142" s="33">
        <v>0.70833333333333304</v>
      </c>
      <c r="C142" s="32">
        <f>'2100z'!E15</f>
        <v>11</v>
      </c>
      <c r="D142" s="32">
        <f>'2100z'!F15</f>
        <v>15</v>
      </c>
      <c r="E142" s="32">
        <f t="shared" si="53"/>
        <v>110</v>
      </c>
      <c r="F142" s="10">
        <f t="shared" si="54"/>
        <v>0</v>
      </c>
      <c r="G142" s="10">
        <f t="shared" si="55"/>
        <v>0</v>
      </c>
      <c r="H142" s="10">
        <f t="shared" si="38"/>
        <v>0</v>
      </c>
      <c r="I142" s="10">
        <f t="shared" si="39"/>
        <v>0</v>
      </c>
      <c r="J142" s="10">
        <f t="shared" si="40"/>
        <v>0</v>
      </c>
      <c r="K142" s="10">
        <f t="shared" si="41"/>
        <v>1</v>
      </c>
      <c r="L142" s="10">
        <f t="shared" si="42"/>
        <v>0</v>
      </c>
      <c r="M142" s="10">
        <f t="shared" si="43"/>
        <v>0</v>
      </c>
      <c r="N142" s="10">
        <f t="shared" si="44"/>
        <v>0</v>
      </c>
      <c r="O142" s="10">
        <f t="shared" si="45"/>
        <v>0</v>
      </c>
      <c r="P142" s="10">
        <f t="shared" si="46"/>
        <v>0</v>
      </c>
      <c r="Q142" s="10">
        <f t="shared" si="47"/>
        <v>0</v>
      </c>
      <c r="R142" s="10">
        <f t="shared" si="48"/>
        <v>0</v>
      </c>
      <c r="S142" s="10">
        <f t="shared" si="49"/>
        <v>0</v>
      </c>
      <c r="T142" s="10">
        <f t="shared" si="50"/>
        <v>0</v>
      </c>
      <c r="U142" s="10">
        <f t="shared" si="51"/>
        <v>0</v>
      </c>
      <c r="V142" s="10">
        <f t="shared" si="52"/>
        <v>0</v>
      </c>
    </row>
    <row r="143" spans="1:22" x14ac:dyDescent="0.2">
      <c r="A143" s="32">
        <v>6</v>
      </c>
      <c r="B143" s="33">
        <v>0.75</v>
      </c>
      <c r="C143" s="32">
        <f>'2200z'!E15</f>
        <v>10</v>
      </c>
      <c r="D143" s="32">
        <f>'2200z'!F15</f>
        <v>14</v>
      </c>
      <c r="E143" s="32">
        <f t="shared" si="53"/>
        <v>100</v>
      </c>
      <c r="F143" s="10">
        <f t="shared" si="54"/>
        <v>0</v>
      </c>
      <c r="G143" s="10">
        <f t="shared" si="55"/>
        <v>0</v>
      </c>
      <c r="H143" s="10">
        <f t="shared" si="38"/>
        <v>0</v>
      </c>
      <c r="I143" s="10">
        <f t="shared" si="39"/>
        <v>0</v>
      </c>
      <c r="J143" s="10">
        <f t="shared" si="40"/>
        <v>1</v>
      </c>
      <c r="K143" s="10">
        <f t="shared" si="41"/>
        <v>0</v>
      </c>
      <c r="L143" s="10">
        <f t="shared" si="42"/>
        <v>0</v>
      </c>
      <c r="M143" s="10">
        <f t="shared" si="43"/>
        <v>0</v>
      </c>
      <c r="N143" s="10">
        <f t="shared" si="44"/>
        <v>0</v>
      </c>
      <c r="O143" s="10">
        <f t="shared" si="45"/>
        <v>0</v>
      </c>
      <c r="P143" s="10">
        <f t="shared" si="46"/>
        <v>0</v>
      </c>
      <c r="Q143" s="10">
        <f t="shared" si="47"/>
        <v>0</v>
      </c>
      <c r="R143" s="10">
        <f t="shared" si="48"/>
        <v>0</v>
      </c>
      <c r="S143" s="10">
        <f t="shared" si="49"/>
        <v>0</v>
      </c>
      <c r="T143" s="10">
        <f t="shared" si="50"/>
        <v>0</v>
      </c>
      <c r="U143" s="10">
        <f t="shared" si="51"/>
        <v>0</v>
      </c>
      <c r="V143" s="10">
        <f t="shared" si="52"/>
        <v>0</v>
      </c>
    </row>
    <row r="144" spans="1:22" x14ac:dyDescent="0.2">
      <c r="A144" s="32">
        <v>6</v>
      </c>
      <c r="B144" s="33">
        <v>0.79166666666666696</v>
      </c>
      <c r="C144" s="32">
        <f>'2300z'!E15</f>
        <v>9</v>
      </c>
      <c r="D144" s="32">
        <f>'2300z'!F15</f>
        <v>12</v>
      </c>
      <c r="E144" s="32">
        <f t="shared" si="53"/>
        <v>90</v>
      </c>
      <c r="F144" s="10">
        <f t="shared" si="54"/>
        <v>0</v>
      </c>
      <c r="G144" s="10">
        <f t="shared" si="55"/>
        <v>0</v>
      </c>
      <c r="H144" s="10">
        <f t="shared" si="38"/>
        <v>0</v>
      </c>
      <c r="I144" s="10">
        <f t="shared" si="39"/>
        <v>0</v>
      </c>
      <c r="J144" s="10">
        <f t="shared" si="40"/>
        <v>1</v>
      </c>
      <c r="K144" s="10">
        <f t="shared" si="41"/>
        <v>0</v>
      </c>
      <c r="L144" s="10">
        <f t="shared" si="42"/>
        <v>0</v>
      </c>
      <c r="M144" s="10">
        <f t="shared" si="43"/>
        <v>0</v>
      </c>
      <c r="N144" s="10">
        <f t="shared" si="44"/>
        <v>0</v>
      </c>
      <c r="O144" s="10">
        <f t="shared" si="45"/>
        <v>0</v>
      </c>
      <c r="P144" s="10">
        <f t="shared" si="46"/>
        <v>0</v>
      </c>
      <c r="Q144" s="10">
        <f t="shared" si="47"/>
        <v>0</v>
      </c>
      <c r="R144" s="10">
        <f t="shared" si="48"/>
        <v>0</v>
      </c>
      <c r="S144" s="10">
        <f t="shared" si="49"/>
        <v>0</v>
      </c>
      <c r="T144" s="10">
        <f t="shared" si="50"/>
        <v>0</v>
      </c>
      <c r="U144" s="10">
        <f t="shared" si="51"/>
        <v>0</v>
      </c>
      <c r="V144" s="10">
        <f t="shared" si="52"/>
        <v>0</v>
      </c>
    </row>
    <row r="145" spans="1:22" x14ac:dyDescent="0.2">
      <c r="A145" s="32">
        <v>6</v>
      </c>
      <c r="B145" s="33">
        <v>0.83333333333333304</v>
      </c>
      <c r="C145" s="32">
        <f>'0000z'!E15</f>
        <v>9</v>
      </c>
      <c r="D145" s="32">
        <f>'0000z'!F15</f>
        <v>12</v>
      </c>
      <c r="E145" s="32">
        <f t="shared" si="53"/>
        <v>90</v>
      </c>
      <c r="F145" s="10">
        <f t="shared" si="54"/>
        <v>0</v>
      </c>
      <c r="G145" s="10">
        <f t="shared" si="55"/>
        <v>0</v>
      </c>
      <c r="H145" s="10">
        <f t="shared" si="38"/>
        <v>0</v>
      </c>
      <c r="I145" s="10">
        <f t="shared" si="39"/>
        <v>0</v>
      </c>
      <c r="J145" s="10">
        <f t="shared" si="40"/>
        <v>1</v>
      </c>
      <c r="K145" s="10">
        <f t="shared" si="41"/>
        <v>0</v>
      </c>
      <c r="L145" s="10">
        <f t="shared" si="42"/>
        <v>0</v>
      </c>
      <c r="M145" s="10">
        <f t="shared" si="43"/>
        <v>0</v>
      </c>
      <c r="N145" s="10">
        <f t="shared" si="44"/>
        <v>0</v>
      </c>
      <c r="O145" s="10">
        <f t="shared" si="45"/>
        <v>0</v>
      </c>
      <c r="P145" s="10">
        <f t="shared" si="46"/>
        <v>0</v>
      </c>
      <c r="Q145" s="10">
        <f t="shared" si="47"/>
        <v>0</v>
      </c>
      <c r="R145" s="10">
        <f t="shared" si="48"/>
        <v>0</v>
      </c>
      <c r="S145" s="10">
        <f t="shared" si="49"/>
        <v>0</v>
      </c>
      <c r="T145" s="10">
        <f t="shared" si="50"/>
        <v>0</v>
      </c>
      <c r="U145" s="10">
        <f t="shared" si="51"/>
        <v>0</v>
      </c>
      <c r="V145" s="10">
        <f t="shared" si="52"/>
        <v>0</v>
      </c>
    </row>
    <row r="146" spans="1:22" x14ac:dyDescent="0.2">
      <c r="A146" s="32">
        <v>6</v>
      </c>
      <c r="B146" s="33">
        <v>0.875</v>
      </c>
      <c r="C146" s="32">
        <f>'0100z'!E15</f>
        <v>9</v>
      </c>
      <c r="D146" s="32">
        <f>'0100z'!F15</f>
        <v>12</v>
      </c>
      <c r="E146" s="32">
        <f t="shared" si="53"/>
        <v>90</v>
      </c>
      <c r="F146" s="10">
        <f t="shared" si="54"/>
        <v>0</v>
      </c>
      <c r="G146" s="10">
        <f t="shared" si="55"/>
        <v>0</v>
      </c>
      <c r="H146" s="10">
        <f t="shared" si="38"/>
        <v>0</v>
      </c>
      <c r="I146" s="10">
        <f t="shared" si="39"/>
        <v>0</v>
      </c>
      <c r="J146" s="10">
        <f t="shared" si="40"/>
        <v>1</v>
      </c>
      <c r="K146" s="10">
        <f t="shared" si="41"/>
        <v>0</v>
      </c>
      <c r="L146" s="10">
        <f t="shared" si="42"/>
        <v>0</v>
      </c>
      <c r="M146" s="10">
        <f t="shared" si="43"/>
        <v>0</v>
      </c>
      <c r="N146" s="10">
        <f t="shared" si="44"/>
        <v>0</v>
      </c>
      <c r="O146" s="10">
        <f t="shared" si="45"/>
        <v>0</v>
      </c>
      <c r="P146" s="10">
        <f t="shared" si="46"/>
        <v>0</v>
      </c>
      <c r="Q146" s="10">
        <f t="shared" si="47"/>
        <v>0</v>
      </c>
      <c r="R146" s="10">
        <f t="shared" si="48"/>
        <v>0</v>
      </c>
      <c r="S146" s="10">
        <f t="shared" si="49"/>
        <v>0</v>
      </c>
      <c r="T146" s="10">
        <f t="shared" si="50"/>
        <v>0</v>
      </c>
      <c r="U146" s="10">
        <f t="shared" si="51"/>
        <v>0</v>
      </c>
      <c r="V146" s="10">
        <f t="shared" si="52"/>
        <v>0</v>
      </c>
    </row>
    <row r="147" spans="1:22" x14ac:dyDescent="0.2">
      <c r="A147" s="32">
        <v>6</v>
      </c>
      <c r="B147" s="33">
        <v>0.91666666666666696</v>
      </c>
      <c r="C147" s="32">
        <f>'0200z'!E15</f>
        <v>8</v>
      </c>
      <c r="D147" s="32">
        <f>'0200z'!F15</f>
        <v>10</v>
      </c>
      <c r="E147" s="32">
        <f t="shared" si="53"/>
        <v>80</v>
      </c>
      <c r="F147" s="10">
        <f t="shared" si="54"/>
        <v>0</v>
      </c>
      <c r="G147" s="10">
        <f t="shared" si="55"/>
        <v>0</v>
      </c>
      <c r="H147" s="10">
        <f t="shared" si="38"/>
        <v>0</v>
      </c>
      <c r="I147" s="10">
        <f t="shared" si="39"/>
        <v>0</v>
      </c>
      <c r="J147" s="10">
        <f t="shared" si="40"/>
        <v>1</v>
      </c>
      <c r="K147" s="10">
        <f t="shared" si="41"/>
        <v>0</v>
      </c>
      <c r="L147" s="10">
        <f t="shared" si="42"/>
        <v>0</v>
      </c>
      <c r="M147" s="10">
        <f t="shared" si="43"/>
        <v>0</v>
      </c>
      <c r="N147" s="10">
        <f t="shared" si="44"/>
        <v>0</v>
      </c>
      <c r="O147" s="10">
        <f t="shared" si="45"/>
        <v>0</v>
      </c>
      <c r="P147" s="10">
        <f t="shared" si="46"/>
        <v>0</v>
      </c>
      <c r="Q147" s="10">
        <f t="shared" si="47"/>
        <v>0</v>
      </c>
      <c r="R147" s="10">
        <f t="shared" si="48"/>
        <v>0</v>
      </c>
      <c r="S147" s="10">
        <f t="shared" si="49"/>
        <v>0</v>
      </c>
      <c r="T147" s="10">
        <f t="shared" si="50"/>
        <v>0</v>
      </c>
      <c r="U147" s="10">
        <f t="shared" si="51"/>
        <v>0</v>
      </c>
      <c r="V147" s="10">
        <f t="shared" si="52"/>
        <v>0</v>
      </c>
    </row>
    <row r="148" spans="1:22" x14ac:dyDescent="0.2">
      <c r="A148" s="32">
        <v>6</v>
      </c>
      <c r="B148" s="33">
        <v>0.95833333333333304</v>
      </c>
      <c r="C148" s="32">
        <f>'0300z'!E15</f>
        <v>8</v>
      </c>
      <c r="D148" s="32">
        <f>'0300z'!F15</f>
        <v>10</v>
      </c>
      <c r="E148" s="32">
        <f t="shared" si="53"/>
        <v>80</v>
      </c>
      <c r="F148" s="10">
        <f t="shared" si="54"/>
        <v>0</v>
      </c>
      <c r="G148" s="10">
        <f t="shared" si="55"/>
        <v>0</v>
      </c>
      <c r="H148" s="10">
        <f t="shared" si="38"/>
        <v>0</v>
      </c>
      <c r="I148" s="10">
        <f t="shared" si="39"/>
        <v>0</v>
      </c>
      <c r="J148" s="10">
        <f t="shared" si="40"/>
        <v>1</v>
      </c>
      <c r="K148" s="10">
        <f t="shared" si="41"/>
        <v>0</v>
      </c>
      <c r="L148" s="10">
        <f t="shared" si="42"/>
        <v>0</v>
      </c>
      <c r="M148" s="10">
        <f t="shared" si="43"/>
        <v>0</v>
      </c>
      <c r="N148" s="10">
        <f t="shared" si="44"/>
        <v>0</v>
      </c>
      <c r="O148" s="10">
        <f t="shared" si="45"/>
        <v>0</v>
      </c>
      <c r="P148" s="10">
        <f t="shared" si="46"/>
        <v>0</v>
      </c>
      <c r="Q148" s="10">
        <f t="shared" si="47"/>
        <v>0</v>
      </c>
      <c r="R148" s="10">
        <f t="shared" si="48"/>
        <v>0</v>
      </c>
      <c r="S148" s="10">
        <f t="shared" si="49"/>
        <v>0</v>
      </c>
      <c r="T148" s="10">
        <f t="shared" si="50"/>
        <v>0</v>
      </c>
      <c r="U148" s="10">
        <f t="shared" si="51"/>
        <v>0</v>
      </c>
      <c r="V148" s="10">
        <f t="shared" si="52"/>
        <v>0</v>
      </c>
    </row>
    <row r="149" spans="1:22" x14ac:dyDescent="0.2">
      <c r="A149" s="32">
        <v>7</v>
      </c>
      <c r="B149" s="33">
        <v>0</v>
      </c>
      <c r="C149" s="32">
        <f>'0400z'!E16</f>
        <v>9</v>
      </c>
      <c r="D149" s="32">
        <f>'0400z'!F16</f>
        <v>12</v>
      </c>
      <c r="E149" s="32">
        <f t="shared" si="53"/>
        <v>90</v>
      </c>
      <c r="F149" s="10">
        <f t="shared" si="54"/>
        <v>0</v>
      </c>
      <c r="G149" s="10">
        <f t="shared" si="55"/>
        <v>0</v>
      </c>
      <c r="H149" s="10">
        <f t="shared" si="38"/>
        <v>0</v>
      </c>
      <c r="I149" s="10">
        <f t="shared" si="39"/>
        <v>0</v>
      </c>
      <c r="J149" s="10">
        <f t="shared" si="40"/>
        <v>1</v>
      </c>
      <c r="K149" s="10">
        <f t="shared" si="41"/>
        <v>0</v>
      </c>
      <c r="L149" s="10">
        <f t="shared" si="42"/>
        <v>0</v>
      </c>
      <c r="M149" s="10">
        <f t="shared" si="43"/>
        <v>0</v>
      </c>
      <c r="N149" s="10">
        <f t="shared" si="44"/>
        <v>0</v>
      </c>
      <c r="O149" s="10">
        <f t="shared" si="45"/>
        <v>0</v>
      </c>
      <c r="P149" s="10">
        <f t="shared" si="46"/>
        <v>0</v>
      </c>
      <c r="Q149" s="10">
        <f t="shared" si="47"/>
        <v>0</v>
      </c>
      <c r="R149" s="10">
        <f t="shared" si="48"/>
        <v>0</v>
      </c>
      <c r="S149" s="10">
        <f t="shared" si="49"/>
        <v>0</v>
      </c>
      <c r="T149" s="10">
        <f t="shared" si="50"/>
        <v>0</v>
      </c>
      <c r="U149" s="10">
        <f t="shared" si="51"/>
        <v>0</v>
      </c>
      <c r="V149" s="10">
        <f t="shared" si="52"/>
        <v>0</v>
      </c>
    </row>
    <row r="150" spans="1:22" x14ac:dyDescent="0.2">
      <c r="A150" s="32">
        <v>7</v>
      </c>
      <c r="B150" s="33">
        <v>4.1666666666666664E-2</v>
      </c>
      <c r="C150" s="32">
        <f>'0500z'!E16</f>
        <v>9</v>
      </c>
      <c r="D150" s="32">
        <f>'0500z'!F16</f>
        <v>12</v>
      </c>
      <c r="E150" s="32">
        <f t="shared" si="53"/>
        <v>90</v>
      </c>
      <c r="F150" s="10">
        <f t="shared" si="54"/>
        <v>0</v>
      </c>
      <c r="G150" s="10">
        <f t="shared" si="55"/>
        <v>0</v>
      </c>
      <c r="H150" s="10">
        <f t="shared" si="38"/>
        <v>0</v>
      </c>
      <c r="I150" s="10">
        <f t="shared" si="39"/>
        <v>0</v>
      </c>
      <c r="J150" s="10">
        <f t="shared" si="40"/>
        <v>1</v>
      </c>
      <c r="K150" s="10">
        <f t="shared" si="41"/>
        <v>0</v>
      </c>
      <c r="L150" s="10">
        <f t="shared" si="42"/>
        <v>0</v>
      </c>
      <c r="M150" s="10">
        <f t="shared" si="43"/>
        <v>0</v>
      </c>
      <c r="N150" s="10">
        <f t="shared" si="44"/>
        <v>0</v>
      </c>
      <c r="O150" s="10">
        <f t="shared" si="45"/>
        <v>0</v>
      </c>
      <c r="P150" s="10">
        <f t="shared" si="46"/>
        <v>0</v>
      </c>
      <c r="Q150" s="10">
        <f t="shared" si="47"/>
        <v>0</v>
      </c>
      <c r="R150" s="10">
        <f t="shared" si="48"/>
        <v>0</v>
      </c>
      <c r="S150" s="10">
        <f t="shared" si="49"/>
        <v>0</v>
      </c>
      <c r="T150" s="10">
        <f t="shared" si="50"/>
        <v>0</v>
      </c>
      <c r="U150" s="10">
        <f t="shared" si="51"/>
        <v>0</v>
      </c>
      <c r="V150" s="10">
        <f t="shared" si="52"/>
        <v>0</v>
      </c>
    </row>
    <row r="151" spans="1:22" x14ac:dyDescent="0.2">
      <c r="A151" s="32">
        <v>7</v>
      </c>
      <c r="B151" s="33">
        <v>8.3333333333333329E-2</v>
      </c>
      <c r="C151" s="32">
        <f>'0600z'!E16</f>
        <v>9</v>
      </c>
      <c r="D151" s="32">
        <f>'0600z'!F16</f>
        <v>10</v>
      </c>
      <c r="E151" s="32">
        <f t="shared" si="53"/>
        <v>90</v>
      </c>
      <c r="F151" s="10">
        <f t="shared" si="54"/>
        <v>0</v>
      </c>
      <c r="G151" s="10">
        <f t="shared" si="55"/>
        <v>0</v>
      </c>
      <c r="H151" s="10">
        <f t="shared" si="38"/>
        <v>0</v>
      </c>
      <c r="I151" s="10">
        <f t="shared" si="39"/>
        <v>0</v>
      </c>
      <c r="J151" s="10">
        <f t="shared" si="40"/>
        <v>1</v>
      </c>
      <c r="K151" s="10">
        <f t="shared" si="41"/>
        <v>0</v>
      </c>
      <c r="L151" s="10">
        <f t="shared" si="42"/>
        <v>0</v>
      </c>
      <c r="M151" s="10">
        <f t="shared" si="43"/>
        <v>0</v>
      </c>
      <c r="N151" s="10">
        <f t="shared" si="44"/>
        <v>0</v>
      </c>
      <c r="O151" s="10">
        <f t="shared" si="45"/>
        <v>0</v>
      </c>
      <c r="P151" s="10">
        <f t="shared" si="46"/>
        <v>0</v>
      </c>
      <c r="Q151" s="10">
        <f t="shared" si="47"/>
        <v>0</v>
      </c>
      <c r="R151" s="10">
        <f t="shared" si="48"/>
        <v>0</v>
      </c>
      <c r="S151" s="10">
        <f t="shared" si="49"/>
        <v>0</v>
      </c>
      <c r="T151" s="10">
        <f t="shared" si="50"/>
        <v>0</v>
      </c>
      <c r="U151" s="10">
        <f t="shared" si="51"/>
        <v>0</v>
      </c>
      <c r="V151" s="10">
        <f t="shared" si="52"/>
        <v>0</v>
      </c>
    </row>
    <row r="152" spans="1:22" x14ac:dyDescent="0.2">
      <c r="A152" s="32">
        <v>7</v>
      </c>
      <c r="B152" s="33">
        <v>0.125</v>
      </c>
      <c r="C152" s="32">
        <f>'0700z'!E16</f>
        <v>9</v>
      </c>
      <c r="D152" s="32">
        <f>'0700z'!F16</f>
        <v>7</v>
      </c>
      <c r="E152" s="32">
        <f t="shared" si="53"/>
        <v>90</v>
      </c>
      <c r="F152" s="10">
        <f t="shared" si="54"/>
        <v>0</v>
      </c>
      <c r="G152" s="10">
        <f t="shared" si="55"/>
        <v>0</v>
      </c>
      <c r="H152" s="10">
        <f t="shared" si="38"/>
        <v>0</v>
      </c>
      <c r="I152" s="10">
        <f t="shared" si="39"/>
        <v>0</v>
      </c>
      <c r="J152" s="10">
        <f t="shared" si="40"/>
        <v>1</v>
      </c>
      <c r="K152" s="10">
        <f t="shared" si="41"/>
        <v>0</v>
      </c>
      <c r="L152" s="10">
        <f t="shared" si="42"/>
        <v>0</v>
      </c>
      <c r="M152" s="10">
        <f t="shared" si="43"/>
        <v>0</v>
      </c>
      <c r="N152" s="10">
        <f t="shared" si="44"/>
        <v>0</v>
      </c>
      <c r="O152" s="10">
        <f t="shared" si="45"/>
        <v>0</v>
      </c>
      <c r="P152" s="10">
        <f t="shared" si="46"/>
        <v>0</v>
      </c>
      <c r="Q152" s="10">
        <f t="shared" si="47"/>
        <v>0</v>
      </c>
      <c r="R152" s="10">
        <f t="shared" si="48"/>
        <v>0</v>
      </c>
      <c r="S152" s="10">
        <f t="shared" si="49"/>
        <v>0</v>
      </c>
      <c r="T152" s="10">
        <f t="shared" si="50"/>
        <v>0</v>
      </c>
      <c r="U152" s="10">
        <f t="shared" si="51"/>
        <v>0</v>
      </c>
      <c r="V152" s="10">
        <f t="shared" si="52"/>
        <v>0</v>
      </c>
    </row>
    <row r="153" spans="1:22" x14ac:dyDescent="0.2">
      <c r="A153" s="32">
        <v>7</v>
      </c>
      <c r="B153" s="33">
        <v>0.16666666666666699</v>
      </c>
      <c r="C153" s="32">
        <f>'0800z'!E16</f>
        <v>8</v>
      </c>
      <c r="D153" s="32">
        <f>'0800z'!F16</f>
        <v>5</v>
      </c>
      <c r="E153" s="32">
        <f t="shared" si="53"/>
        <v>80</v>
      </c>
      <c r="F153" s="10">
        <f t="shared" si="54"/>
        <v>0</v>
      </c>
      <c r="G153" s="10">
        <f t="shared" si="55"/>
        <v>0</v>
      </c>
      <c r="H153" s="10">
        <f t="shared" si="38"/>
        <v>0</v>
      </c>
      <c r="I153" s="10">
        <f t="shared" si="39"/>
        <v>0</v>
      </c>
      <c r="J153" s="10">
        <f t="shared" si="40"/>
        <v>1</v>
      </c>
      <c r="K153" s="10">
        <f t="shared" si="41"/>
        <v>0</v>
      </c>
      <c r="L153" s="10">
        <f t="shared" si="42"/>
        <v>0</v>
      </c>
      <c r="M153" s="10">
        <f t="shared" si="43"/>
        <v>0</v>
      </c>
      <c r="N153" s="10">
        <f t="shared" si="44"/>
        <v>0</v>
      </c>
      <c r="O153" s="10">
        <f t="shared" si="45"/>
        <v>0</v>
      </c>
      <c r="P153" s="10">
        <f t="shared" si="46"/>
        <v>0</v>
      </c>
      <c r="Q153" s="10">
        <f t="shared" si="47"/>
        <v>0</v>
      </c>
      <c r="R153" s="10">
        <f t="shared" si="48"/>
        <v>0</v>
      </c>
      <c r="S153" s="10">
        <f t="shared" si="49"/>
        <v>0</v>
      </c>
      <c r="T153" s="10">
        <f t="shared" si="50"/>
        <v>0</v>
      </c>
      <c r="U153" s="10">
        <f t="shared" si="51"/>
        <v>0</v>
      </c>
      <c r="V153" s="10">
        <f t="shared" si="52"/>
        <v>0</v>
      </c>
    </row>
    <row r="154" spans="1:22" x14ac:dyDescent="0.2">
      <c r="A154" s="32">
        <v>7</v>
      </c>
      <c r="B154" s="33">
        <v>0.20833333333333301</v>
      </c>
      <c r="C154" s="32">
        <f>'0900z'!E16</f>
        <v>9</v>
      </c>
      <c r="D154" s="32">
        <f>'0900z'!F16</f>
        <v>6</v>
      </c>
      <c r="E154" s="32">
        <f t="shared" si="53"/>
        <v>90</v>
      </c>
      <c r="F154" s="10">
        <f t="shared" si="54"/>
        <v>0</v>
      </c>
      <c r="G154" s="10">
        <f t="shared" si="55"/>
        <v>0</v>
      </c>
      <c r="H154" s="10">
        <f t="shared" si="38"/>
        <v>0</v>
      </c>
      <c r="I154" s="10">
        <f t="shared" si="39"/>
        <v>0</v>
      </c>
      <c r="J154" s="10">
        <f t="shared" si="40"/>
        <v>1</v>
      </c>
      <c r="K154" s="10">
        <f t="shared" si="41"/>
        <v>0</v>
      </c>
      <c r="L154" s="10">
        <f t="shared" si="42"/>
        <v>0</v>
      </c>
      <c r="M154" s="10">
        <f t="shared" si="43"/>
        <v>0</v>
      </c>
      <c r="N154" s="10">
        <f t="shared" si="44"/>
        <v>0</v>
      </c>
      <c r="O154" s="10">
        <f t="shared" si="45"/>
        <v>0</v>
      </c>
      <c r="P154" s="10">
        <f t="shared" si="46"/>
        <v>0</v>
      </c>
      <c r="Q154" s="10">
        <f t="shared" si="47"/>
        <v>0</v>
      </c>
      <c r="R154" s="10">
        <f t="shared" si="48"/>
        <v>0</v>
      </c>
      <c r="S154" s="10">
        <f t="shared" si="49"/>
        <v>0</v>
      </c>
      <c r="T154" s="10">
        <f t="shared" si="50"/>
        <v>0</v>
      </c>
      <c r="U154" s="10">
        <f t="shared" si="51"/>
        <v>0</v>
      </c>
      <c r="V154" s="10">
        <f t="shared" si="52"/>
        <v>0</v>
      </c>
    </row>
    <row r="155" spans="1:22" x14ac:dyDescent="0.2">
      <c r="A155" s="32">
        <v>7</v>
      </c>
      <c r="B155" s="33">
        <v>0.25</v>
      </c>
      <c r="C155" s="32">
        <f>'1000z'!E16</f>
        <v>9</v>
      </c>
      <c r="D155" s="32">
        <f>'1000z'!F16</f>
        <v>10</v>
      </c>
      <c r="E155" s="32">
        <f t="shared" si="53"/>
        <v>90</v>
      </c>
      <c r="F155" s="10">
        <f t="shared" si="54"/>
        <v>0</v>
      </c>
      <c r="G155" s="10">
        <f t="shared" si="55"/>
        <v>0</v>
      </c>
      <c r="H155" s="10">
        <f t="shared" si="38"/>
        <v>0</v>
      </c>
      <c r="I155" s="10">
        <f t="shared" si="39"/>
        <v>0</v>
      </c>
      <c r="J155" s="10">
        <f t="shared" si="40"/>
        <v>1</v>
      </c>
      <c r="K155" s="10">
        <f t="shared" si="41"/>
        <v>0</v>
      </c>
      <c r="L155" s="10">
        <f t="shared" si="42"/>
        <v>0</v>
      </c>
      <c r="M155" s="10">
        <f t="shared" si="43"/>
        <v>0</v>
      </c>
      <c r="N155" s="10">
        <f t="shared" si="44"/>
        <v>0</v>
      </c>
      <c r="O155" s="10">
        <f t="shared" si="45"/>
        <v>0</v>
      </c>
      <c r="P155" s="10">
        <f t="shared" si="46"/>
        <v>0</v>
      </c>
      <c r="Q155" s="10">
        <f t="shared" si="47"/>
        <v>0</v>
      </c>
      <c r="R155" s="10">
        <f t="shared" si="48"/>
        <v>0</v>
      </c>
      <c r="S155" s="10">
        <f t="shared" si="49"/>
        <v>0</v>
      </c>
      <c r="T155" s="10">
        <f t="shared" si="50"/>
        <v>0</v>
      </c>
      <c r="U155" s="10">
        <f t="shared" si="51"/>
        <v>0</v>
      </c>
      <c r="V155" s="10">
        <f t="shared" si="52"/>
        <v>0</v>
      </c>
    </row>
    <row r="156" spans="1:22" x14ac:dyDescent="0.2">
      <c r="A156" s="32">
        <v>7</v>
      </c>
      <c r="B156" s="33">
        <v>0.29166666666666702</v>
      </c>
      <c r="C156" s="32">
        <f>'1100z'!E16</f>
        <v>10</v>
      </c>
      <c r="D156" s="32">
        <f>'1100z'!F16</f>
        <v>15</v>
      </c>
      <c r="E156" s="32">
        <f t="shared" si="53"/>
        <v>100</v>
      </c>
      <c r="F156" s="10">
        <f t="shared" si="54"/>
        <v>0</v>
      </c>
      <c r="G156" s="10">
        <f t="shared" si="55"/>
        <v>0</v>
      </c>
      <c r="H156" s="10">
        <f t="shared" si="38"/>
        <v>0</v>
      </c>
      <c r="I156" s="10">
        <f t="shared" si="39"/>
        <v>0</v>
      </c>
      <c r="J156" s="10">
        <f t="shared" si="40"/>
        <v>1</v>
      </c>
      <c r="K156" s="10">
        <f t="shared" si="41"/>
        <v>0</v>
      </c>
      <c r="L156" s="10">
        <f t="shared" si="42"/>
        <v>0</v>
      </c>
      <c r="M156" s="10">
        <f t="shared" si="43"/>
        <v>0</v>
      </c>
      <c r="N156" s="10">
        <f t="shared" si="44"/>
        <v>0</v>
      </c>
      <c r="O156" s="10">
        <f t="shared" si="45"/>
        <v>0</v>
      </c>
      <c r="P156" s="10">
        <f t="shared" si="46"/>
        <v>0</v>
      </c>
      <c r="Q156" s="10">
        <f t="shared" si="47"/>
        <v>0</v>
      </c>
      <c r="R156" s="10">
        <f t="shared" si="48"/>
        <v>0</v>
      </c>
      <c r="S156" s="10">
        <f t="shared" si="49"/>
        <v>0</v>
      </c>
      <c r="T156" s="10">
        <f t="shared" si="50"/>
        <v>0</v>
      </c>
      <c r="U156" s="10">
        <f t="shared" si="51"/>
        <v>0</v>
      </c>
      <c r="V156" s="10">
        <f t="shared" si="52"/>
        <v>0</v>
      </c>
    </row>
    <row r="157" spans="1:22" x14ac:dyDescent="0.2">
      <c r="A157" s="32">
        <v>7</v>
      </c>
      <c r="B157" s="33">
        <v>0.33333333333333298</v>
      </c>
      <c r="C157" s="32">
        <f>'1200z'!E16</f>
        <v>11</v>
      </c>
      <c r="D157" s="32">
        <f>'1200z'!F16</f>
        <v>14</v>
      </c>
      <c r="E157" s="32">
        <f t="shared" si="53"/>
        <v>110</v>
      </c>
      <c r="F157" s="10">
        <f t="shared" si="54"/>
        <v>0</v>
      </c>
      <c r="G157" s="10">
        <f t="shared" si="55"/>
        <v>0</v>
      </c>
      <c r="H157" s="10">
        <f t="shared" si="38"/>
        <v>0</v>
      </c>
      <c r="I157" s="10">
        <f t="shared" si="39"/>
        <v>0</v>
      </c>
      <c r="J157" s="10">
        <f t="shared" si="40"/>
        <v>0</v>
      </c>
      <c r="K157" s="10">
        <f t="shared" si="41"/>
        <v>1</v>
      </c>
      <c r="L157" s="10">
        <f t="shared" si="42"/>
        <v>0</v>
      </c>
      <c r="M157" s="10">
        <f t="shared" si="43"/>
        <v>0</v>
      </c>
      <c r="N157" s="10">
        <f t="shared" si="44"/>
        <v>0</v>
      </c>
      <c r="O157" s="10">
        <f t="shared" si="45"/>
        <v>0</v>
      </c>
      <c r="P157" s="10">
        <f t="shared" si="46"/>
        <v>0</v>
      </c>
      <c r="Q157" s="10">
        <f t="shared" si="47"/>
        <v>0</v>
      </c>
      <c r="R157" s="10">
        <f t="shared" si="48"/>
        <v>0</v>
      </c>
      <c r="S157" s="10">
        <f t="shared" si="49"/>
        <v>0</v>
      </c>
      <c r="T157" s="10">
        <f t="shared" si="50"/>
        <v>0</v>
      </c>
      <c r="U157" s="10">
        <f t="shared" si="51"/>
        <v>0</v>
      </c>
      <c r="V157" s="10">
        <f t="shared" si="52"/>
        <v>0</v>
      </c>
    </row>
    <row r="158" spans="1:22" x14ac:dyDescent="0.2">
      <c r="A158" s="32">
        <v>7</v>
      </c>
      <c r="B158" s="33">
        <v>0.375</v>
      </c>
      <c r="C158" s="32">
        <f>'1300z'!E16</f>
        <v>10</v>
      </c>
      <c r="D158" s="32">
        <f>'1300z'!F16</f>
        <v>15</v>
      </c>
      <c r="E158" s="32">
        <f t="shared" si="53"/>
        <v>100</v>
      </c>
      <c r="F158" s="10">
        <f t="shared" si="54"/>
        <v>0</v>
      </c>
      <c r="G158" s="10">
        <f t="shared" si="55"/>
        <v>0</v>
      </c>
      <c r="H158" s="10">
        <f t="shared" si="38"/>
        <v>0</v>
      </c>
      <c r="I158" s="10">
        <f t="shared" si="39"/>
        <v>0</v>
      </c>
      <c r="J158" s="10">
        <f t="shared" si="40"/>
        <v>1</v>
      </c>
      <c r="K158" s="10">
        <f t="shared" si="41"/>
        <v>0</v>
      </c>
      <c r="L158" s="10">
        <f t="shared" si="42"/>
        <v>0</v>
      </c>
      <c r="M158" s="10">
        <f t="shared" si="43"/>
        <v>0</v>
      </c>
      <c r="N158" s="10">
        <f t="shared" si="44"/>
        <v>0</v>
      </c>
      <c r="O158" s="10">
        <f t="shared" si="45"/>
        <v>0</v>
      </c>
      <c r="P158" s="10">
        <f t="shared" si="46"/>
        <v>0</v>
      </c>
      <c r="Q158" s="10">
        <f t="shared" si="47"/>
        <v>0</v>
      </c>
      <c r="R158" s="10">
        <f t="shared" si="48"/>
        <v>0</v>
      </c>
      <c r="S158" s="10">
        <f t="shared" si="49"/>
        <v>0</v>
      </c>
      <c r="T158" s="10">
        <f t="shared" si="50"/>
        <v>0</v>
      </c>
      <c r="U158" s="10">
        <f t="shared" si="51"/>
        <v>0</v>
      </c>
      <c r="V158" s="10">
        <f t="shared" si="52"/>
        <v>0</v>
      </c>
    </row>
    <row r="159" spans="1:22" x14ac:dyDescent="0.2">
      <c r="A159" s="32">
        <v>7</v>
      </c>
      <c r="B159" s="33">
        <v>0.41666666666666702</v>
      </c>
      <c r="C159" s="32">
        <f>'1400z'!E16</f>
        <v>12</v>
      </c>
      <c r="D159" s="32">
        <f>'1400z'!F16</f>
        <v>16</v>
      </c>
      <c r="E159" s="32">
        <f t="shared" si="53"/>
        <v>120</v>
      </c>
      <c r="F159" s="10">
        <f t="shared" si="54"/>
        <v>0</v>
      </c>
      <c r="G159" s="10">
        <f t="shared" si="55"/>
        <v>0</v>
      </c>
      <c r="H159" s="10">
        <f t="shared" si="38"/>
        <v>0</v>
      </c>
      <c r="I159" s="10">
        <f t="shared" si="39"/>
        <v>0</v>
      </c>
      <c r="J159" s="10">
        <f t="shared" si="40"/>
        <v>0</v>
      </c>
      <c r="K159" s="10">
        <f t="shared" si="41"/>
        <v>1</v>
      </c>
      <c r="L159" s="10">
        <f t="shared" si="42"/>
        <v>0</v>
      </c>
      <c r="M159" s="10">
        <f t="shared" si="43"/>
        <v>0</v>
      </c>
      <c r="N159" s="10">
        <f t="shared" si="44"/>
        <v>0</v>
      </c>
      <c r="O159" s="10">
        <f t="shared" si="45"/>
        <v>0</v>
      </c>
      <c r="P159" s="10">
        <f t="shared" si="46"/>
        <v>0</v>
      </c>
      <c r="Q159" s="10">
        <f t="shared" si="47"/>
        <v>0</v>
      </c>
      <c r="R159" s="10">
        <f t="shared" si="48"/>
        <v>0</v>
      </c>
      <c r="S159" s="10">
        <f t="shared" si="49"/>
        <v>0</v>
      </c>
      <c r="T159" s="10">
        <f t="shared" si="50"/>
        <v>0</v>
      </c>
      <c r="U159" s="10">
        <f t="shared" si="51"/>
        <v>0</v>
      </c>
      <c r="V159" s="10">
        <f t="shared" si="52"/>
        <v>0</v>
      </c>
    </row>
    <row r="160" spans="1:22" x14ac:dyDescent="0.2">
      <c r="A160" s="32">
        <v>7</v>
      </c>
      <c r="B160" s="33">
        <v>0.45833333333333298</v>
      </c>
      <c r="C160" s="32">
        <f>'1500z'!E16</f>
        <v>12</v>
      </c>
      <c r="D160" s="32">
        <f>'1500z'!F16</f>
        <v>17</v>
      </c>
      <c r="E160" s="32">
        <f t="shared" si="53"/>
        <v>120</v>
      </c>
      <c r="F160" s="10">
        <f t="shared" si="54"/>
        <v>0</v>
      </c>
      <c r="G160" s="10">
        <f t="shared" si="55"/>
        <v>0</v>
      </c>
      <c r="H160" s="10">
        <f t="shared" si="38"/>
        <v>0</v>
      </c>
      <c r="I160" s="10">
        <f t="shared" si="39"/>
        <v>0</v>
      </c>
      <c r="J160" s="10">
        <f t="shared" si="40"/>
        <v>0</v>
      </c>
      <c r="K160" s="10">
        <f t="shared" si="41"/>
        <v>1</v>
      </c>
      <c r="L160" s="10">
        <f t="shared" si="42"/>
        <v>0</v>
      </c>
      <c r="M160" s="10">
        <f t="shared" si="43"/>
        <v>0</v>
      </c>
      <c r="N160" s="10">
        <f t="shared" si="44"/>
        <v>0</v>
      </c>
      <c r="O160" s="10">
        <f t="shared" si="45"/>
        <v>0</v>
      </c>
      <c r="P160" s="10">
        <f t="shared" si="46"/>
        <v>0</v>
      </c>
      <c r="Q160" s="10">
        <f t="shared" si="47"/>
        <v>0</v>
      </c>
      <c r="R160" s="10">
        <f t="shared" si="48"/>
        <v>0</v>
      </c>
      <c r="S160" s="10">
        <f t="shared" si="49"/>
        <v>0</v>
      </c>
      <c r="T160" s="10">
        <f t="shared" si="50"/>
        <v>0</v>
      </c>
      <c r="U160" s="10">
        <f t="shared" si="51"/>
        <v>0</v>
      </c>
      <c r="V160" s="10">
        <f t="shared" si="52"/>
        <v>0</v>
      </c>
    </row>
    <row r="161" spans="1:22" x14ac:dyDescent="0.2">
      <c r="A161" s="32">
        <v>7</v>
      </c>
      <c r="B161" s="33">
        <v>0.5</v>
      </c>
      <c r="C161" s="32">
        <f>'1600z'!E16</f>
        <v>11</v>
      </c>
      <c r="D161" s="32">
        <f>'1600z'!F16</f>
        <v>17</v>
      </c>
      <c r="E161" s="32">
        <f t="shared" si="53"/>
        <v>110</v>
      </c>
      <c r="F161" s="10">
        <f t="shared" si="54"/>
        <v>0</v>
      </c>
      <c r="G161" s="10">
        <f t="shared" si="55"/>
        <v>0</v>
      </c>
      <c r="H161" s="10">
        <f t="shared" si="38"/>
        <v>0</v>
      </c>
      <c r="I161" s="10">
        <f t="shared" si="39"/>
        <v>0</v>
      </c>
      <c r="J161" s="10">
        <f t="shared" si="40"/>
        <v>0</v>
      </c>
      <c r="K161" s="10">
        <f t="shared" si="41"/>
        <v>1</v>
      </c>
      <c r="L161" s="10">
        <f t="shared" si="42"/>
        <v>0</v>
      </c>
      <c r="M161" s="10">
        <f t="shared" si="43"/>
        <v>0</v>
      </c>
      <c r="N161" s="10">
        <f t="shared" si="44"/>
        <v>0</v>
      </c>
      <c r="O161" s="10">
        <f t="shared" si="45"/>
        <v>0</v>
      </c>
      <c r="P161" s="10">
        <f t="shared" si="46"/>
        <v>0</v>
      </c>
      <c r="Q161" s="10">
        <f t="shared" si="47"/>
        <v>0</v>
      </c>
      <c r="R161" s="10">
        <f t="shared" si="48"/>
        <v>0</v>
      </c>
      <c r="S161" s="10">
        <f t="shared" si="49"/>
        <v>0</v>
      </c>
      <c r="T161" s="10">
        <f t="shared" si="50"/>
        <v>0</v>
      </c>
      <c r="U161" s="10">
        <f t="shared" si="51"/>
        <v>0</v>
      </c>
      <c r="V161" s="10">
        <f t="shared" si="52"/>
        <v>0</v>
      </c>
    </row>
    <row r="162" spans="1:22" x14ac:dyDescent="0.2">
      <c r="A162" s="32">
        <v>7</v>
      </c>
      <c r="B162" s="33">
        <v>0.54166666666666696</v>
      </c>
      <c r="C162" s="32">
        <f>'1700z'!E16</f>
        <v>11</v>
      </c>
      <c r="D162" s="32">
        <f>'1700z'!F16</f>
        <v>15</v>
      </c>
      <c r="E162" s="32">
        <f t="shared" si="53"/>
        <v>110</v>
      </c>
      <c r="F162" s="10">
        <f t="shared" si="54"/>
        <v>0</v>
      </c>
      <c r="G162" s="10">
        <f t="shared" si="55"/>
        <v>0</v>
      </c>
      <c r="H162" s="10">
        <f t="shared" si="38"/>
        <v>0</v>
      </c>
      <c r="I162" s="10">
        <f t="shared" si="39"/>
        <v>0</v>
      </c>
      <c r="J162" s="10">
        <f t="shared" si="40"/>
        <v>0</v>
      </c>
      <c r="K162" s="10">
        <f t="shared" si="41"/>
        <v>1</v>
      </c>
      <c r="L162" s="10">
        <f t="shared" si="42"/>
        <v>0</v>
      </c>
      <c r="M162" s="10">
        <f t="shared" si="43"/>
        <v>0</v>
      </c>
      <c r="N162" s="10">
        <f t="shared" si="44"/>
        <v>0</v>
      </c>
      <c r="O162" s="10">
        <f t="shared" si="45"/>
        <v>0</v>
      </c>
      <c r="P162" s="10">
        <f t="shared" si="46"/>
        <v>0</v>
      </c>
      <c r="Q162" s="10">
        <f t="shared" si="47"/>
        <v>0</v>
      </c>
      <c r="R162" s="10">
        <f t="shared" si="48"/>
        <v>0</v>
      </c>
      <c r="S162" s="10">
        <f t="shared" si="49"/>
        <v>0</v>
      </c>
      <c r="T162" s="10">
        <f t="shared" si="50"/>
        <v>0</v>
      </c>
      <c r="U162" s="10">
        <f t="shared" si="51"/>
        <v>0</v>
      </c>
      <c r="V162" s="10">
        <f t="shared" si="52"/>
        <v>0</v>
      </c>
    </row>
    <row r="163" spans="1:22" x14ac:dyDescent="0.2">
      <c r="A163" s="32">
        <v>7</v>
      </c>
      <c r="B163" s="33">
        <v>0.58333333333333304</v>
      </c>
      <c r="C163" s="32">
        <f>'1800z'!E16</f>
        <v>12</v>
      </c>
      <c r="D163" s="32">
        <f>'1800z'!F16</f>
        <v>15</v>
      </c>
      <c r="E163" s="32">
        <f t="shared" si="53"/>
        <v>120</v>
      </c>
      <c r="F163" s="10">
        <f t="shared" si="54"/>
        <v>0</v>
      </c>
      <c r="G163" s="10">
        <f t="shared" si="55"/>
        <v>0</v>
      </c>
      <c r="H163" s="10">
        <f t="shared" si="38"/>
        <v>0</v>
      </c>
      <c r="I163" s="10">
        <f t="shared" si="39"/>
        <v>0</v>
      </c>
      <c r="J163" s="10">
        <f t="shared" si="40"/>
        <v>0</v>
      </c>
      <c r="K163" s="10">
        <f t="shared" si="41"/>
        <v>1</v>
      </c>
      <c r="L163" s="10">
        <f t="shared" si="42"/>
        <v>0</v>
      </c>
      <c r="M163" s="10">
        <f t="shared" si="43"/>
        <v>0</v>
      </c>
      <c r="N163" s="10">
        <f t="shared" si="44"/>
        <v>0</v>
      </c>
      <c r="O163" s="10">
        <f t="shared" si="45"/>
        <v>0</v>
      </c>
      <c r="P163" s="10">
        <f t="shared" si="46"/>
        <v>0</v>
      </c>
      <c r="Q163" s="10">
        <f t="shared" si="47"/>
        <v>0</v>
      </c>
      <c r="R163" s="10">
        <f t="shared" si="48"/>
        <v>0</v>
      </c>
      <c r="S163" s="10">
        <f t="shared" si="49"/>
        <v>0</v>
      </c>
      <c r="T163" s="10">
        <f t="shared" si="50"/>
        <v>0</v>
      </c>
      <c r="U163" s="10">
        <f t="shared" si="51"/>
        <v>0</v>
      </c>
      <c r="V163" s="10">
        <f t="shared" si="52"/>
        <v>0</v>
      </c>
    </row>
    <row r="164" spans="1:22" x14ac:dyDescent="0.2">
      <c r="A164" s="32">
        <v>7</v>
      </c>
      <c r="B164" s="33">
        <v>0.625</v>
      </c>
      <c r="C164" s="32">
        <f>'1900z'!E16</f>
        <v>12</v>
      </c>
      <c r="D164" s="32">
        <f>'1900z'!F16</f>
        <v>18</v>
      </c>
      <c r="E164" s="32">
        <f t="shared" si="53"/>
        <v>120</v>
      </c>
      <c r="F164" s="10">
        <f t="shared" si="54"/>
        <v>0</v>
      </c>
      <c r="G164" s="10">
        <f t="shared" si="55"/>
        <v>0</v>
      </c>
      <c r="H164" s="10">
        <f t="shared" si="38"/>
        <v>0</v>
      </c>
      <c r="I164" s="10">
        <f t="shared" si="39"/>
        <v>0</v>
      </c>
      <c r="J164" s="10">
        <f t="shared" si="40"/>
        <v>0</v>
      </c>
      <c r="K164" s="10">
        <f t="shared" si="41"/>
        <v>1</v>
      </c>
      <c r="L164" s="10">
        <f t="shared" si="42"/>
        <v>0</v>
      </c>
      <c r="M164" s="10">
        <f t="shared" si="43"/>
        <v>0</v>
      </c>
      <c r="N164" s="10">
        <f t="shared" si="44"/>
        <v>0</v>
      </c>
      <c r="O164" s="10">
        <f t="shared" si="45"/>
        <v>0</v>
      </c>
      <c r="P164" s="10">
        <f t="shared" si="46"/>
        <v>0</v>
      </c>
      <c r="Q164" s="10">
        <f t="shared" si="47"/>
        <v>0</v>
      </c>
      <c r="R164" s="10">
        <f t="shared" si="48"/>
        <v>0</v>
      </c>
      <c r="S164" s="10">
        <f t="shared" si="49"/>
        <v>0</v>
      </c>
      <c r="T164" s="10">
        <f t="shared" si="50"/>
        <v>0</v>
      </c>
      <c r="U164" s="10">
        <f t="shared" si="51"/>
        <v>0</v>
      </c>
      <c r="V164" s="10">
        <f t="shared" si="52"/>
        <v>0</v>
      </c>
    </row>
    <row r="165" spans="1:22" x14ac:dyDescent="0.2">
      <c r="A165" s="32">
        <v>7</v>
      </c>
      <c r="B165" s="33">
        <v>0.66666666666666696</v>
      </c>
      <c r="C165" s="32">
        <f>'2000z'!E16</f>
        <v>11</v>
      </c>
      <c r="D165" s="32">
        <f>'2000z'!F16</f>
        <v>17</v>
      </c>
      <c r="E165" s="32">
        <f t="shared" si="53"/>
        <v>110</v>
      </c>
      <c r="F165" s="10">
        <f t="shared" si="54"/>
        <v>0</v>
      </c>
      <c r="G165" s="10">
        <f t="shared" si="55"/>
        <v>0</v>
      </c>
      <c r="H165" s="10">
        <f t="shared" si="38"/>
        <v>0</v>
      </c>
      <c r="I165" s="10">
        <f t="shared" si="39"/>
        <v>0</v>
      </c>
      <c r="J165" s="10">
        <f t="shared" si="40"/>
        <v>0</v>
      </c>
      <c r="K165" s="10">
        <f t="shared" si="41"/>
        <v>1</v>
      </c>
      <c r="L165" s="10">
        <f t="shared" si="42"/>
        <v>0</v>
      </c>
      <c r="M165" s="10">
        <f t="shared" si="43"/>
        <v>0</v>
      </c>
      <c r="N165" s="10">
        <f t="shared" si="44"/>
        <v>0</v>
      </c>
      <c r="O165" s="10">
        <f t="shared" si="45"/>
        <v>0</v>
      </c>
      <c r="P165" s="10">
        <f t="shared" si="46"/>
        <v>0</v>
      </c>
      <c r="Q165" s="10">
        <f t="shared" si="47"/>
        <v>0</v>
      </c>
      <c r="R165" s="10">
        <f t="shared" si="48"/>
        <v>0</v>
      </c>
      <c r="S165" s="10">
        <f t="shared" si="49"/>
        <v>0</v>
      </c>
      <c r="T165" s="10">
        <f t="shared" si="50"/>
        <v>0</v>
      </c>
      <c r="U165" s="10">
        <f t="shared" si="51"/>
        <v>0</v>
      </c>
      <c r="V165" s="10">
        <f t="shared" si="52"/>
        <v>0</v>
      </c>
    </row>
    <row r="166" spans="1:22" x14ac:dyDescent="0.2">
      <c r="A166" s="32">
        <v>7</v>
      </c>
      <c r="B166" s="33">
        <v>0.70833333333333304</v>
      </c>
      <c r="C166" s="32">
        <f>'2100z'!E16</f>
        <v>11</v>
      </c>
      <c r="D166" s="32">
        <f>'2100z'!F16</f>
        <v>14</v>
      </c>
      <c r="E166" s="32">
        <f t="shared" si="53"/>
        <v>110</v>
      </c>
      <c r="F166" s="10">
        <f t="shared" si="54"/>
        <v>0</v>
      </c>
      <c r="G166" s="10">
        <f t="shared" si="55"/>
        <v>0</v>
      </c>
      <c r="H166" s="10">
        <f t="shared" si="38"/>
        <v>0</v>
      </c>
      <c r="I166" s="10">
        <f t="shared" si="39"/>
        <v>0</v>
      </c>
      <c r="J166" s="10">
        <f t="shared" si="40"/>
        <v>0</v>
      </c>
      <c r="K166" s="10">
        <f t="shared" si="41"/>
        <v>1</v>
      </c>
      <c r="L166" s="10">
        <f t="shared" si="42"/>
        <v>0</v>
      </c>
      <c r="M166" s="10">
        <f t="shared" si="43"/>
        <v>0</v>
      </c>
      <c r="N166" s="10">
        <f t="shared" si="44"/>
        <v>0</v>
      </c>
      <c r="O166" s="10">
        <f t="shared" si="45"/>
        <v>0</v>
      </c>
      <c r="P166" s="10">
        <f t="shared" si="46"/>
        <v>0</v>
      </c>
      <c r="Q166" s="10">
        <f t="shared" si="47"/>
        <v>0</v>
      </c>
      <c r="R166" s="10">
        <f t="shared" si="48"/>
        <v>0</v>
      </c>
      <c r="S166" s="10">
        <f t="shared" si="49"/>
        <v>0</v>
      </c>
      <c r="T166" s="10">
        <f t="shared" si="50"/>
        <v>0</v>
      </c>
      <c r="U166" s="10">
        <f t="shared" si="51"/>
        <v>0</v>
      </c>
      <c r="V166" s="10">
        <f t="shared" si="52"/>
        <v>0</v>
      </c>
    </row>
    <row r="167" spans="1:22" x14ac:dyDescent="0.2">
      <c r="A167" s="32">
        <v>7</v>
      </c>
      <c r="B167" s="33">
        <v>0.75</v>
      </c>
      <c r="C167" s="32">
        <f>'2200z'!E16</f>
        <v>10</v>
      </c>
      <c r="D167" s="32">
        <f>'2200z'!F16</f>
        <v>11</v>
      </c>
      <c r="E167" s="32">
        <f t="shared" si="53"/>
        <v>100</v>
      </c>
      <c r="F167" s="10">
        <f t="shared" si="54"/>
        <v>0</v>
      </c>
      <c r="G167" s="10">
        <f t="shared" si="55"/>
        <v>0</v>
      </c>
      <c r="H167" s="10">
        <f t="shared" si="38"/>
        <v>0</v>
      </c>
      <c r="I167" s="10">
        <f t="shared" si="39"/>
        <v>0</v>
      </c>
      <c r="J167" s="10">
        <f t="shared" si="40"/>
        <v>1</v>
      </c>
      <c r="K167" s="10">
        <f t="shared" si="41"/>
        <v>0</v>
      </c>
      <c r="L167" s="10">
        <f t="shared" si="42"/>
        <v>0</v>
      </c>
      <c r="M167" s="10">
        <f t="shared" si="43"/>
        <v>0</v>
      </c>
      <c r="N167" s="10">
        <f t="shared" si="44"/>
        <v>0</v>
      </c>
      <c r="O167" s="10">
        <f t="shared" si="45"/>
        <v>0</v>
      </c>
      <c r="P167" s="10">
        <f t="shared" si="46"/>
        <v>0</v>
      </c>
      <c r="Q167" s="10">
        <f t="shared" si="47"/>
        <v>0</v>
      </c>
      <c r="R167" s="10">
        <f t="shared" si="48"/>
        <v>0</v>
      </c>
      <c r="S167" s="10">
        <f t="shared" si="49"/>
        <v>0</v>
      </c>
      <c r="T167" s="10">
        <f t="shared" si="50"/>
        <v>0</v>
      </c>
      <c r="U167" s="10">
        <f t="shared" si="51"/>
        <v>0</v>
      </c>
      <c r="V167" s="10">
        <f t="shared" si="52"/>
        <v>0</v>
      </c>
    </row>
    <row r="168" spans="1:22" x14ac:dyDescent="0.2">
      <c r="A168" s="32">
        <v>7</v>
      </c>
      <c r="B168" s="33">
        <v>0.79166666666666696</v>
      </c>
      <c r="C168" s="32">
        <f>'2300z'!E16</f>
        <v>9</v>
      </c>
      <c r="D168" s="32">
        <f>'2300z'!F16</f>
        <v>11</v>
      </c>
      <c r="E168" s="32">
        <f t="shared" si="53"/>
        <v>90</v>
      </c>
      <c r="F168" s="10">
        <f t="shared" si="54"/>
        <v>0</v>
      </c>
      <c r="G168" s="10">
        <f t="shared" si="55"/>
        <v>0</v>
      </c>
      <c r="H168" s="10">
        <f t="shared" si="38"/>
        <v>0</v>
      </c>
      <c r="I168" s="10">
        <f t="shared" si="39"/>
        <v>0</v>
      </c>
      <c r="J168" s="10">
        <f t="shared" si="40"/>
        <v>1</v>
      </c>
      <c r="K168" s="10">
        <f t="shared" si="41"/>
        <v>0</v>
      </c>
      <c r="L168" s="10">
        <f t="shared" si="42"/>
        <v>0</v>
      </c>
      <c r="M168" s="10">
        <f t="shared" si="43"/>
        <v>0</v>
      </c>
      <c r="N168" s="10">
        <f t="shared" si="44"/>
        <v>0</v>
      </c>
      <c r="O168" s="10">
        <f t="shared" si="45"/>
        <v>0</v>
      </c>
      <c r="P168" s="10">
        <f t="shared" si="46"/>
        <v>0</v>
      </c>
      <c r="Q168" s="10">
        <f t="shared" si="47"/>
        <v>0</v>
      </c>
      <c r="R168" s="10">
        <f t="shared" si="48"/>
        <v>0</v>
      </c>
      <c r="S168" s="10">
        <f t="shared" si="49"/>
        <v>0</v>
      </c>
      <c r="T168" s="10">
        <f t="shared" si="50"/>
        <v>0</v>
      </c>
      <c r="U168" s="10">
        <f t="shared" si="51"/>
        <v>0</v>
      </c>
      <c r="V168" s="10">
        <f t="shared" si="52"/>
        <v>0</v>
      </c>
    </row>
    <row r="169" spans="1:22" x14ac:dyDescent="0.2">
      <c r="A169" s="32">
        <v>7</v>
      </c>
      <c r="B169" s="33">
        <v>0.83333333333333304</v>
      </c>
      <c r="C169" s="32">
        <f>'0000z'!E16</f>
        <v>9</v>
      </c>
      <c r="D169" s="32">
        <f>'0000z'!F16</f>
        <v>14</v>
      </c>
      <c r="E169" s="32">
        <f t="shared" si="53"/>
        <v>90</v>
      </c>
      <c r="F169" s="10">
        <f t="shared" si="54"/>
        <v>0</v>
      </c>
      <c r="G169" s="10">
        <f t="shared" si="55"/>
        <v>0</v>
      </c>
      <c r="H169" s="10">
        <f t="shared" si="38"/>
        <v>0</v>
      </c>
      <c r="I169" s="10">
        <f t="shared" si="39"/>
        <v>0</v>
      </c>
      <c r="J169" s="10">
        <f t="shared" si="40"/>
        <v>1</v>
      </c>
      <c r="K169" s="10">
        <f t="shared" si="41"/>
        <v>0</v>
      </c>
      <c r="L169" s="10">
        <f t="shared" si="42"/>
        <v>0</v>
      </c>
      <c r="M169" s="10">
        <f t="shared" si="43"/>
        <v>0</v>
      </c>
      <c r="N169" s="10">
        <f t="shared" si="44"/>
        <v>0</v>
      </c>
      <c r="O169" s="10">
        <f t="shared" si="45"/>
        <v>0</v>
      </c>
      <c r="P169" s="10">
        <f t="shared" si="46"/>
        <v>0</v>
      </c>
      <c r="Q169" s="10">
        <f t="shared" si="47"/>
        <v>0</v>
      </c>
      <c r="R169" s="10">
        <f t="shared" si="48"/>
        <v>0</v>
      </c>
      <c r="S169" s="10">
        <f t="shared" si="49"/>
        <v>0</v>
      </c>
      <c r="T169" s="10">
        <f t="shared" si="50"/>
        <v>0</v>
      </c>
      <c r="U169" s="10">
        <f t="shared" si="51"/>
        <v>0</v>
      </c>
      <c r="V169" s="10">
        <f t="shared" si="52"/>
        <v>0</v>
      </c>
    </row>
    <row r="170" spans="1:22" x14ac:dyDescent="0.2">
      <c r="A170" s="32">
        <v>7</v>
      </c>
      <c r="B170" s="33">
        <v>0.875</v>
      </c>
      <c r="C170" s="32">
        <f>'0100z'!E16</f>
        <v>10</v>
      </c>
      <c r="D170" s="32">
        <f>'0100z'!F16</f>
        <v>12</v>
      </c>
      <c r="E170" s="32">
        <f t="shared" si="53"/>
        <v>100</v>
      </c>
      <c r="F170" s="10">
        <f t="shared" si="54"/>
        <v>0</v>
      </c>
      <c r="G170" s="10">
        <f t="shared" si="55"/>
        <v>0</v>
      </c>
      <c r="H170" s="10">
        <f t="shared" si="38"/>
        <v>0</v>
      </c>
      <c r="I170" s="10">
        <f t="shared" si="39"/>
        <v>0</v>
      </c>
      <c r="J170" s="10">
        <f t="shared" si="40"/>
        <v>1</v>
      </c>
      <c r="K170" s="10">
        <f t="shared" si="41"/>
        <v>0</v>
      </c>
      <c r="L170" s="10">
        <f t="shared" si="42"/>
        <v>0</v>
      </c>
      <c r="M170" s="10">
        <f t="shared" si="43"/>
        <v>0</v>
      </c>
      <c r="N170" s="10">
        <f t="shared" si="44"/>
        <v>0</v>
      </c>
      <c r="O170" s="10">
        <f t="shared" si="45"/>
        <v>0</v>
      </c>
      <c r="P170" s="10">
        <f t="shared" si="46"/>
        <v>0</v>
      </c>
      <c r="Q170" s="10">
        <f t="shared" si="47"/>
        <v>0</v>
      </c>
      <c r="R170" s="10">
        <f t="shared" si="48"/>
        <v>0</v>
      </c>
      <c r="S170" s="10">
        <f t="shared" si="49"/>
        <v>0</v>
      </c>
      <c r="T170" s="10">
        <f t="shared" si="50"/>
        <v>0</v>
      </c>
      <c r="U170" s="10">
        <f t="shared" si="51"/>
        <v>0</v>
      </c>
      <c r="V170" s="10">
        <f t="shared" si="52"/>
        <v>0</v>
      </c>
    </row>
    <row r="171" spans="1:22" x14ac:dyDescent="0.2">
      <c r="A171" s="32">
        <v>7</v>
      </c>
      <c r="B171" s="33">
        <v>0.91666666666666696</v>
      </c>
      <c r="C171" s="32">
        <f>'0200z'!E16</f>
        <v>10</v>
      </c>
      <c r="D171" s="32">
        <f>'0200z'!F16</f>
        <v>13</v>
      </c>
      <c r="E171" s="32">
        <f t="shared" si="53"/>
        <v>100</v>
      </c>
      <c r="F171" s="10">
        <f t="shared" si="54"/>
        <v>0</v>
      </c>
      <c r="G171" s="10">
        <f t="shared" si="55"/>
        <v>0</v>
      </c>
      <c r="H171" s="10">
        <f t="shared" si="38"/>
        <v>0</v>
      </c>
      <c r="I171" s="10">
        <f t="shared" si="39"/>
        <v>0</v>
      </c>
      <c r="J171" s="10">
        <f t="shared" si="40"/>
        <v>1</v>
      </c>
      <c r="K171" s="10">
        <f t="shared" si="41"/>
        <v>0</v>
      </c>
      <c r="L171" s="10">
        <f t="shared" si="42"/>
        <v>0</v>
      </c>
      <c r="M171" s="10">
        <f t="shared" si="43"/>
        <v>0</v>
      </c>
      <c r="N171" s="10">
        <f t="shared" si="44"/>
        <v>0</v>
      </c>
      <c r="O171" s="10">
        <f t="shared" si="45"/>
        <v>0</v>
      </c>
      <c r="P171" s="10">
        <f t="shared" si="46"/>
        <v>0</v>
      </c>
      <c r="Q171" s="10">
        <f t="shared" si="47"/>
        <v>0</v>
      </c>
      <c r="R171" s="10">
        <f t="shared" si="48"/>
        <v>0</v>
      </c>
      <c r="S171" s="10">
        <f t="shared" si="49"/>
        <v>0</v>
      </c>
      <c r="T171" s="10">
        <f t="shared" si="50"/>
        <v>0</v>
      </c>
      <c r="U171" s="10">
        <f t="shared" si="51"/>
        <v>0</v>
      </c>
      <c r="V171" s="10">
        <f t="shared" si="52"/>
        <v>0</v>
      </c>
    </row>
    <row r="172" spans="1:22" x14ac:dyDescent="0.2">
      <c r="A172" s="32">
        <v>7</v>
      </c>
      <c r="B172" s="33">
        <v>0.95833333333333304</v>
      </c>
      <c r="C172" s="32">
        <f>'0300z'!E16</f>
        <v>10</v>
      </c>
      <c r="D172" s="32">
        <f>'0300z'!F16</f>
        <v>12</v>
      </c>
      <c r="E172" s="32">
        <f t="shared" si="53"/>
        <v>100</v>
      </c>
      <c r="F172" s="10">
        <f t="shared" si="54"/>
        <v>0</v>
      </c>
      <c r="G172" s="10">
        <f t="shared" si="55"/>
        <v>0</v>
      </c>
      <c r="H172" s="10">
        <f t="shared" si="38"/>
        <v>0</v>
      </c>
      <c r="I172" s="10">
        <f t="shared" si="39"/>
        <v>0</v>
      </c>
      <c r="J172" s="10">
        <f t="shared" si="40"/>
        <v>1</v>
      </c>
      <c r="K172" s="10">
        <f t="shared" si="41"/>
        <v>0</v>
      </c>
      <c r="L172" s="10">
        <f t="shared" si="42"/>
        <v>0</v>
      </c>
      <c r="M172" s="10">
        <f t="shared" si="43"/>
        <v>0</v>
      </c>
      <c r="N172" s="10">
        <f t="shared" si="44"/>
        <v>0</v>
      </c>
      <c r="O172" s="10">
        <f t="shared" si="45"/>
        <v>0</v>
      </c>
      <c r="P172" s="10">
        <f t="shared" si="46"/>
        <v>0</v>
      </c>
      <c r="Q172" s="10">
        <f t="shared" si="47"/>
        <v>0</v>
      </c>
      <c r="R172" s="10">
        <f t="shared" si="48"/>
        <v>0</v>
      </c>
      <c r="S172" s="10">
        <f t="shared" si="49"/>
        <v>0</v>
      </c>
      <c r="T172" s="10">
        <f t="shared" si="50"/>
        <v>0</v>
      </c>
      <c r="U172" s="10">
        <f t="shared" si="51"/>
        <v>0</v>
      </c>
      <c r="V172" s="10">
        <f t="shared" si="52"/>
        <v>0</v>
      </c>
    </row>
    <row r="173" spans="1:22" x14ac:dyDescent="0.2">
      <c r="A173" s="32">
        <v>8</v>
      </c>
      <c r="B173" s="33">
        <v>0</v>
      </c>
      <c r="C173" s="32">
        <f>'0400z'!E17</f>
        <v>9</v>
      </c>
      <c r="D173" s="32">
        <f>'0400z'!F17</f>
        <v>10</v>
      </c>
      <c r="E173" s="32">
        <f t="shared" si="53"/>
        <v>90</v>
      </c>
      <c r="F173" s="10">
        <f t="shared" si="54"/>
        <v>0</v>
      </c>
      <c r="G173" s="10">
        <f t="shared" si="55"/>
        <v>0</v>
      </c>
      <c r="H173" s="10">
        <f t="shared" si="38"/>
        <v>0</v>
      </c>
      <c r="I173" s="10">
        <f t="shared" si="39"/>
        <v>0</v>
      </c>
      <c r="J173" s="10">
        <f t="shared" si="40"/>
        <v>1</v>
      </c>
      <c r="K173" s="10">
        <f t="shared" si="41"/>
        <v>0</v>
      </c>
      <c r="L173" s="10">
        <f t="shared" si="42"/>
        <v>0</v>
      </c>
      <c r="M173" s="10">
        <f t="shared" si="43"/>
        <v>0</v>
      </c>
      <c r="N173" s="10">
        <f t="shared" si="44"/>
        <v>0</v>
      </c>
      <c r="O173" s="10">
        <f t="shared" si="45"/>
        <v>0</v>
      </c>
      <c r="P173" s="10">
        <f t="shared" si="46"/>
        <v>0</v>
      </c>
      <c r="Q173" s="10">
        <f t="shared" si="47"/>
        <v>0</v>
      </c>
      <c r="R173" s="10">
        <f t="shared" si="48"/>
        <v>0</v>
      </c>
      <c r="S173" s="10">
        <f t="shared" si="49"/>
        <v>0</v>
      </c>
      <c r="T173" s="10">
        <f t="shared" si="50"/>
        <v>0</v>
      </c>
      <c r="U173" s="10">
        <f t="shared" si="51"/>
        <v>0</v>
      </c>
      <c r="V173" s="10">
        <f t="shared" si="52"/>
        <v>0</v>
      </c>
    </row>
    <row r="174" spans="1:22" x14ac:dyDescent="0.2">
      <c r="A174" s="32">
        <v>8</v>
      </c>
      <c r="B174" s="33">
        <v>4.1666666666666664E-2</v>
      </c>
      <c r="C174" s="32">
        <f>'0500z'!E17</f>
        <v>9</v>
      </c>
      <c r="D174" s="32">
        <f>'0500z'!F17</f>
        <v>12</v>
      </c>
      <c r="E174" s="32">
        <f t="shared" si="53"/>
        <v>90</v>
      </c>
      <c r="F174" s="10">
        <f t="shared" si="54"/>
        <v>0</v>
      </c>
      <c r="G174" s="10">
        <f t="shared" si="55"/>
        <v>0</v>
      </c>
      <c r="H174" s="10">
        <f t="shared" si="38"/>
        <v>0</v>
      </c>
      <c r="I174" s="10">
        <f t="shared" si="39"/>
        <v>0</v>
      </c>
      <c r="J174" s="10">
        <f t="shared" si="40"/>
        <v>1</v>
      </c>
      <c r="K174" s="10">
        <f t="shared" si="41"/>
        <v>0</v>
      </c>
      <c r="L174" s="10">
        <f t="shared" si="42"/>
        <v>0</v>
      </c>
      <c r="M174" s="10">
        <f t="shared" si="43"/>
        <v>0</v>
      </c>
      <c r="N174" s="10">
        <f t="shared" si="44"/>
        <v>0</v>
      </c>
      <c r="O174" s="10">
        <f t="shared" si="45"/>
        <v>0</v>
      </c>
      <c r="P174" s="10">
        <f t="shared" si="46"/>
        <v>0</v>
      </c>
      <c r="Q174" s="10">
        <f t="shared" si="47"/>
        <v>0</v>
      </c>
      <c r="R174" s="10">
        <f t="shared" si="48"/>
        <v>0</v>
      </c>
      <c r="S174" s="10">
        <f t="shared" si="49"/>
        <v>0</v>
      </c>
      <c r="T174" s="10">
        <f t="shared" si="50"/>
        <v>0</v>
      </c>
      <c r="U174" s="10">
        <f t="shared" si="51"/>
        <v>0</v>
      </c>
      <c r="V174" s="10">
        <f t="shared" si="52"/>
        <v>0</v>
      </c>
    </row>
    <row r="175" spans="1:22" x14ac:dyDescent="0.2">
      <c r="A175" s="32">
        <v>8</v>
      </c>
      <c r="B175" s="33">
        <v>8.3333333333333329E-2</v>
      </c>
      <c r="C175" s="32">
        <f>'0600z'!E17</f>
        <v>9</v>
      </c>
      <c r="D175" s="32">
        <f>'0600z'!F17</f>
        <v>12</v>
      </c>
      <c r="E175" s="32">
        <f t="shared" si="53"/>
        <v>90</v>
      </c>
      <c r="F175" s="10">
        <f t="shared" si="54"/>
        <v>0</v>
      </c>
      <c r="G175" s="10">
        <f t="shared" si="55"/>
        <v>0</v>
      </c>
      <c r="H175" s="10">
        <f t="shared" si="38"/>
        <v>0</v>
      </c>
      <c r="I175" s="10">
        <f t="shared" si="39"/>
        <v>0</v>
      </c>
      <c r="J175" s="10">
        <f t="shared" si="40"/>
        <v>1</v>
      </c>
      <c r="K175" s="10">
        <f t="shared" si="41"/>
        <v>0</v>
      </c>
      <c r="L175" s="10">
        <f t="shared" si="42"/>
        <v>0</v>
      </c>
      <c r="M175" s="10">
        <f t="shared" si="43"/>
        <v>0</v>
      </c>
      <c r="N175" s="10">
        <f t="shared" si="44"/>
        <v>0</v>
      </c>
      <c r="O175" s="10">
        <f t="shared" si="45"/>
        <v>0</v>
      </c>
      <c r="P175" s="10">
        <f t="shared" si="46"/>
        <v>0</v>
      </c>
      <c r="Q175" s="10">
        <f t="shared" si="47"/>
        <v>0</v>
      </c>
      <c r="R175" s="10">
        <f t="shared" si="48"/>
        <v>0</v>
      </c>
      <c r="S175" s="10">
        <f t="shared" si="49"/>
        <v>0</v>
      </c>
      <c r="T175" s="10">
        <f t="shared" si="50"/>
        <v>0</v>
      </c>
      <c r="U175" s="10">
        <f t="shared" si="51"/>
        <v>0</v>
      </c>
      <c r="V175" s="10">
        <f t="shared" si="52"/>
        <v>0</v>
      </c>
    </row>
    <row r="176" spans="1:22" x14ac:dyDescent="0.2">
      <c r="A176" s="32">
        <v>8</v>
      </c>
      <c r="B176" s="33">
        <v>0.125</v>
      </c>
      <c r="C176" s="32">
        <f>'0700z'!E17</f>
        <v>9</v>
      </c>
      <c r="D176" s="32">
        <f>'0700z'!F17</f>
        <v>15</v>
      </c>
      <c r="E176" s="32">
        <f t="shared" si="53"/>
        <v>90</v>
      </c>
      <c r="F176" s="10">
        <f t="shared" si="54"/>
        <v>0</v>
      </c>
      <c r="G176" s="10">
        <f t="shared" si="55"/>
        <v>0</v>
      </c>
      <c r="H176" s="10">
        <f t="shared" si="38"/>
        <v>0</v>
      </c>
      <c r="I176" s="10">
        <f t="shared" si="39"/>
        <v>0</v>
      </c>
      <c r="J176" s="10">
        <f t="shared" si="40"/>
        <v>1</v>
      </c>
      <c r="K176" s="10">
        <f t="shared" si="41"/>
        <v>0</v>
      </c>
      <c r="L176" s="10">
        <f t="shared" si="42"/>
        <v>0</v>
      </c>
      <c r="M176" s="10">
        <f t="shared" si="43"/>
        <v>0</v>
      </c>
      <c r="N176" s="10">
        <f t="shared" si="44"/>
        <v>0</v>
      </c>
      <c r="O176" s="10">
        <f t="shared" si="45"/>
        <v>0</v>
      </c>
      <c r="P176" s="10">
        <f t="shared" si="46"/>
        <v>0</v>
      </c>
      <c r="Q176" s="10">
        <f t="shared" si="47"/>
        <v>0</v>
      </c>
      <c r="R176" s="10">
        <f t="shared" si="48"/>
        <v>0</v>
      </c>
      <c r="S176" s="10">
        <f t="shared" si="49"/>
        <v>0</v>
      </c>
      <c r="T176" s="10">
        <f t="shared" si="50"/>
        <v>0</v>
      </c>
      <c r="U176" s="10">
        <f t="shared" si="51"/>
        <v>0</v>
      </c>
      <c r="V176" s="10">
        <f t="shared" si="52"/>
        <v>0</v>
      </c>
    </row>
    <row r="177" spans="1:22" x14ac:dyDescent="0.2">
      <c r="A177" s="32">
        <v>8</v>
      </c>
      <c r="B177" s="33">
        <v>0.16666666666666699</v>
      </c>
      <c r="C177" s="32">
        <f>'0800z'!E17</f>
        <v>9</v>
      </c>
      <c r="D177" s="32">
        <f>'0800z'!F17</f>
        <v>15</v>
      </c>
      <c r="E177" s="32">
        <f t="shared" si="53"/>
        <v>90</v>
      </c>
      <c r="F177" s="10">
        <f t="shared" si="54"/>
        <v>0</v>
      </c>
      <c r="G177" s="10">
        <f t="shared" si="55"/>
        <v>0</v>
      </c>
      <c r="H177" s="10">
        <f t="shared" si="38"/>
        <v>0</v>
      </c>
      <c r="I177" s="10">
        <f t="shared" si="39"/>
        <v>0</v>
      </c>
      <c r="J177" s="10">
        <f t="shared" si="40"/>
        <v>1</v>
      </c>
      <c r="K177" s="10">
        <f t="shared" si="41"/>
        <v>0</v>
      </c>
      <c r="L177" s="10">
        <f t="shared" si="42"/>
        <v>0</v>
      </c>
      <c r="M177" s="10">
        <f t="shared" si="43"/>
        <v>0</v>
      </c>
      <c r="N177" s="10">
        <f t="shared" si="44"/>
        <v>0</v>
      </c>
      <c r="O177" s="10">
        <f t="shared" si="45"/>
        <v>0</v>
      </c>
      <c r="P177" s="10">
        <f t="shared" si="46"/>
        <v>0</v>
      </c>
      <c r="Q177" s="10">
        <f t="shared" si="47"/>
        <v>0</v>
      </c>
      <c r="R177" s="10">
        <f t="shared" si="48"/>
        <v>0</v>
      </c>
      <c r="S177" s="10">
        <f t="shared" si="49"/>
        <v>0</v>
      </c>
      <c r="T177" s="10">
        <f t="shared" si="50"/>
        <v>0</v>
      </c>
      <c r="U177" s="10">
        <f t="shared" si="51"/>
        <v>0</v>
      </c>
      <c r="V177" s="10">
        <f t="shared" si="52"/>
        <v>0</v>
      </c>
    </row>
    <row r="178" spans="1:22" x14ac:dyDescent="0.2">
      <c r="A178" s="32">
        <v>8</v>
      </c>
      <c r="B178" s="33">
        <v>0.20833333333333301</v>
      </c>
      <c r="C178" s="32">
        <f>'0900z'!E17</f>
        <v>8</v>
      </c>
      <c r="D178" s="32">
        <f>'0900z'!F17</f>
        <v>10</v>
      </c>
      <c r="E178" s="32">
        <f t="shared" si="53"/>
        <v>80</v>
      </c>
      <c r="F178" s="10">
        <f t="shared" si="54"/>
        <v>0</v>
      </c>
      <c r="G178" s="10">
        <f t="shared" si="55"/>
        <v>0</v>
      </c>
      <c r="H178" s="10">
        <f t="shared" si="38"/>
        <v>0</v>
      </c>
      <c r="I178" s="10">
        <f t="shared" si="39"/>
        <v>0</v>
      </c>
      <c r="J178" s="10">
        <f t="shared" si="40"/>
        <v>1</v>
      </c>
      <c r="K178" s="10">
        <f t="shared" si="41"/>
        <v>0</v>
      </c>
      <c r="L178" s="10">
        <f t="shared" si="42"/>
        <v>0</v>
      </c>
      <c r="M178" s="10">
        <f t="shared" si="43"/>
        <v>0</v>
      </c>
      <c r="N178" s="10">
        <f t="shared" si="44"/>
        <v>0</v>
      </c>
      <c r="O178" s="10">
        <f t="shared" si="45"/>
        <v>0</v>
      </c>
      <c r="P178" s="10">
        <f t="shared" si="46"/>
        <v>0</v>
      </c>
      <c r="Q178" s="10">
        <f t="shared" si="47"/>
        <v>0</v>
      </c>
      <c r="R178" s="10">
        <f t="shared" si="48"/>
        <v>0</v>
      </c>
      <c r="S178" s="10">
        <f t="shared" si="49"/>
        <v>0</v>
      </c>
      <c r="T178" s="10">
        <f t="shared" si="50"/>
        <v>0</v>
      </c>
      <c r="U178" s="10">
        <f t="shared" si="51"/>
        <v>0</v>
      </c>
      <c r="V178" s="10">
        <f t="shared" si="52"/>
        <v>0</v>
      </c>
    </row>
    <row r="179" spans="1:22" x14ac:dyDescent="0.2">
      <c r="A179" s="32">
        <v>8</v>
      </c>
      <c r="B179" s="33">
        <v>0.25</v>
      </c>
      <c r="C179" s="32">
        <f>'1000z'!E17</f>
        <v>10</v>
      </c>
      <c r="D179" s="32">
        <f>'1000z'!F17</f>
        <v>14</v>
      </c>
      <c r="E179" s="32">
        <f t="shared" si="53"/>
        <v>100</v>
      </c>
      <c r="F179" s="10">
        <f t="shared" si="54"/>
        <v>0</v>
      </c>
      <c r="G179" s="10">
        <f t="shared" si="55"/>
        <v>0</v>
      </c>
      <c r="H179" s="10">
        <f t="shared" si="38"/>
        <v>0</v>
      </c>
      <c r="I179" s="10">
        <f t="shared" si="39"/>
        <v>0</v>
      </c>
      <c r="J179" s="10">
        <f t="shared" si="40"/>
        <v>1</v>
      </c>
      <c r="K179" s="10">
        <f t="shared" si="41"/>
        <v>0</v>
      </c>
      <c r="L179" s="10">
        <f t="shared" si="42"/>
        <v>0</v>
      </c>
      <c r="M179" s="10">
        <f t="shared" si="43"/>
        <v>0</v>
      </c>
      <c r="N179" s="10">
        <f t="shared" si="44"/>
        <v>0</v>
      </c>
      <c r="O179" s="10">
        <f t="shared" si="45"/>
        <v>0</v>
      </c>
      <c r="P179" s="10">
        <f t="shared" si="46"/>
        <v>0</v>
      </c>
      <c r="Q179" s="10">
        <f t="shared" si="47"/>
        <v>0</v>
      </c>
      <c r="R179" s="10">
        <f t="shared" si="48"/>
        <v>0</v>
      </c>
      <c r="S179" s="10">
        <f t="shared" si="49"/>
        <v>0</v>
      </c>
      <c r="T179" s="10">
        <f t="shared" si="50"/>
        <v>0</v>
      </c>
      <c r="U179" s="10">
        <f t="shared" si="51"/>
        <v>0</v>
      </c>
      <c r="V179" s="10">
        <f t="shared" si="52"/>
        <v>0</v>
      </c>
    </row>
    <row r="180" spans="1:22" x14ac:dyDescent="0.2">
      <c r="A180" s="32">
        <v>8</v>
      </c>
      <c r="B180" s="33">
        <v>0.29166666666666702</v>
      </c>
      <c r="C180" s="32">
        <f>'1100z'!E17</f>
        <v>11</v>
      </c>
      <c r="D180" s="32">
        <f>'1100z'!F17</f>
        <v>14</v>
      </c>
      <c r="E180" s="32">
        <f t="shared" si="53"/>
        <v>110</v>
      </c>
      <c r="F180" s="10">
        <f t="shared" si="54"/>
        <v>0</v>
      </c>
      <c r="G180" s="10">
        <f t="shared" si="55"/>
        <v>0</v>
      </c>
      <c r="H180" s="10">
        <f t="shared" si="38"/>
        <v>0</v>
      </c>
      <c r="I180" s="10">
        <f t="shared" si="39"/>
        <v>0</v>
      </c>
      <c r="J180" s="10">
        <f t="shared" si="40"/>
        <v>0</v>
      </c>
      <c r="K180" s="10">
        <f t="shared" si="41"/>
        <v>1</v>
      </c>
      <c r="L180" s="10">
        <f t="shared" si="42"/>
        <v>0</v>
      </c>
      <c r="M180" s="10">
        <f t="shared" si="43"/>
        <v>0</v>
      </c>
      <c r="N180" s="10">
        <f t="shared" si="44"/>
        <v>0</v>
      </c>
      <c r="O180" s="10">
        <f t="shared" si="45"/>
        <v>0</v>
      </c>
      <c r="P180" s="10">
        <f t="shared" si="46"/>
        <v>0</v>
      </c>
      <c r="Q180" s="10">
        <f t="shared" si="47"/>
        <v>0</v>
      </c>
      <c r="R180" s="10">
        <f t="shared" si="48"/>
        <v>0</v>
      </c>
      <c r="S180" s="10">
        <f t="shared" si="49"/>
        <v>0</v>
      </c>
      <c r="T180" s="10">
        <f t="shared" si="50"/>
        <v>0</v>
      </c>
      <c r="U180" s="10">
        <f t="shared" si="51"/>
        <v>0</v>
      </c>
      <c r="V180" s="10">
        <f t="shared" si="52"/>
        <v>0</v>
      </c>
    </row>
    <row r="181" spans="1:22" x14ac:dyDescent="0.2">
      <c r="A181" s="32">
        <v>8</v>
      </c>
      <c r="B181" s="33">
        <v>0.33333333333333298</v>
      </c>
      <c r="C181" s="32">
        <f>'1200z'!E17</f>
        <v>11</v>
      </c>
      <c r="D181" s="32">
        <f>'1200z'!F17</f>
        <v>15</v>
      </c>
      <c r="E181" s="32">
        <f t="shared" si="53"/>
        <v>110</v>
      </c>
      <c r="F181" s="10">
        <f t="shared" si="54"/>
        <v>0</v>
      </c>
      <c r="G181" s="10">
        <f t="shared" si="55"/>
        <v>0</v>
      </c>
      <c r="H181" s="10">
        <f t="shared" si="38"/>
        <v>0</v>
      </c>
      <c r="I181" s="10">
        <f t="shared" si="39"/>
        <v>0</v>
      </c>
      <c r="J181" s="10">
        <f t="shared" si="40"/>
        <v>0</v>
      </c>
      <c r="K181" s="10">
        <f t="shared" si="41"/>
        <v>1</v>
      </c>
      <c r="L181" s="10">
        <f t="shared" si="42"/>
        <v>0</v>
      </c>
      <c r="M181" s="10">
        <f t="shared" si="43"/>
        <v>0</v>
      </c>
      <c r="N181" s="10">
        <f t="shared" si="44"/>
        <v>0</v>
      </c>
      <c r="O181" s="10">
        <f t="shared" si="45"/>
        <v>0</v>
      </c>
      <c r="P181" s="10">
        <f t="shared" si="46"/>
        <v>0</v>
      </c>
      <c r="Q181" s="10">
        <f t="shared" si="47"/>
        <v>0</v>
      </c>
      <c r="R181" s="10">
        <f t="shared" si="48"/>
        <v>0</v>
      </c>
      <c r="S181" s="10">
        <f t="shared" si="49"/>
        <v>0</v>
      </c>
      <c r="T181" s="10">
        <f t="shared" si="50"/>
        <v>0</v>
      </c>
      <c r="U181" s="10">
        <f t="shared" si="51"/>
        <v>0</v>
      </c>
      <c r="V181" s="10">
        <f t="shared" si="52"/>
        <v>0</v>
      </c>
    </row>
    <row r="182" spans="1:22" x14ac:dyDescent="0.2">
      <c r="A182" s="32">
        <v>8</v>
      </c>
      <c r="B182" s="33">
        <v>0.375</v>
      </c>
      <c r="C182" s="32">
        <f>'1300z'!E17</f>
        <v>11</v>
      </c>
      <c r="D182" s="32">
        <f>'1300z'!F17</f>
        <v>16</v>
      </c>
      <c r="E182" s="32">
        <f t="shared" si="53"/>
        <v>110</v>
      </c>
      <c r="F182" s="10">
        <f t="shared" si="54"/>
        <v>0</v>
      </c>
      <c r="G182" s="10">
        <f t="shared" si="55"/>
        <v>0</v>
      </c>
      <c r="H182" s="10">
        <f t="shared" si="38"/>
        <v>0</v>
      </c>
      <c r="I182" s="10">
        <f t="shared" si="39"/>
        <v>0</v>
      </c>
      <c r="J182" s="10">
        <f t="shared" si="40"/>
        <v>0</v>
      </c>
      <c r="K182" s="10">
        <f t="shared" si="41"/>
        <v>1</v>
      </c>
      <c r="L182" s="10">
        <f t="shared" si="42"/>
        <v>0</v>
      </c>
      <c r="M182" s="10">
        <f t="shared" si="43"/>
        <v>0</v>
      </c>
      <c r="N182" s="10">
        <f t="shared" si="44"/>
        <v>0</v>
      </c>
      <c r="O182" s="10">
        <f t="shared" si="45"/>
        <v>0</v>
      </c>
      <c r="P182" s="10">
        <f t="shared" si="46"/>
        <v>0</v>
      </c>
      <c r="Q182" s="10">
        <f t="shared" si="47"/>
        <v>0</v>
      </c>
      <c r="R182" s="10">
        <f t="shared" si="48"/>
        <v>0</v>
      </c>
      <c r="S182" s="10">
        <f t="shared" si="49"/>
        <v>0</v>
      </c>
      <c r="T182" s="10">
        <f t="shared" si="50"/>
        <v>0</v>
      </c>
      <c r="U182" s="10">
        <f t="shared" si="51"/>
        <v>0</v>
      </c>
      <c r="V182" s="10">
        <f t="shared" si="52"/>
        <v>0</v>
      </c>
    </row>
    <row r="183" spans="1:22" x14ac:dyDescent="0.2">
      <c r="A183" s="32">
        <v>8</v>
      </c>
      <c r="B183" s="33">
        <v>0.41666666666666702</v>
      </c>
      <c r="C183" s="32">
        <f>'1400z'!E17</f>
        <v>10</v>
      </c>
      <c r="D183" s="32">
        <f>'1400z'!F17</f>
        <v>12</v>
      </c>
      <c r="E183" s="32">
        <f t="shared" si="53"/>
        <v>100</v>
      </c>
      <c r="F183" s="10">
        <f t="shared" si="54"/>
        <v>0</v>
      </c>
      <c r="G183" s="10">
        <f t="shared" si="55"/>
        <v>0</v>
      </c>
      <c r="H183" s="10">
        <f t="shared" si="38"/>
        <v>0</v>
      </c>
      <c r="I183" s="10">
        <f t="shared" si="39"/>
        <v>0</v>
      </c>
      <c r="J183" s="10">
        <f t="shared" si="40"/>
        <v>1</v>
      </c>
      <c r="K183" s="10">
        <f t="shared" si="41"/>
        <v>0</v>
      </c>
      <c r="L183" s="10">
        <f t="shared" si="42"/>
        <v>0</v>
      </c>
      <c r="M183" s="10">
        <f t="shared" si="43"/>
        <v>0</v>
      </c>
      <c r="N183" s="10">
        <f t="shared" si="44"/>
        <v>0</v>
      </c>
      <c r="O183" s="10">
        <f t="shared" si="45"/>
        <v>0</v>
      </c>
      <c r="P183" s="10">
        <f t="shared" si="46"/>
        <v>0</v>
      </c>
      <c r="Q183" s="10">
        <f t="shared" si="47"/>
        <v>0</v>
      </c>
      <c r="R183" s="10">
        <f t="shared" si="48"/>
        <v>0</v>
      </c>
      <c r="S183" s="10">
        <f t="shared" si="49"/>
        <v>0</v>
      </c>
      <c r="T183" s="10">
        <f t="shared" si="50"/>
        <v>0</v>
      </c>
      <c r="U183" s="10">
        <f t="shared" si="51"/>
        <v>0</v>
      </c>
      <c r="V183" s="10">
        <f t="shared" si="52"/>
        <v>0</v>
      </c>
    </row>
    <row r="184" spans="1:22" x14ac:dyDescent="0.2">
      <c r="A184" s="32">
        <v>8</v>
      </c>
      <c r="B184" s="33">
        <v>0.45833333333333298</v>
      </c>
      <c r="C184" s="32">
        <f>'1500z'!E17</f>
        <v>11</v>
      </c>
      <c r="D184" s="32">
        <f>'1500z'!F17</f>
        <v>17</v>
      </c>
      <c r="E184" s="32">
        <f t="shared" si="53"/>
        <v>110</v>
      </c>
      <c r="F184" s="10">
        <f t="shared" si="54"/>
        <v>0</v>
      </c>
      <c r="G184" s="10">
        <f t="shared" si="55"/>
        <v>0</v>
      </c>
      <c r="H184" s="10">
        <f t="shared" si="38"/>
        <v>0</v>
      </c>
      <c r="I184" s="10">
        <f t="shared" si="39"/>
        <v>0</v>
      </c>
      <c r="J184" s="10">
        <f t="shared" si="40"/>
        <v>0</v>
      </c>
      <c r="K184" s="10">
        <f t="shared" si="41"/>
        <v>1</v>
      </c>
      <c r="L184" s="10">
        <f t="shared" si="42"/>
        <v>0</v>
      </c>
      <c r="M184" s="10">
        <f t="shared" si="43"/>
        <v>0</v>
      </c>
      <c r="N184" s="10">
        <f t="shared" si="44"/>
        <v>0</v>
      </c>
      <c r="O184" s="10">
        <f t="shared" si="45"/>
        <v>0</v>
      </c>
      <c r="P184" s="10">
        <f t="shared" si="46"/>
        <v>0</v>
      </c>
      <c r="Q184" s="10">
        <f t="shared" si="47"/>
        <v>0</v>
      </c>
      <c r="R184" s="10">
        <f t="shared" si="48"/>
        <v>0</v>
      </c>
      <c r="S184" s="10">
        <f t="shared" si="49"/>
        <v>0</v>
      </c>
      <c r="T184" s="10">
        <f t="shared" si="50"/>
        <v>0</v>
      </c>
      <c r="U184" s="10">
        <f t="shared" si="51"/>
        <v>0</v>
      </c>
      <c r="V184" s="10">
        <f t="shared" si="52"/>
        <v>0</v>
      </c>
    </row>
    <row r="185" spans="1:22" x14ac:dyDescent="0.2">
      <c r="A185" s="32">
        <v>8</v>
      </c>
      <c r="B185" s="33">
        <v>0.5</v>
      </c>
      <c r="C185" s="32">
        <f>'1600z'!E17</f>
        <v>12</v>
      </c>
      <c r="D185" s="32">
        <f>'1600z'!F17</f>
        <v>13</v>
      </c>
      <c r="E185" s="32">
        <f t="shared" si="53"/>
        <v>120</v>
      </c>
      <c r="F185" s="10">
        <f t="shared" si="54"/>
        <v>0</v>
      </c>
      <c r="G185" s="10">
        <f t="shared" si="55"/>
        <v>0</v>
      </c>
      <c r="H185" s="10">
        <f t="shared" si="38"/>
        <v>0</v>
      </c>
      <c r="I185" s="10">
        <f t="shared" si="39"/>
        <v>0</v>
      </c>
      <c r="J185" s="10">
        <f t="shared" si="40"/>
        <v>0</v>
      </c>
      <c r="K185" s="10">
        <f t="shared" si="41"/>
        <v>1</v>
      </c>
      <c r="L185" s="10">
        <f t="shared" si="42"/>
        <v>0</v>
      </c>
      <c r="M185" s="10">
        <f t="shared" si="43"/>
        <v>0</v>
      </c>
      <c r="N185" s="10">
        <f t="shared" si="44"/>
        <v>0</v>
      </c>
      <c r="O185" s="10">
        <f t="shared" si="45"/>
        <v>0</v>
      </c>
      <c r="P185" s="10">
        <f t="shared" si="46"/>
        <v>0</v>
      </c>
      <c r="Q185" s="10">
        <f t="shared" si="47"/>
        <v>0</v>
      </c>
      <c r="R185" s="10">
        <f t="shared" si="48"/>
        <v>0</v>
      </c>
      <c r="S185" s="10">
        <f t="shared" si="49"/>
        <v>0</v>
      </c>
      <c r="T185" s="10">
        <f t="shared" si="50"/>
        <v>0</v>
      </c>
      <c r="U185" s="10">
        <f t="shared" si="51"/>
        <v>0</v>
      </c>
      <c r="V185" s="10">
        <f t="shared" si="52"/>
        <v>0</v>
      </c>
    </row>
    <row r="186" spans="1:22" x14ac:dyDescent="0.2">
      <c r="A186" s="32">
        <v>8</v>
      </c>
      <c r="B186" s="33">
        <v>0.54166666666666696</v>
      </c>
      <c r="C186" s="32">
        <f>'1700z'!E17</f>
        <v>12</v>
      </c>
      <c r="D186" s="32">
        <f>'1700z'!F17</f>
        <v>15</v>
      </c>
      <c r="E186" s="32">
        <f t="shared" si="53"/>
        <v>120</v>
      </c>
      <c r="F186" s="10">
        <f t="shared" si="54"/>
        <v>0</v>
      </c>
      <c r="G186" s="10">
        <f t="shared" si="55"/>
        <v>0</v>
      </c>
      <c r="H186" s="10">
        <f t="shared" si="38"/>
        <v>0</v>
      </c>
      <c r="I186" s="10">
        <f t="shared" si="39"/>
        <v>0</v>
      </c>
      <c r="J186" s="10">
        <f t="shared" si="40"/>
        <v>0</v>
      </c>
      <c r="K186" s="10">
        <f t="shared" si="41"/>
        <v>1</v>
      </c>
      <c r="L186" s="10">
        <f t="shared" si="42"/>
        <v>0</v>
      </c>
      <c r="M186" s="10">
        <f t="shared" si="43"/>
        <v>0</v>
      </c>
      <c r="N186" s="10">
        <f t="shared" si="44"/>
        <v>0</v>
      </c>
      <c r="O186" s="10">
        <f t="shared" si="45"/>
        <v>0</v>
      </c>
      <c r="P186" s="10">
        <f t="shared" si="46"/>
        <v>0</v>
      </c>
      <c r="Q186" s="10">
        <f t="shared" si="47"/>
        <v>0</v>
      </c>
      <c r="R186" s="10">
        <f t="shared" si="48"/>
        <v>0</v>
      </c>
      <c r="S186" s="10">
        <f t="shared" si="49"/>
        <v>0</v>
      </c>
      <c r="T186" s="10">
        <f t="shared" si="50"/>
        <v>0</v>
      </c>
      <c r="U186" s="10">
        <f t="shared" si="51"/>
        <v>0</v>
      </c>
      <c r="V186" s="10">
        <f t="shared" si="52"/>
        <v>0</v>
      </c>
    </row>
    <row r="187" spans="1:22" x14ac:dyDescent="0.2">
      <c r="A187" s="32">
        <v>8</v>
      </c>
      <c r="B187" s="33">
        <v>0.58333333333333304</v>
      </c>
      <c r="C187" s="32">
        <f>'1800z'!E17</f>
        <v>11</v>
      </c>
      <c r="D187" s="32">
        <f>'1800z'!F17</f>
        <v>17</v>
      </c>
      <c r="E187" s="32">
        <f t="shared" si="53"/>
        <v>110</v>
      </c>
      <c r="F187" s="10">
        <f t="shared" si="54"/>
        <v>0</v>
      </c>
      <c r="G187" s="10">
        <f t="shared" si="55"/>
        <v>0</v>
      </c>
      <c r="H187" s="10">
        <f t="shared" si="38"/>
        <v>0</v>
      </c>
      <c r="I187" s="10">
        <f t="shared" si="39"/>
        <v>0</v>
      </c>
      <c r="J187" s="10">
        <f t="shared" si="40"/>
        <v>0</v>
      </c>
      <c r="K187" s="10">
        <f t="shared" si="41"/>
        <v>1</v>
      </c>
      <c r="L187" s="10">
        <f t="shared" si="42"/>
        <v>0</v>
      </c>
      <c r="M187" s="10">
        <f t="shared" si="43"/>
        <v>0</v>
      </c>
      <c r="N187" s="10">
        <f t="shared" si="44"/>
        <v>0</v>
      </c>
      <c r="O187" s="10">
        <f t="shared" si="45"/>
        <v>0</v>
      </c>
      <c r="P187" s="10">
        <f t="shared" si="46"/>
        <v>0</v>
      </c>
      <c r="Q187" s="10">
        <f t="shared" si="47"/>
        <v>0</v>
      </c>
      <c r="R187" s="10">
        <f t="shared" si="48"/>
        <v>0</v>
      </c>
      <c r="S187" s="10">
        <f t="shared" si="49"/>
        <v>0</v>
      </c>
      <c r="T187" s="10">
        <f t="shared" si="50"/>
        <v>0</v>
      </c>
      <c r="U187" s="10">
        <f t="shared" si="51"/>
        <v>0</v>
      </c>
      <c r="V187" s="10">
        <f t="shared" si="52"/>
        <v>0</v>
      </c>
    </row>
    <row r="188" spans="1:22" x14ac:dyDescent="0.2">
      <c r="A188" s="32">
        <v>8</v>
      </c>
      <c r="B188" s="33">
        <v>0.625</v>
      </c>
      <c r="C188" s="32">
        <f>'1900z'!E17</f>
        <v>9</v>
      </c>
      <c r="D188" s="32">
        <f>'1900z'!F17</f>
        <v>14</v>
      </c>
      <c r="E188" s="32">
        <f t="shared" si="53"/>
        <v>90</v>
      </c>
      <c r="F188" s="10">
        <f t="shared" si="54"/>
        <v>0</v>
      </c>
      <c r="G188" s="10">
        <f t="shared" si="55"/>
        <v>0</v>
      </c>
      <c r="H188" s="10">
        <f t="shared" si="38"/>
        <v>0</v>
      </c>
      <c r="I188" s="10">
        <f t="shared" si="39"/>
        <v>0</v>
      </c>
      <c r="J188" s="10">
        <f t="shared" si="40"/>
        <v>1</v>
      </c>
      <c r="K188" s="10">
        <f t="shared" si="41"/>
        <v>0</v>
      </c>
      <c r="L188" s="10">
        <f t="shared" si="42"/>
        <v>0</v>
      </c>
      <c r="M188" s="10">
        <f t="shared" si="43"/>
        <v>0</v>
      </c>
      <c r="N188" s="10">
        <f t="shared" si="44"/>
        <v>0</v>
      </c>
      <c r="O188" s="10">
        <f t="shared" si="45"/>
        <v>0</v>
      </c>
      <c r="P188" s="10">
        <f t="shared" si="46"/>
        <v>0</v>
      </c>
      <c r="Q188" s="10">
        <f t="shared" si="47"/>
        <v>0</v>
      </c>
      <c r="R188" s="10">
        <f t="shared" si="48"/>
        <v>0</v>
      </c>
      <c r="S188" s="10">
        <f t="shared" si="49"/>
        <v>0</v>
      </c>
      <c r="T188" s="10">
        <f t="shared" si="50"/>
        <v>0</v>
      </c>
      <c r="U188" s="10">
        <f t="shared" si="51"/>
        <v>0</v>
      </c>
      <c r="V188" s="10">
        <f t="shared" si="52"/>
        <v>0</v>
      </c>
    </row>
    <row r="189" spans="1:22" x14ac:dyDescent="0.2">
      <c r="A189" s="32">
        <v>8</v>
      </c>
      <c r="B189" s="33">
        <v>0.66666666666666696</v>
      </c>
      <c r="C189" s="32">
        <f>'2000z'!E17</f>
        <v>10</v>
      </c>
      <c r="D189" s="32">
        <f>'2000z'!F17</f>
        <v>15</v>
      </c>
      <c r="E189" s="32">
        <f t="shared" si="53"/>
        <v>100</v>
      </c>
      <c r="F189" s="10">
        <f t="shared" si="54"/>
        <v>0</v>
      </c>
      <c r="G189" s="10">
        <f t="shared" si="55"/>
        <v>0</v>
      </c>
      <c r="H189" s="10">
        <f t="shared" si="38"/>
        <v>0</v>
      </c>
      <c r="I189" s="10">
        <f t="shared" si="39"/>
        <v>0</v>
      </c>
      <c r="J189" s="10">
        <f t="shared" si="40"/>
        <v>1</v>
      </c>
      <c r="K189" s="10">
        <f t="shared" si="41"/>
        <v>0</v>
      </c>
      <c r="L189" s="10">
        <f t="shared" si="42"/>
        <v>0</v>
      </c>
      <c r="M189" s="10">
        <f t="shared" si="43"/>
        <v>0</v>
      </c>
      <c r="N189" s="10">
        <f t="shared" si="44"/>
        <v>0</v>
      </c>
      <c r="O189" s="10">
        <f t="shared" si="45"/>
        <v>0</v>
      </c>
      <c r="P189" s="10">
        <f t="shared" si="46"/>
        <v>0</v>
      </c>
      <c r="Q189" s="10">
        <f t="shared" si="47"/>
        <v>0</v>
      </c>
      <c r="R189" s="10">
        <f t="shared" si="48"/>
        <v>0</v>
      </c>
      <c r="S189" s="10">
        <f t="shared" si="49"/>
        <v>0</v>
      </c>
      <c r="T189" s="10">
        <f t="shared" si="50"/>
        <v>0</v>
      </c>
      <c r="U189" s="10">
        <f t="shared" si="51"/>
        <v>0</v>
      </c>
      <c r="V189" s="10">
        <f t="shared" si="52"/>
        <v>0</v>
      </c>
    </row>
    <row r="190" spans="1:22" x14ac:dyDescent="0.2">
      <c r="A190" s="32">
        <v>8</v>
      </c>
      <c r="B190" s="33">
        <v>0.70833333333333304</v>
      </c>
      <c r="C190" s="32">
        <f>'2100z'!E17</f>
        <v>10</v>
      </c>
      <c r="D190" s="32">
        <f>'2100z'!F17</f>
        <v>14</v>
      </c>
      <c r="E190" s="32">
        <f t="shared" si="53"/>
        <v>100</v>
      </c>
      <c r="F190" s="10">
        <f t="shared" si="54"/>
        <v>0</v>
      </c>
      <c r="G190" s="10">
        <f t="shared" si="55"/>
        <v>0</v>
      </c>
      <c r="H190" s="10">
        <f t="shared" si="38"/>
        <v>0</v>
      </c>
      <c r="I190" s="10">
        <f t="shared" si="39"/>
        <v>0</v>
      </c>
      <c r="J190" s="10">
        <f t="shared" si="40"/>
        <v>1</v>
      </c>
      <c r="K190" s="10">
        <f t="shared" si="41"/>
        <v>0</v>
      </c>
      <c r="L190" s="10">
        <f t="shared" si="42"/>
        <v>0</v>
      </c>
      <c r="M190" s="10">
        <f t="shared" si="43"/>
        <v>0</v>
      </c>
      <c r="N190" s="10">
        <f t="shared" si="44"/>
        <v>0</v>
      </c>
      <c r="O190" s="10">
        <f t="shared" si="45"/>
        <v>0</v>
      </c>
      <c r="P190" s="10">
        <f t="shared" si="46"/>
        <v>0</v>
      </c>
      <c r="Q190" s="10">
        <f t="shared" si="47"/>
        <v>0</v>
      </c>
      <c r="R190" s="10">
        <f t="shared" si="48"/>
        <v>0</v>
      </c>
      <c r="S190" s="10">
        <f t="shared" si="49"/>
        <v>0</v>
      </c>
      <c r="T190" s="10">
        <f t="shared" si="50"/>
        <v>0</v>
      </c>
      <c r="U190" s="10">
        <f t="shared" si="51"/>
        <v>0</v>
      </c>
      <c r="V190" s="10">
        <f t="shared" si="52"/>
        <v>0</v>
      </c>
    </row>
    <row r="191" spans="1:22" x14ac:dyDescent="0.2">
      <c r="A191" s="32">
        <v>8</v>
      </c>
      <c r="B191" s="33">
        <v>0.75</v>
      </c>
      <c r="C191" s="32">
        <f>'2200z'!E17</f>
        <v>10</v>
      </c>
      <c r="D191" s="32">
        <f>'2200z'!F17</f>
        <v>13</v>
      </c>
      <c r="E191" s="32">
        <f t="shared" si="53"/>
        <v>100</v>
      </c>
      <c r="F191" s="10">
        <f t="shared" si="54"/>
        <v>0</v>
      </c>
      <c r="G191" s="10">
        <f t="shared" si="55"/>
        <v>0</v>
      </c>
      <c r="H191" s="10">
        <f t="shared" si="38"/>
        <v>0</v>
      </c>
      <c r="I191" s="10">
        <f t="shared" si="39"/>
        <v>0</v>
      </c>
      <c r="J191" s="10">
        <f t="shared" si="40"/>
        <v>1</v>
      </c>
      <c r="K191" s="10">
        <f t="shared" si="41"/>
        <v>0</v>
      </c>
      <c r="L191" s="10">
        <f t="shared" si="42"/>
        <v>0</v>
      </c>
      <c r="M191" s="10">
        <f t="shared" si="43"/>
        <v>0</v>
      </c>
      <c r="N191" s="10">
        <f t="shared" si="44"/>
        <v>0</v>
      </c>
      <c r="O191" s="10">
        <f t="shared" si="45"/>
        <v>0</v>
      </c>
      <c r="P191" s="10">
        <f t="shared" si="46"/>
        <v>0</v>
      </c>
      <c r="Q191" s="10">
        <f t="shared" si="47"/>
        <v>0</v>
      </c>
      <c r="R191" s="10">
        <f t="shared" si="48"/>
        <v>0</v>
      </c>
      <c r="S191" s="10">
        <f t="shared" si="49"/>
        <v>0</v>
      </c>
      <c r="T191" s="10">
        <f t="shared" si="50"/>
        <v>0</v>
      </c>
      <c r="U191" s="10">
        <f t="shared" si="51"/>
        <v>0</v>
      </c>
      <c r="V191" s="10">
        <f t="shared" si="52"/>
        <v>0</v>
      </c>
    </row>
    <row r="192" spans="1:22" x14ac:dyDescent="0.2">
      <c r="A192" s="32">
        <v>8</v>
      </c>
      <c r="B192" s="33">
        <v>0.79166666666666696</v>
      </c>
      <c r="C192" s="32">
        <f>'2300z'!E17</f>
        <v>10</v>
      </c>
      <c r="D192" s="32">
        <f>'2300z'!F17</f>
        <v>14</v>
      </c>
      <c r="E192" s="32">
        <f t="shared" si="53"/>
        <v>100</v>
      </c>
      <c r="F192" s="10">
        <f t="shared" si="54"/>
        <v>0</v>
      </c>
      <c r="G192" s="10">
        <f t="shared" si="55"/>
        <v>0</v>
      </c>
      <c r="H192" s="10">
        <f t="shared" si="38"/>
        <v>0</v>
      </c>
      <c r="I192" s="10">
        <f t="shared" si="39"/>
        <v>0</v>
      </c>
      <c r="J192" s="10">
        <f t="shared" si="40"/>
        <v>1</v>
      </c>
      <c r="K192" s="10">
        <f t="shared" si="41"/>
        <v>0</v>
      </c>
      <c r="L192" s="10">
        <f t="shared" si="42"/>
        <v>0</v>
      </c>
      <c r="M192" s="10">
        <f t="shared" si="43"/>
        <v>0</v>
      </c>
      <c r="N192" s="10">
        <f t="shared" si="44"/>
        <v>0</v>
      </c>
      <c r="O192" s="10">
        <f t="shared" si="45"/>
        <v>0</v>
      </c>
      <c r="P192" s="10">
        <f t="shared" si="46"/>
        <v>0</v>
      </c>
      <c r="Q192" s="10">
        <f t="shared" si="47"/>
        <v>0</v>
      </c>
      <c r="R192" s="10">
        <f t="shared" si="48"/>
        <v>0</v>
      </c>
      <c r="S192" s="10">
        <f t="shared" si="49"/>
        <v>0</v>
      </c>
      <c r="T192" s="10">
        <f t="shared" si="50"/>
        <v>0</v>
      </c>
      <c r="U192" s="10">
        <f t="shared" si="51"/>
        <v>0</v>
      </c>
      <c r="V192" s="10">
        <f t="shared" si="52"/>
        <v>0</v>
      </c>
    </row>
    <row r="193" spans="1:22" x14ac:dyDescent="0.2">
      <c r="A193" s="32">
        <v>8</v>
      </c>
      <c r="B193" s="33">
        <v>0.83333333333333304</v>
      </c>
      <c r="C193" s="32">
        <f>'0000z'!E17</f>
        <v>10</v>
      </c>
      <c r="D193" s="32">
        <f>'0000z'!F17</f>
        <v>13</v>
      </c>
      <c r="E193" s="32">
        <f t="shared" si="53"/>
        <v>100</v>
      </c>
      <c r="F193" s="10">
        <f t="shared" si="54"/>
        <v>0</v>
      </c>
      <c r="G193" s="10">
        <f t="shared" si="55"/>
        <v>0</v>
      </c>
      <c r="H193" s="10">
        <f t="shared" si="38"/>
        <v>0</v>
      </c>
      <c r="I193" s="10">
        <f t="shared" si="39"/>
        <v>0</v>
      </c>
      <c r="J193" s="10">
        <f t="shared" si="40"/>
        <v>1</v>
      </c>
      <c r="K193" s="10">
        <f t="shared" si="41"/>
        <v>0</v>
      </c>
      <c r="L193" s="10">
        <f t="shared" si="42"/>
        <v>0</v>
      </c>
      <c r="M193" s="10">
        <f t="shared" si="43"/>
        <v>0</v>
      </c>
      <c r="N193" s="10">
        <f t="shared" si="44"/>
        <v>0</v>
      </c>
      <c r="O193" s="10">
        <f t="shared" si="45"/>
        <v>0</v>
      </c>
      <c r="P193" s="10">
        <f t="shared" si="46"/>
        <v>0</v>
      </c>
      <c r="Q193" s="10">
        <f t="shared" si="47"/>
        <v>0</v>
      </c>
      <c r="R193" s="10">
        <f t="shared" si="48"/>
        <v>0</v>
      </c>
      <c r="S193" s="10">
        <f t="shared" si="49"/>
        <v>0</v>
      </c>
      <c r="T193" s="10">
        <f t="shared" si="50"/>
        <v>0</v>
      </c>
      <c r="U193" s="10">
        <f t="shared" si="51"/>
        <v>0</v>
      </c>
      <c r="V193" s="10">
        <f t="shared" si="52"/>
        <v>0</v>
      </c>
    </row>
    <row r="194" spans="1:22" x14ac:dyDescent="0.2">
      <c r="A194" s="32">
        <v>8</v>
      </c>
      <c r="B194" s="33">
        <v>0.875</v>
      </c>
      <c r="C194" s="32">
        <f>'0100z'!E17</f>
        <v>10</v>
      </c>
      <c r="D194" s="32">
        <f>'0100z'!F17</f>
        <v>14</v>
      </c>
      <c r="E194" s="32">
        <f t="shared" si="53"/>
        <v>100</v>
      </c>
      <c r="F194" s="10">
        <f t="shared" si="54"/>
        <v>0</v>
      </c>
      <c r="G194" s="10">
        <f t="shared" si="55"/>
        <v>0</v>
      </c>
      <c r="H194" s="10">
        <f t="shared" si="38"/>
        <v>0</v>
      </c>
      <c r="I194" s="10">
        <f t="shared" si="39"/>
        <v>0</v>
      </c>
      <c r="J194" s="10">
        <f t="shared" si="40"/>
        <v>1</v>
      </c>
      <c r="K194" s="10">
        <f t="shared" si="41"/>
        <v>0</v>
      </c>
      <c r="L194" s="10">
        <f t="shared" si="42"/>
        <v>0</v>
      </c>
      <c r="M194" s="10">
        <f t="shared" si="43"/>
        <v>0</v>
      </c>
      <c r="N194" s="10">
        <f t="shared" si="44"/>
        <v>0</v>
      </c>
      <c r="O194" s="10">
        <f t="shared" si="45"/>
        <v>0</v>
      </c>
      <c r="P194" s="10">
        <f t="shared" si="46"/>
        <v>0</v>
      </c>
      <c r="Q194" s="10">
        <f t="shared" si="47"/>
        <v>0</v>
      </c>
      <c r="R194" s="10">
        <f t="shared" si="48"/>
        <v>0</v>
      </c>
      <c r="S194" s="10">
        <f t="shared" si="49"/>
        <v>0</v>
      </c>
      <c r="T194" s="10">
        <f t="shared" si="50"/>
        <v>0</v>
      </c>
      <c r="U194" s="10">
        <f t="shared" si="51"/>
        <v>0</v>
      </c>
      <c r="V194" s="10">
        <f t="shared" si="52"/>
        <v>0</v>
      </c>
    </row>
    <row r="195" spans="1:22" x14ac:dyDescent="0.2">
      <c r="A195" s="32">
        <v>8</v>
      </c>
      <c r="B195" s="33">
        <v>0.91666666666666696</v>
      </c>
      <c r="C195" s="32">
        <f>'0200z'!E17</f>
        <v>11</v>
      </c>
      <c r="D195" s="32">
        <f>'0200z'!F17</f>
        <v>13</v>
      </c>
      <c r="E195" s="32">
        <f t="shared" si="53"/>
        <v>110</v>
      </c>
      <c r="F195" s="10">
        <f t="shared" si="54"/>
        <v>0</v>
      </c>
      <c r="G195" s="10">
        <f t="shared" si="55"/>
        <v>0</v>
      </c>
      <c r="H195" s="10">
        <f t="shared" si="38"/>
        <v>0</v>
      </c>
      <c r="I195" s="10">
        <f t="shared" si="39"/>
        <v>0</v>
      </c>
      <c r="J195" s="10">
        <f t="shared" si="40"/>
        <v>0</v>
      </c>
      <c r="K195" s="10">
        <f t="shared" si="41"/>
        <v>1</v>
      </c>
      <c r="L195" s="10">
        <f t="shared" si="42"/>
        <v>0</v>
      </c>
      <c r="M195" s="10">
        <f t="shared" si="43"/>
        <v>0</v>
      </c>
      <c r="N195" s="10">
        <f t="shared" si="44"/>
        <v>0</v>
      </c>
      <c r="O195" s="10">
        <f t="shared" si="45"/>
        <v>0</v>
      </c>
      <c r="P195" s="10">
        <f t="shared" si="46"/>
        <v>0</v>
      </c>
      <c r="Q195" s="10">
        <f t="shared" si="47"/>
        <v>0</v>
      </c>
      <c r="R195" s="10">
        <f t="shared" si="48"/>
        <v>0</v>
      </c>
      <c r="S195" s="10">
        <f t="shared" si="49"/>
        <v>0</v>
      </c>
      <c r="T195" s="10">
        <f t="shared" si="50"/>
        <v>0</v>
      </c>
      <c r="U195" s="10">
        <f t="shared" si="51"/>
        <v>0</v>
      </c>
      <c r="V195" s="10">
        <f t="shared" si="52"/>
        <v>0</v>
      </c>
    </row>
    <row r="196" spans="1:22" x14ac:dyDescent="0.2">
      <c r="A196" s="32">
        <v>8</v>
      </c>
      <c r="B196" s="33">
        <v>0.95833333333333304</v>
      </c>
      <c r="C196" s="32">
        <f>'0300z'!E17</f>
        <v>11</v>
      </c>
      <c r="D196" s="32">
        <f>'0300z'!F17</f>
        <v>13</v>
      </c>
      <c r="E196" s="32">
        <f t="shared" si="53"/>
        <v>110</v>
      </c>
      <c r="F196" s="10">
        <f t="shared" si="54"/>
        <v>0</v>
      </c>
      <c r="G196" s="10">
        <f t="shared" si="55"/>
        <v>0</v>
      </c>
      <c r="H196" s="10">
        <f t="shared" si="38"/>
        <v>0</v>
      </c>
      <c r="I196" s="10">
        <f t="shared" si="39"/>
        <v>0</v>
      </c>
      <c r="J196" s="10">
        <f t="shared" si="40"/>
        <v>0</v>
      </c>
      <c r="K196" s="10">
        <f t="shared" si="41"/>
        <v>1</v>
      </c>
      <c r="L196" s="10">
        <f t="shared" si="42"/>
        <v>0</v>
      </c>
      <c r="M196" s="10">
        <f t="shared" si="43"/>
        <v>0</v>
      </c>
      <c r="N196" s="10">
        <f t="shared" si="44"/>
        <v>0</v>
      </c>
      <c r="O196" s="10">
        <f t="shared" si="45"/>
        <v>0</v>
      </c>
      <c r="P196" s="10">
        <f t="shared" si="46"/>
        <v>0</v>
      </c>
      <c r="Q196" s="10">
        <f t="shared" si="47"/>
        <v>0</v>
      </c>
      <c r="R196" s="10">
        <f t="shared" si="48"/>
        <v>0</v>
      </c>
      <c r="S196" s="10">
        <f t="shared" si="49"/>
        <v>0</v>
      </c>
      <c r="T196" s="10">
        <f t="shared" si="50"/>
        <v>0</v>
      </c>
      <c r="U196" s="10">
        <f t="shared" si="51"/>
        <v>0</v>
      </c>
      <c r="V196" s="10">
        <f t="shared" si="52"/>
        <v>0</v>
      </c>
    </row>
    <row r="197" spans="1:22" x14ac:dyDescent="0.2">
      <c r="A197" s="32">
        <v>9</v>
      </c>
      <c r="B197" s="33">
        <v>0</v>
      </c>
      <c r="C197" s="32">
        <f>'0400z'!E18</f>
        <v>11</v>
      </c>
      <c r="D197" s="32">
        <f>'0400z'!F18</f>
        <v>15</v>
      </c>
      <c r="E197" s="32">
        <f t="shared" si="53"/>
        <v>110</v>
      </c>
      <c r="F197" s="10">
        <f t="shared" si="54"/>
        <v>0</v>
      </c>
      <c r="G197" s="10">
        <f t="shared" si="55"/>
        <v>0</v>
      </c>
      <c r="H197" s="10">
        <f t="shared" si="38"/>
        <v>0</v>
      </c>
      <c r="I197" s="10">
        <f t="shared" si="39"/>
        <v>0</v>
      </c>
      <c r="J197" s="10">
        <f t="shared" si="40"/>
        <v>0</v>
      </c>
      <c r="K197" s="10">
        <f t="shared" si="41"/>
        <v>1</v>
      </c>
      <c r="L197" s="10">
        <f t="shared" si="42"/>
        <v>0</v>
      </c>
      <c r="M197" s="10">
        <f t="shared" si="43"/>
        <v>0</v>
      </c>
      <c r="N197" s="10">
        <f t="shared" si="44"/>
        <v>0</v>
      </c>
      <c r="O197" s="10">
        <f t="shared" si="45"/>
        <v>0</v>
      </c>
      <c r="P197" s="10">
        <f t="shared" si="46"/>
        <v>0</v>
      </c>
      <c r="Q197" s="10">
        <f t="shared" si="47"/>
        <v>0</v>
      </c>
      <c r="R197" s="10">
        <f t="shared" si="48"/>
        <v>0</v>
      </c>
      <c r="S197" s="10">
        <f t="shared" si="49"/>
        <v>0</v>
      </c>
      <c r="T197" s="10">
        <f t="shared" si="50"/>
        <v>0</v>
      </c>
      <c r="U197" s="10">
        <f t="shared" si="51"/>
        <v>0</v>
      </c>
      <c r="V197" s="10">
        <f t="shared" si="52"/>
        <v>0</v>
      </c>
    </row>
    <row r="198" spans="1:22" x14ac:dyDescent="0.2">
      <c r="A198" s="32">
        <v>9</v>
      </c>
      <c r="B198" s="33">
        <v>4.1666666666666664E-2</v>
      </c>
      <c r="C198" s="32">
        <f>'0500z'!E18</f>
        <v>11</v>
      </c>
      <c r="D198" s="32">
        <f>'0500z'!F18</f>
        <v>14</v>
      </c>
      <c r="E198" s="32">
        <f t="shared" si="53"/>
        <v>110</v>
      </c>
      <c r="F198" s="10">
        <f t="shared" si="54"/>
        <v>0</v>
      </c>
      <c r="G198" s="10">
        <f t="shared" si="55"/>
        <v>0</v>
      </c>
      <c r="H198" s="10">
        <f t="shared" ref="H198:H261" si="56">IF(E198&gt;33.75,IF(E198&lt;=56.25,1,0),0)</f>
        <v>0</v>
      </c>
      <c r="I198" s="10">
        <f t="shared" ref="I198:I261" si="57">IF(E198&gt;56.25,IF(E198&lt;=78.75,1,0),0)</f>
        <v>0</v>
      </c>
      <c r="J198" s="10">
        <f t="shared" ref="J198:J261" si="58">IF(E198&gt;78.75,IF(E198&lt;=101.25,1,0),0)</f>
        <v>0</v>
      </c>
      <c r="K198" s="10">
        <f t="shared" ref="K198:K261" si="59">IF(E198&gt;101.25,IF(E198&lt;=123.75,1,0),0)</f>
        <v>1</v>
      </c>
      <c r="L198" s="10">
        <f t="shared" ref="L198:L261" si="60">IF(E198&gt;123.75,IF(E198&lt;=146.25,1,0),0)</f>
        <v>0</v>
      </c>
      <c r="M198" s="10">
        <f t="shared" ref="M198:M261" si="61">IF(E198&gt;146.25,IF(E198&lt;=168.75,1,0),0)</f>
        <v>0</v>
      </c>
      <c r="N198" s="10">
        <f t="shared" ref="N198:N261" si="62">IF(E198&gt;168.75,IF(E198&lt;=191.25,1,0),0)</f>
        <v>0</v>
      </c>
      <c r="O198" s="10">
        <f t="shared" ref="O198:O261" si="63">IF(E198&gt;191.25,IF(E198&lt;=213.75,1,0),0)</f>
        <v>0</v>
      </c>
      <c r="P198" s="10">
        <f t="shared" ref="P198:P261" si="64">IF(E198&gt;213.75,IF(E198&lt;=236.25,1,0),0)</f>
        <v>0</v>
      </c>
      <c r="Q198" s="10">
        <f t="shared" ref="Q198:Q261" si="65">IF(E198&gt;236.25,IF(E198&lt;=258.75,1,0),0)</f>
        <v>0</v>
      </c>
      <c r="R198" s="10">
        <f t="shared" ref="R198:R261" si="66">IF(E198&gt;258.75,IF(E198&lt;=281.25,1,0),0)</f>
        <v>0</v>
      </c>
      <c r="S198" s="10">
        <f t="shared" ref="S198:S261" si="67">IF(E198&gt;281.25,IF(E198&lt;=303.75,1,0),0)</f>
        <v>0</v>
      </c>
      <c r="T198" s="10">
        <f t="shared" ref="T198:T261" si="68">IF(E198&gt;303.75,IF(E198&lt;=326.25,1,0),0)</f>
        <v>0</v>
      </c>
      <c r="U198" s="10">
        <f t="shared" ref="U198:U261" si="69">IF(E198&gt;326.25,IF(E198&lt;=348.75,1,0),0)</f>
        <v>0</v>
      </c>
      <c r="V198" s="10">
        <f t="shared" ref="V198:V261" si="70">IF(E198&gt;348.75,IF(E198&lt;=360,1,0),0)</f>
        <v>0</v>
      </c>
    </row>
    <row r="199" spans="1:22" x14ac:dyDescent="0.2">
      <c r="A199" s="32">
        <v>9</v>
      </c>
      <c r="B199" s="33">
        <v>8.3333333333333329E-2</v>
      </c>
      <c r="C199" s="32">
        <f>'0600z'!E18</f>
        <v>11</v>
      </c>
      <c r="D199" s="32">
        <f>'0600z'!F18</f>
        <v>13</v>
      </c>
      <c r="E199" s="32">
        <f t="shared" ref="E199:E262" si="71">(C199*10)</f>
        <v>110</v>
      </c>
      <c r="F199" s="10">
        <f t="shared" ref="F199:F262" si="72">IF(E199&gt;0,IF(E199&lt;=11.25,1,0),0)</f>
        <v>0</v>
      </c>
      <c r="G199" s="10">
        <f t="shared" ref="G199:G262" si="73">IF(E199&gt;11.25,IF(E199&lt;=33.75,1,0),0)</f>
        <v>0</v>
      </c>
      <c r="H199" s="10">
        <f t="shared" si="56"/>
        <v>0</v>
      </c>
      <c r="I199" s="10">
        <f t="shared" si="57"/>
        <v>0</v>
      </c>
      <c r="J199" s="10">
        <f t="shared" si="58"/>
        <v>0</v>
      </c>
      <c r="K199" s="10">
        <f t="shared" si="59"/>
        <v>1</v>
      </c>
      <c r="L199" s="10">
        <f t="shared" si="60"/>
        <v>0</v>
      </c>
      <c r="M199" s="10">
        <f t="shared" si="61"/>
        <v>0</v>
      </c>
      <c r="N199" s="10">
        <f t="shared" si="62"/>
        <v>0</v>
      </c>
      <c r="O199" s="10">
        <f t="shared" si="63"/>
        <v>0</v>
      </c>
      <c r="P199" s="10">
        <f t="shared" si="64"/>
        <v>0</v>
      </c>
      <c r="Q199" s="10">
        <f t="shared" si="65"/>
        <v>0</v>
      </c>
      <c r="R199" s="10">
        <f t="shared" si="66"/>
        <v>0</v>
      </c>
      <c r="S199" s="10">
        <f t="shared" si="67"/>
        <v>0</v>
      </c>
      <c r="T199" s="10">
        <f t="shared" si="68"/>
        <v>0</v>
      </c>
      <c r="U199" s="10">
        <f t="shared" si="69"/>
        <v>0</v>
      </c>
      <c r="V199" s="10">
        <f t="shared" si="70"/>
        <v>0</v>
      </c>
    </row>
    <row r="200" spans="1:22" x14ac:dyDescent="0.2">
      <c r="A200" s="32">
        <v>9</v>
      </c>
      <c r="B200" s="33">
        <v>0.125</v>
      </c>
      <c r="C200" s="32">
        <f>'0700z'!E18</f>
        <v>9</v>
      </c>
      <c r="D200" s="32">
        <f>'0700z'!F18</f>
        <v>12</v>
      </c>
      <c r="E200" s="32">
        <f t="shared" si="71"/>
        <v>90</v>
      </c>
      <c r="F200" s="10">
        <f t="shared" si="72"/>
        <v>0</v>
      </c>
      <c r="G200" s="10">
        <f t="shared" si="73"/>
        <v>0</v>
      </c>
      <c r="H200" s="10">
        <f t="shared" si="56"/>
        <v>0</v>
      </c>
      <c r="I200" s="10">
        <f t="shared" si="57"/>
        <v>0</v>
      </c>
      <c r="J200" s="10">
        <f t="shared" si="58"/>
        <v>1</v>
      </c>
      <c r="K200" s="10">
        <f t="shared" si="59"/>
        <v>0</v>
      </c>
      <c r="L200" s="10">
        <f t="shared" si="60"/>
        <v>0</v>
      </c>
      <c r="M200" s="10">
        <f t="shared" si="61"/>
        <v>0</v>
      </c>
      <c r="N200" s="10">
        <f t="shared" si="62"/>
        <v>0</v>
      </c>
      <c r="O200" s="10">
        <f t="shared" si="63"/>
        <v>0</v>
      </c>
      <c r="P200" s="10">
        <f t="shared" si="64"/>
        <v>0</v>
      </c>
      <c r="Q200" s="10">
        <f t="shared" si="65"/>
        <v>0</v>
      </c>
      <c r="R200" s="10">
        <f t="shared" si="66"/>
        <v>0</v>
      </c>
      <c r="S200" s="10">
        <f t="shared" si="67"/>
        <v>0</v>
      </c>
      <c r="T200" s="10">
        <f t="shared" si="68"/>
        <v>0</v>
      </c>
      <c r="U200" s="10">
        <f t="shared" si="69"/>
        <v>0</v>
      </c>
      <c r="V200" s="10">
        <f t="shared" si="70"/>
        <v>0</v>
      </c>
    </row>
    <row r="201" spans="1:22" x14ac:dyDescent="0.2">
      <c r="A201" s="32">
        <v>9</v>
      </c>
      <c r="B201" s="33">
        <v>0.16666666666666699</v>
      </c>
      <c r="C201" s="32">
        <f>'0800z'!E18</f>
        <v>11</v>
      </c>
      <c r="D201" s="32">
        <f>'0800z'!F18</f>
        <v>14</v>
      </c>
      <c r="E201" s="32">
        <f t="shared" si="71"/>
        <v>110</v>
      </c>
      <c r="F201" s="10">
        <f t="shared" si="72"/>
        <v>0</v>
      </c>
      <c r="G201" s="10">
        <f t="shared" si="73"/>
        <v>0</v>
      </c>
      <c r="H201" s="10">
        <f t="shared" si="56"/>
        <v>0</v>
      </c>
      <c r="I201" s="10">
        <f t="shared" si="57"/>
        <v>0</v>
      </c>
      <c r="J201" s="10">
        <f t="shared" si="58"/>
        <v>0</v>
      </c>
      <c r="K201" s="10">
        <f t="shared" si="59"/>
        <v>1</v>
      </c>
      <c r="L201" s="10">
        <f t="shared" si="60"/>
        <v>0</v>
      </c>
      <c r="M201" s="10">
        <f t="shared" si="61"/>
        <v>0</v>
      </c>
      <c r="N201" s="10">
        <f t="shared" si="62"/>
        <v>0</v>
      </c>
      <c r="O201" s="10">
        <f t="shared" si="63"/>
        <v>0</v>
      </c>
      <c r="P201" s="10">
        <f t="shared" si="64"/>
        <v>0</v>
      </c>
      <c r="Q201" s="10">
        <f t="shared" si="65"/>
        <v>0</v>
      </c>
      <c r="R201" s="10">
        <f t="shared" si="66"/>
        <v>0</v>
      </c>
      <c r="S201" s="10">
        <f t="shared" si="67"/>
        <v>0</v>
      </c>
      <c r="T201" s="10">
        <f t="shared" si="68"/>
        <v>0</v>
      </c>
      <c r="U201" s="10">
        <f t="shared" si="69"/>
        <v>0</v>
      </c>
      <c r="V201" s="10">
        <f t="shared" si="70"/>
        <v>0</v>
      </c>
    </row>
    <row r="202" spans="1:22" x14ac:dyDescent="0.2">
      <c r="A202" s="32">
        <v>9</v>
      </c>
      <c r="B202" s="33">
        <v>0.20833333333333301</v>
      </c>
      <c r="C202" s="32">
        <f>'0900z'!E18</f>
        <v>11</v>
      </c>
      <c r="D202" s="32">
        <f>'0900z'!F18</f>
        <v>14</v>
      </c>
      <c r="E202" s="32">
        <f t="shared" si="71"/>
        <v>110</v>
      </c>
      <c r="F202" s="10">
        <f t="shared" si="72"/>
        <v>0</v>
      </c>
      <c r="G202" s="10">
        <f t="shared" si="73"/>
        <v>0</v>
      </c>
      <c r="H202" s="10">
        <f t="shared" si="56"/>
        <v>0</v>
      </c>
      <c r="I202" s="10">
        <f t="shared" si="57"/>
        <v>0</v>
      </c>
      <c r="J202" s="10">
        <f t="shared" si="58"/>
        <v>0</v>
      </c>
      <c r="K202" s="10">
        <f t="shared" si="59"/>
        <v>1</v>
      </c>
      <c r="L202" s="10">
        <f t="shared" si="60"/>
        <v>0</v>
      </c>
      <c r="M202" s="10">
        <f t="shared" si="61"/>
        <v>0</v>
      </c>
      <c r="N202" s="10">
        <f t="shared" si="62"/>
        <v>0</v>
      </c>
      <c r="O202" s="10">
        <f t="shared" si="63"/>
        <v>0</v>
      </c>
      <c r="P202" s="10">
        <f t="shared" si="64"/>
        <v>0</v>
      </c>
      <c r="Q202" s="10">
        <f t="shared" si="65"/>
        <v>0</v>
      </c>
      <c r="R202" s="10">
        <f t="shared" si="66"/>
        <v>0</v>
      </c>
      <c r="S202" s="10">
        <f t="shared" si="67"/>
        <v>0</v>
      </c>
      <c r="T202" s="10">
        <f t="shared" si="68"/>
        <v>0</v>
      </c>
      <c r="U202" s="10">
        <f t="shared" si="69"/>
        <v>0</v>
      </c>
      <c r="V202" s="10">
        <f t="shared" si="70"/>
        <v>0</v>
      </c>
    </row>
    <row r="203" spans="1:22" x14ac:dyDescent="0.2">
      <c r="A203" s="32">
        <v>9</v>
      </c>
      <c r="B203" s="33">
        <v>0.25</v>
      </c>
      <c r="C203" s="32">
        <f>'1000z'!E18</f>
        <v>11</v>
      </c>
      <c r="D203" s="32">
        <f>'1000z'!F18</f>
        <v>14</v>
      </c>
      <c r="E203" s="32">
        <f t="shared" si="71"/>
        <v>110</v>
      </c>
      <c r="F203" s="10">
        <f t="shared" si="72"/>
        <v>0</v>
      </c>
      <c r="G203" s="10">
        <f t="shared" si="73"/>
        <v>0</v>
      </c>
      <c r="H203" s="10">
        <f t="shared" si="56"/>
        <v>0</v>
      </c>
      <c r="I203" s="10">
        <f t="shared" si="57"/>
        <v>0</v>
      </c>
      <c r="J203" s="10">
        <f t="shared" si="58"/>
        <v>0</v>
      </c>
      <c r="K203" s="10">
        <f t="shared" si="59"/>
        <v>1</v>
      </c>
      <c r="L203" s="10">
        <f t="shared" si="60"/>
        <v>0</v>
      </c>
      <c r="M203" s="10">
        <f t="shared" si="61"/>
        <v>0</v>
      </c>
      <c r="N203" s="10">
        <f t="shared" si="62"/>
        <v>0</v>
      </c>
      <c r="O203" s="10">
        <f t="shared" si="63"/>
        <v>0</v>
      </c>
      <c r="P203" s="10">
        <f t="shared" si="64"/>
        <v>0</v>
      </c>
      <c r="Q203" s="10">
        <f t="shared" si="65"/>
        <v>0</v>
      </c>
      <c r="R203" s="10">
        <f t="shared" si="66"/>
        <v>0</v>
      </c>
      <c r="S203" s="10">
        <f t="shared" si="67"/>
        <v>0</v>
      </c>
      <c r="T203" s="10">
        <f t="shared" si="68"/>
        <v>0</v>
      </c>
      <c r="U203" s="10">
        <f t="shared" si="69"/>
        <v>0</v>
      </c>
      <c r="V203" s="10">
        <f t="shared" si="70"/>
        <v>0</v>
      </c>
    </row>
    <row r="204" spans="1:22" x14ac:dyDescent="0.2">
      <c r="A204" s="32">
        <v>9</v>
      </c>
      <c r="B204" s="33">
        <v>0.29166666666666702</v>
      </c>
      <c r="C204" s="32">
        <f>'1100z'!E18</f>
        <v>10</v>
      </c>
      <c r="D204" s="32">
        <f>'1100z'!F18</f>
        <v>14</v>
      </c>
      <c r="E204" s="32">
        <f t="shared" si="71"/>
        <v>100</v>
      </c>
      <c r="F204" s="10">
        <f t="shared" si="72"/>
        <v>0</v>
      </c>
      <c r="G204" s="10">
        <f t="shared" si="73"/>
        <v>0</v>
      </c>
      <c r="H204" s="10">
        <f t="shared" si="56"/>
        <v>0</v>
      </c>
      <c r="I204" s="10">
        <f t="shared" si="57"/>
        <v>0</v>
      </c>
      <c r="J204" s="10">
        <f t="shared" si="58"/>
        <v>1</v>
      </c>
      <c r="K204" s="10">
        <f t="shared" si="59"/>
        <v>0</v>
      </c>
      <c r="L204" s="10">
        <f t="shared" si="60"/>
        <v>0</v>
      </c>
      <c r="M204" s="10">
        <f t="shared" si="61"/>
        <v>0</v>
      </c>
      <c r="N204" s="10">
        <f t="shared" si="62"/>
        <v>0</v>
      </c>
      <c r="O204" s="10">
        <f t="shared" si="63"/>
        <v>0</v>
      </c>
      <c r="P204" s="10">
        <f t="shared" si="64"/>
        <v>0</v>
      </c>
      <c r="Q204" s="10">
        <f t="shared" si="65"/>
        <v>0</v>
      </c>
      <c r="R204" s="10">
        <f t="shared" si="66"/>
        <v>0</v>
      </c>
      <c r="S204" s="10">
        <f t="shared" si="67"/>
        <v>0</v>
      </c>
      <c r="T204" s="10">
        <f t="shared" si="68"/>
        <v>0</v>
      </c>
      <c r="U204" s="10">
        <f t="shared" si="69"/>
        <v>0</v>
      </c>
      <c r="V204" s="10">
        <f t="shared" si="70"/>
        <v>0</v>
      </c>
    </row>
    <row r="205" spans="1:22" x14ac:dyDescent="0.2">
      <c r="A205" s="32">
        <v>9</v>
      </c>
      <c r="B205" s="33">
        <v>0.33333333333333298</v>
      </c>
      <c r="C205" s="32">
        <f>'1200z'!E18</f>
        <v>11</v>
      </c>
      <c r="D205" s="32">
        <f>'1200z'!F18</f>
        <v>16</v>
      </c>
      <c r="E205" s="32">
        <f t="shared" si="71"/>
        <v>110</v>
      </c>
      <c r="F205" s="10">
        <f t="shared" si="72"/>
        <v>0</v>
      </c>
      <c r="G205" s="10">
        <f t="shared" si="73"/>
        <v>0</v>
      </c>
      <c r="H205" s="10">
        <f t="shared" si="56"/>
        <v>0</v>
      </c>
      <c r="I205" s="10">
        <f t="shared" si="57"/>
        <v>0</v>
      </c>
      <c r="J205" s="10">
        <f t="shared" si="58"/>
        <v>0</v>
      </c>
      <c r="K205" s="10">
        <f t="shared" si="59"/>
        <v>1</v>
      </c>
      <c r="L205" s="10">
        <f t="shared" si="60"/>
        <v>0</v>
      </c>
      <c r="M205" s="10">
        <f t="shared" si="61"/>
        <v>0</v>
      </c>
      <c r="N205" s="10">
        <f t="shared" si="62"/>
        <v>0</v>
      </c>
      <c r="O205" s="10">
        <f t="shared" si="63"/>
        <v>0</v>
      </c>
      <c r="P205" s="10">
        <f t="shared" si="64"/>
        <v>0</v>
      </c>
      <c r="Q205" s="10">
        <f t="shared" si="65"/>
        <v>0</v>
      </c>
      <c r="R205" s="10">
        <f t="shared" si="66"/>
        <v>0</v>
      </c>
      <c r="S205" s="10">
        <f t="shared" si="67"/>
        <v>0</v>
      </c>
      <c r="T205" s="10">
        <f t="shared" si="68"/>
        <v>0</v>
      </c>
      <c r="U205" s="10">
        <f t="shared" si="69"/>
        <v>0</v>
      </c>
      <c r="V205" s="10">
        <f t="shared" si="70"/>
        <v>0</v>
      </c>
    </row>
    <row r="206" spans="1:22" x14ac:dyDescent="0.2">
      <c r="A206" s="32">
        <v>9</v>
      </c>
      <c r="B206" s="33">
        <v>0.375</v>
      </c>
      <c r="C206" s="32">
        <f>'1300z'!E18</f>
        <v>11</v>
      </c>
      <c r="D206" s="32">
        <f>'1300z'!F18</f>
        <v>16</v>
      </c>
      <c r="E206" s="32">
        <f t="shared" si="71"/>
        <v>110</v>
      </c>
      <c r="F206" s="10">
        <f t="shared" si="72"/>
        <v>0</v>
      </c>
      <c r="G206" s="10">
        <f t="shared" si="73"/>
        <v>0</v>
      </c>
      <c r="H206" s="10">
        <f t="shared" si="56"/>
        <v>0</v>
      </c>
      <c r="I206" s="10">
        <f t="shared" si="57"/>
        <v>0</v>
      </c>
      <c r="J206" s="10">
        <f t="shared" si="58"/>
        <v>0</v>
      </c>
      <c r="K206" s="10">
        <f t="shared" si="59"/>
        <v>1</v>
      </c>
      <c r="L206" s="10">
        <f t="shared" si="60"/>
        <v>0</v>
      </c>
      <c r="M206" s="10">
        <f t="shared" si="61"/>
        <v>0</v>
      </c>
      <c r="N206" s="10">
        <f t="shared" si="62"/>
        <v>0</v>
      </c>
      <c r="O206" s="10">
        <f t="shared" si="63"/>
        <v>0</v>
      </c>
      <c r="P206" s="10">
        <f t="shared" si="64"/>
        <v>0</v>
      </c>
      <c r="Q206" s="10">
        <f t="shared" si="65"/>
        <v>0</v>
      </c>
      <c r="R206" s="10">
        <f t="shared" si="66"/>
        <v>0</v>
      </c>
      <c r="S206" s="10">
        <f t="shared" si="67"/>
        <v>0</v>
      </c>
      <c r="T206" s="10">
        <f t="shared" si="68"/>
        <v>0</v>
      </c>
      <c r="U206" s="10">
        <f t="shared" si="69"/>
        <v>0</v>
      </c>
      <c r="V206" s="10">
        <f t="shared" si="70"/>
        <v>0</v>
      </c>
    </row>
    <row r="207" spans="1:22" x14ac:dyDescent="0.2">
      <c r="A207" s="32">
        <v>9</v>
      </c>
      <c r="B207" s="33">
        <v>0.41666666666666702</v>
      </c>
      <c r="C207" s="32">
        <f>'1400z'!E18</f>
        <v>10</v>
      </c>
      <c r="D207" s="32">
        <f>'1400z'!F18</f>
        <v>16</v>
      </c>
      <c r="E207" s="32">
        <f t="shared" si="71"/>
        <v>100</v>
      </c>
      <c r="F207" s="10">
        <f t="shared" si="72"/>
        <v>0</v>
      </c>
      <c r="G207" s="10">
        <f t="shared" si="73"/>
        <v>0</v>
      </c>
      <c r="H207" s="10">
        <f t="shared" si="56"/>
        <v>0</v>
      </c>
      <c r="I207" s="10">
        <f t="shared" si="57"/>
        <v>0</v>
      </c>
      <c r="J207" s="10">
        <f t="shared" si="58"/>
        <v>1</v>
      </c>
      <c r="K207" s="10">
        <f t="shared" si="59"/>
        <v>0</v>
      </c>
      <c r="L207" s="10">
        <f t="shared" si="60"/>
        <v>0</v>
      </c>
      <c r="M207" s="10">
        <f t="shared" si="61"/>
        <v>0</v>
      </c>
      <c r="N207" s="10">
        <f t="shared" si="62"/>
        <v>0</v>
      </c>
      <c r="O207" s="10">
        <f t="shared" si="63"/>
        <v>0</v>
      </c>
      <c r="P207" s="10">
        <f t="shared" si="64"/>
        <v>0</v>
      </c>
      <c r="Q207" s="10">
        <f t="shared" si="65"/>
        <v>0</v>
      </c>
      <c r="R207" s="10">
        <f t="shared" si="66"/>
        <v>0</v>
      </c>
      <c r="S207" s="10">
        <f t="shared" si="67"/>
        <v>0</v>
      </c>
      <c r="T207" s="10">
        <f t="shared" si="68"/>
        <v>0</v>
      </c>
      <c r="U207" s="10">
        <f t="shared" si="69"/>
        <v>0</v>
      </c>
      <c r="V207" s="10">
        <f t="shared" si="70"/>
        <v>0</v>
      </c>
    </row>
    <row r="208" spans="1:22" x14ac:dyDescent="0.2">
      <c r="A208" s="32">
        <v>9</v>
      </c>
      <c r="B208" s="33">
        <v>0.45833333333333298</v>
      </c>
      <c r="C208" s="32">
        <f>'1500z'!E18</f>
        <v>12</v>
      </c>
      <c r="D208" s="32">
        <f>'1500z'!F18</f>
        <v>16</v>
      </c>
      <c r="E208" s="32">
        <f t="shared" si="71"/>
        <v>120</v>
      </c>
      <c r="F208" s="10">
        <f t="shared" si="72"/>
        <v>0</v>
      </c>
      <c r="G208" s="10">
        <f t="shared" si="73"/>
        <v>0</v>
      </c>
      <c r="H208" s="10">
        <f t="shared" si="56"/>
        <v>0</v>
      </c>
      <c r="I208" s="10">
        <f t="shared" si="57"/>
        <v>0</v>
      </c>
      <c r="J208" s="10">
        <f t="shared" si="58"/>
        <v>0</v>
      </c>
      <c r="K208" s="10">
        <f t="shared" si="59"/>
        <v>1</v>
      </c>
      <c r="L208" s="10">
        <f t="shared" si="60"/>
        <v>0</v>
      </c>
      <c r="M208" s="10">
        <f t="shared" si="61"/>
        <v>0</v>
      </c>
      <c r="N208" s="10">
        <f t="shared" si="62"/>
        <v>0</v>
      </c>
      <c r="O208" s="10">
        <f t="shared" si="63"/>
        <v>0</v>
      </c>
      <c r="P208" s="10">
        <f t="shared" si="64"/>
        <v>0</v>
      </c>
      <c r="Q208" s="10">
        <f t="shared" si="65"/>
        <v>0</v>
      </c>
      <c r="R208" s="10">
        <f t="shared" si="66"/>
        <v>0</v>
      </c>
      <c r="S208" s="10">
        <f t="shared" si="67"/>
        <v>0</v>
      </c>
      <c r="T208" s="10">
        <f t="shared" si="68"/>
        <v>0</v>
      </c>
      <c r="U208" s="10">
        <f t="shared" si="69"/>
        <v>0</v>
      </c>
      <c r="V208" s="10">
        <f t="shared" si="70"/>
        <v>0</v>
      </c>
    </row>
    <row r="209" spans="1:22" x14ac:dyDescent="0.2">
      <c r="A209" s="32">
        <v>9</v>
      </c>
      <c r="B209" s="33">
        <v>0.5</v>
      </c>
      <c r="C209" s="32">
        <f>'1600z'!E18</f>
        <v>11</v>
      </c>
      <c r="D209" s="32">
        <f>'1600z'!F18</f>
        <v>16</v>
      </c>
      <c r="E209" s="32">
        <f t="shared" si="71"/>
        <v>110</v>
      </c>
      <c r="F209" s="10">
        <f t="shared" si="72"/>
        <v>0</v>
      </c>
      <c r="G209" s="10">
        <f t="shared" si="73"/>
        <v>0</v>
      </c>
      <c r="H209" s="10">
        <f t="shared" si="56"/>
        <v>0</v>
      </c>
      <c r="I209" s="10">
        <f t="shared" si="57"/>
        <v>0</v>
      </c>
      <c r="J209" s="10">
        <f t="shared" si="58"/>
        <v>0</v>
      </c>
      <c r="K209" s="10">
        <f t="shared" si="59"/>
        <v>1</v>
      </c>
      <c r="L209" s="10">
        <f t="shared" si="60"/>
        <v>0</v>
      </c>
      <c r="M209" s="10">
        <f t="shared" si="61"/>
        <v>0</v>
      </c>
      <c r="N209" s="10">
        <f t="shared" si="62"/>
        <v>0</v>
      </c>
      <c r="O209" s="10">
        <f t="shared" si="63"/>
        <v>0</v>
      </c>
      <c r="P209" s="10">
        <f t="shared" si="64"/>
        <v>0</v>
      </c>
      <c r="Q209" s="10">
        <f t="shared" si="65"/>
        <v>0</v>
      </c>
      <c r="R209" s="10">
        <f t="shared" si="66"/>
        <v>0</v>
      </c>
      <c r="S209" s="10">
        <f t="shared" si="67"/>
        <v>0</v>
      </c>
      <c r="T209" s="10">
        <f t="shared" si="68"/>
        <v>0</v>
      </c>
      <c r="U209" s="10">
        <f t="shared" si="69"/>
        <v>0</v>
      </c>
      <c r="V209" s="10">
        <f t="shared" si="70"/>
        <v>0</v>
      </c>
    </row>
    <row r="210" spans="1:22" x14ac:dyDescent="0.2">
      <c r="A210" s="32">
        <v>9</v>
      </c>
      <c r="B210" s="33">
        <v>0.54166666666666696</v>
      </c>
      <c r="C210" s="32">
        <f>'1700z'!E18</f>
        <v>12</v>
      </c>
      <c r="D210" s="32">
        <f>'1700z'!F18</f>
        <v>18</v>
      </c>
      <c r="E210" s="32">
        <f t="shared" si="71"/>
        <v>120</v>
      </c>
      <c r="F210" s="10">
        <f t="shared" si="72"/>
        <v>0</v>
      </c>
      <c r="G210" s="10">
        <f t="shared" si="73"/>
        <v>0</v>
      </c>
      <c r="H210" s="10">
        <f t="shared" si="56"/>
        <v>0</v>
      </c>
      <c r="I210" s="10">
        <f t="shared" si="57"/>
        <v>0</v>
      </c>
      <c r="J210" s="10">
        <f t="shared" si="58"/>
        <v>0</v>
      </c>
      <c r="K210" s="10">
        <f t="shared" si="59"/>
        <v>1</v>
      </c>
      <c r="L210" s="10">
        <f t="shared" si="60"/>
        <v>0</v>
      </c>
      <c r="M210" s="10">
        <f t="shared" si="61"/>
        <v>0</v>
      </c>
      <c r="N210" s="10">
        <f t="shared" si="62"/>
        <v>0</v>
      </c>
      <c r="O210" s="10">
        <f t="shared" si="63"/>
        <v>0</v>
      </c>
      <c r="P210" s="10">
        <f t="shared" si="64"/>
        <v>0</v>
      </c>
      <c r="Q210" s="10">
        <f t="shared" si="65"/>
        <v>0</v>
      </c>
      <c r="R210" s="10">
        <f t="shared" si="66"/>
        <v>0</v>
      </c>
      <c r="S210" s="10">
        <f t="shared" si="67"/>
        <v>0</v>
      </c>
      <c r="T210" s="10">
        <f t="shared" si="68"/>
        <v>0</v>
      </c>
      <c r="U210" s="10">
        <f t="shared" si="69"/>
        <v>0</v>
      </c>
      <c r="V210" s="10">
        <f t="shared" si="70"/>
        <v>0</v>
      </c>
    </row>
    <row r="211" spans="1:22" x14ac:dyDescent="0.2">
      <c r="A211" s="32">
        <v>9</v>
      </c>
      <c r="B211" s="33">
        <v>0.58333333333333304</v>
      </c>
      <c r="C211" s="32">
        <f>'1800z'!E18</f>
        <v>10</v>
      </c>
      <c r="D211" s="32">
        <f>'1800z'!F18</f>
        <v>17</v>
      </c>
      <c r="E211" s="32">
        <f t="shared" si="71"/>
        <v>100</v>
      </c>
      <c r="F211" s="10">
        <f t="shared" si="72"/>
        <v>0</v>
      </c>
      <c r="G211" s="10">
        <f t="shared" si="73"/>
        <v>0</v>
      </c>
      <c r="H211" s="10">
        <f t="shared" si="56"/>
        <v>0</v>
      </c>
      <c r="I211" s="10">
        <f t="shared" si="57"/>
        <v>0</v>
      </c>
      <c r="J211" s="10">
        <f t="shared" si="58"/>
        <v>1</v>
      </c>
      <c r="K211" s="10">
        <f t="shared" si="59"/>
        <v>0</v>
      </c>
      <c r="L211" s="10">
        <f t="shared" si="60"/>
        <v>0</v>
      </c>
      <c r="M211" s="10">
        <f t="shared" si="61"/>
        <v>0</v>
      </c>
      <c r="N211" s="10">
        <f t="shared" si="62"/>
        <v>0</v>
      </c>
      <c r="O211" s="10">
        <f t="shared" si="63"/>
        <v>0</v>
      </c>
      <c r="P211" s="10">
        <f t="shared" si="64"/>
        <v>0</v>
      </c>
      <c r="Q211" s="10">
        <f t="shared" si="65"/>
        <v>0</v>
      </c>
      <c r="R211" s="10">
        <f t="shared" si="66"/>
        <v>0</v>
      </c>
      <c r="S211" s="10">
        <f t="shared" si="67"/>
        <v>0</v>
      </c>
      <c r="T211" s="10">
        <f t="shared" si="68"/>
        <v>0</v>
      </c>
      <c r="U211" s="10">
        <f t="shared" si="69"/>
        <v>0</v>
      </c>
      <c r="V211" s="10">
        <f t="shared" si="70"/>
        <v>0</v>
      </c>
    </row>
    <row r="212" spans="1:22" x14ac:dyDescent="0.2">
      <c r="A212" s="32">
        <v>9</v>
      </c>
      <c r="B212" s="33">
        <v>0.625</v>
      </c>
      <c r="C212" s="32">
        <f>'1900z'!E18</f>
        <v>10</v>
      </c>
      <c r="D212" s="32">
        <f>'1900z'!F18</f>
        <v>19</v>
      </c>
      <c r="E212" s="32">
        <f t="shared" si="71"/>
        <v>100</v>
      </c>
      <c r="F212" s="10">
        <f t="shared" si="72"/>
        <v>0</v>
      </c>
      <c r="G212" s="10">
        <f t="shared" si="73"/>
        <v>0</v>
      </c>
      <c r="H212" s="10">
        <f t="shared" si="56"/>
        <v>0</v>
      </c>
      <c r="I212" s="10">
        <f t="shared" si="57"/>
        <v>0</v>
      </c>
      <c r="J212" s="10">
        <f t="shared" si="58"/>
        <v>1</v>
      </c>
      <c r="K212" s="10">
        <f t="shared" si="59"/>
        <v>0</v>
      </c>
      <c r="L212" s="10">
        <f t="shared" si="60"/>
        <v>0</v>
      </c>
      <c r="M212" s="10">
        <f t="shared" si="61"/>
        <v>0</v>
      </c>
      <c r="N212" s="10">
        <f t="shared" si="62"/>
        <v>0</v>
      </c>
      <c r="O212" s="10">
        <f t="shared" si="63"/>
        <v>0</v>
      </c>
      <c r="P212" s="10">
        <f t="shared" si="64"/>
        <v>0</v>
      </c>
      <c r="Q212" s="10">
        <f t="shared" si="65"/>
        <v>0</v>
      </c>
      <c r="R212" s="10">
        <f t="shared" si="66"/>
        <v>0</v>
      </c>
      <c r="S212" s="10">
        <f t="shared" si="67"/>
        <v>0</v>
      </c>
      <c r="T212" s="10">
        <f t="shared" si="68"/>
        <v>0</v>
      </c>
      <c r="U212" s="10">
        <f t="shared" si="69"/>
        <v>0</v>
      </c>
      <c r="V212" s="10">
        <f t="shared" si="70"/>
        <v>0</v>
      </c>
    </row>
    <row r="213" spans="1:22" x14ac:dyDescent="0.2">
      <c r="A213" s="32">
        <v>9</v>
      </c>
      <c r="B213" s="33">
        <v>0.66666666666666696</v>
      </c>
      <c r="C213" s="32">
        <f>'2000z'!E18</f>
        <v>9</v>
      </c>
      <c r="D213" s="32">
        <f>'2000z'!F18</f>
        <v>16</v>
      </c>
      <c r="E213" s="32">
        <f t="shared" si="71"/>
        <v>90</v>
      </c>
      <c r="F213" s="10">
        <f t="shared" si="72"/>
        <v>0</v>
      </c>
      <c r="G213" s="10">
        <f t="shared" si="73"/>
        <v>0</v>
      </c>
      <c r="H213" s="10">
        <f t="shared" si="56"/>
        <v>0</v>
      </c>
      <c r="I213" s="10">
        <f t="shared" si="57"/>
        <v>0</v>
      </c>
      <c r="J213" s="10">
        <f t="shared" si="58"/>
        <v>1</v>
      </c>
      <c r="K213" s="10">
        <f t="shared" si="59"/>
        <v>0</v>
      </c>
      <c r="L213" s="10">
        <f t="shared" si="60"/>
        <v>0</v>
      </c>
      <c r="M213" s="10">
        <f t="shared" si="61"/>
        <v>0</v>
      </c>
      <c r="N213" s="10">
        <f t="shared" si="62"/>
        <v>0</v>
      </c>
      <c r="O213" s="10">
        <f t="shared" si="63"/>
        <v>0</v>
      </c>
      <c r="P213" s="10">
        <f t="shared" si="64"/>
        <v>0</v>
      </c>
      <c r="Q213" s="10">
        <f t="shared" si="65"/>
        <v>0</v>
      </c>
      <c r="R213" s="10">
        <f t="shared" si="66"/>
        <v>0</v>
      </c>
      <c r="S213" s="10">
        <f t="shared" si="67"/>
        <v>0</v>
      </c>
      <c r="T213" s="10">
        <f t="shared" si="68"/>
        <v>0</v>
      </c>
      <c r="U213" s="10">
        <f t="shared" si="69"/>
        <v>0</v>
      </c>
      <c r="V213" s="10">
        <f t="shared" si="70"/>
        <v>0</v>
      </c>
    </row>
    <row r="214" spans="1:22" x14ac:dyDescent="0.2">
      <c r="A214" s="32">
        <v>9</v>
      </c>
      <c r="B214" s="33">
        <v>0.70833333333333304</v>
      </c>
      <c r="C214" s="32">
        <f>'2100z'!E18</f>
        <v>9</v>
      </c>
      <c r="D214" s="32">
        <f>'2100z'!F18</f>
        <v>16</v>
      </c>
      <c r="E214" s="32">
        <f t="shared" si="71"/>
        <v>90</v>
      </c>
      <c r="F214" s="10">
        <f t="shared" si="72"/>
        <v>0</v>
      </c>
      <c r="G214" s="10">
        <f t="shared" si="73"/>
        <v>0</v>
      </c>
      <c r="H214" s="10">
        <f t="shared" si="56"/>
        <v>0</v>
      </c>
      <c r="I214" s="10">
        <f t="shared" si="57"/>
        <v>0</v>
      </c>
      <c r="J214" s="10">
        <f t="shared" si="58"/>
        <v>1</v>
      </c>
      <c r="K214" s="10">
        <f t="shared" si="59"/>
        <v>0</v>
      </c>
      <c r="L214" s="10">
        <f t="shared" si="60"/>
        <v>0</v>
      </c>
      <c r="M214" s="10">
        <f t="shared" si="61"/>
        <v>0</v>
      </c>
      <c r="N214" s="10">
        <f t="shared" si="62"/>
        <v>0</v>
      </c>
      <c r="O214" s="10">
        <f t="shared" si="63"/>
        <v>0</v>
      </c>
      <c r="P214" s="10">
        <f t="shared" si="64"/>
        <v>0</v>
      </c>
      <c r="Q214" s="10">
        <f t="shared" si="65"/>
        <v>0</v>
      </c>
      <c r="R214" s="10">
        <f t="shared" si="66"/>
        <v>0</v>
      </c>
      <c r="S214" s="10">
        <f t="shared" si="67"/>
        <v>0</v>
      </c>
      <c r="T214" s="10">
        <f t="shared" si="68"/>
        <v>0</v>
      </c>
      <c r="U214" s="10">
        <f t="shared" si="69"/>
        <v>0</v>
      </c>
      <c r="V214" s="10">
        <f t="shared" si="70"/>
        <v>0</v>
      </c>
    </row>
    <row r="215" spans="1:22" x14ac:dyDescent="0.2">
      <c r="A215" s="32">
        <v>9</v>
      </c>
      <c r="B215" s="33">
        <v>0.75</v>
      </c>
      <c r="C215" s="32">
        <f>'2200z'!E18</f>
        <v>9</v>
      </c>
      <c r="D215" s="32">
        <f>'2200z'!F18</f>
        <v>13</v>
      </c>
      <c r="E215" s="32">
        <f t="shared" si="71"/>
        <v>90</v>
      </c>
      <c r="F215" s="10">
        <f t="shared" si="72"/>
        <v>0</v>
      </c>
      <c r="G215" s="10">
        <f t="shared" si="73"/>
        <v>0</v>
      </c>
      <c r="H215" s="10">
        <f t="shared" si="56"/>
        <v>0</v>
      </c>
      <c r="I215" s="10">
        <f t="shared" si="57"/>
        <v>0</v>
      </c>
      <c r="J215" s="10">
        <f t="shared" si="58"/>
        <v>1</v>
      </c>
      <c r="K215" s="10">
        <f t="shared" si="59"/>
        <v>0</v>
      </c>
      <c r="L215" s="10">
        <f t="shared" si="60"/>
        <v>0</v>
      </c>
      <c r="M215" s="10">
        <f t="shared" si="61"/>
        <v>0</v>
      </c>
      <c r="N215" s="10">
        <f t="shared" si="62"/>
        <v>0</v>
      </c>
      <c r="O215" s="10">
        <f t="shared" si="63"/>
        <v>0</v>
      </c>
      <c r="P215" s="10">
        <f t="shared" si="64"/>
        <v>0</v>
      </c>
      <c r="Q215" s="10">
        <f t="shared" si="65"/>
        <v>0</v>
      </c>
      <c r="R215" s="10">
        <f t="shared" si="66"/>
        <v>0</v>
      </c>
      <c r="S215" s="10">
        <f t="shared" si="67"/>
        <v>0</v>
      </c>
      <c r="T215" s="10">
        <f t="shared" si="68"/>
        <v>0</v>
      </c>
      <c r="U215" s="10">
        <f t="shared" si="69"/>
        <v>0</v>
      </c>
      <c r="V215" s="10">
        <f t="shared" si="70"/>
        <v>0</v>
      </c>
    </row>
    <row r="216" spans="1:22" x14ac:dyDescent="0.2">
      <c r="A216" s="32">
        <v>9</v>
      </c>
      <c r="B216" s="33">
        <v>0.79166666666666696</v>
      </c>
      <c r="C216" s="32">
        <f>'2300z'!E18</f>
        <v>9</v>
      </c>
      <c r="D216" s="32">
        <f>'2300z'!F18</f>
        <v>12</v>
      </c>
      <c r="E216" s="32">
        <f t="shared" si="71"/>
        <v>90</v>
      </c>
      <c r="F216" s="10">
        <f t="shared" si="72"/>
        <v>0</v>
      </c>
      <c r="G216" s="10">
        <f t="shared" si="73"/>
        <v>0</v>
      </c>
      <c r="H216" s="10">
        <f t="shared" si="56"/>
        <v>0</v>
      </c>
      <c r="I216" s="10">
        <f t="shared" si="57"/>
        <v>0</v>
      </c>
      <c r="J216" s="10">
        <f t="shared" si="58"/>
        <v>1</v>
      </c>
      <c r="K216" s="10">
        <f t="shared" si="59"/>
        <v>0</v>
      </c>
      <c r="L216" s="10">
        <f t="shared" si="60"/>
        <v>0</v>
      </c>
      <c r="M216" s="10">
        <f t="shared" si="61"/>
        <v>0</v>
      </c>
      <c r="N216" s="10">
        <f t="shared" si="62"/>
        <v>0</v>
      </c>
      <c r="O216" s="10">
        <f t="shared" si="63"/>
        <v>0</v>
      </c>
      <c r="P216" s="10">
        <f t="shared" si="64"/>
        <v>0</v>
      </c>
      <c r="Q216" s="10">
        <f t="shared" si="65"/>
        <v>0</v>
      </c>
      <c r="R216" s="10">
        <f t="shared" si="66"/>
        <v>0</v>
      </c>
      <c r="S216" s="10">
        <f t="shared" si="67"/>
        <v>0</v>
      </c>
      <c r="T216" s="10">
        <f t="shared" si="68"/>
        <v>0</v>
      </c>
      <c r="U216" s="10">
        <f t="shared" si="69"/>
        <v>0</v>
      </c>
      <c r="V216" s="10">
        <f t="shared" si="70"/>
        <v>0</v>
      </c>
    </row>
    <row r="217" spans="1:22" x14ac:dyDescent="0.2">
      <c r="A217" s="32">
        <v>9</v>
      </c>
      <c r="B217" s="33">
        <v>0.83333333333333304</v>
      </c>
      <c r="C217" s="32">
        <f>'0000z'!E18</f>
        <v>9</v>
      </c>
      <c r="D217" s="32">
        <f>'0000z'!F18</f>
        <v>12</v>
      </c>
      <c r="E217" s="32">
        <f t="shared" si="71"/>
        <v>90</v>
      </c>
      <c r="F217" s="10">
        <f t="shared" si="72"/>
        <v>0</v>
      </c>
      <c r="G217" s="10">
        <f t="shared" si="73"/>
        <v>0</v>
      </c>
      <c r="H217" s="10">
        <f t="shared" si="56"/>
        <v>0</v>
      </c>
      <c r="I217" s="10">
        <f t="shared" si="57"/>
        <v>0</v>
      </c>
      <c r="J217" s="10">
        <f t="shared" si="58"/>
        <v>1</v>
      </c>
      <c r="K217" s="10">
        <f t="shared" si="59"/>
        <v>0</v>
      </c>
      <c r="L217" s="10">
        <f t="shared" si="60"/>
        <v>0</v>
      </c>
      <c r="M217" s="10">
        <f t="shared" si="61"/>
        <v>0</v>
      </c>
      <c r="N217" s="10">
        <f t="shared" si="62"/>
        <v>0</v>
      </c>
      <c r="O217" s="10">
        <f t="shared" si="63"/>
        <v>0</v>
      </c>
      <c r="P217" s="10">
        <f t="shared" si="64"/>
        <v>0</v>
      </c>
      <c r="Q217" s="10">
        <f t="shared" si="65"/>
        <v>0</v>
      </c>
      <c r="R217" s="10">
        <f t="shared" si="66"/>
        <v>0</v>
      </c>
      <c r="S217" s="10">
        <f t="shared" si="67"/>
        <v>0</v>
      </c>
      <c r="T217" s="10">
        <f t="shared" si="68"/>
        <v>0</v>
      </c>
      <c r="U217" s="10">
        <f t="shared" si="69"/>
        <v>0</v>
      </c>
      <c r="V217" s="10">
        <f t="shared" si="70"/>
        <v>0</v>
      </c>
    </row>
    <row r="218" spans="1:22" x14ac:dyDescent="0.2">
      <c r="A218" s="32">
        <v>9</v>
      </c>
      <c r="B218" s="33">
        <v>0.875</v>
      </c>
      <c r="C218" s="32">
        <f>'0100z'!E18</f>
        <v>9</v>
      </c>
      <c r="D218" s="32">
        <f>'0100z'!F18</f>
        <v>13</v>
      </c>
      <c r="E218" s="32">
        <f t="shared" si="71"/>
        <v>90</v>
      </c>
      <c r="F218" s="10">
        <f t="shared" si="72"/>
        <v>0</v>
      </c>
      <c r="G218" s="10">
        <f t="shared" si="73"/>
        <v>0</v>
      </c>
      <c r="H218" s="10">
        <f t="shared" si="56"/>
        <v>0</v>
      </c>
      <c r="I218" s="10">
        <f t="shared" si="57"/>
        <v>0</v>
      </c>
      <c r="J218" s="10">
        <f t="shared" si="58"/>
        <v>1</v>
      </c>
      <c r="K218" s="10">
        <f t="shared" si="59"/>
        <v>0</v>
      </c>
      <c r="L218" s="10">
        <f t="shared" si="60"/>
        <v>0</v>
      </c>
      <c r="M218" s="10">
        <f t="shared" si="61"/>
        <v>0</v>
      </c>
      <c r="N218" s="10">
        <f t="shared" si="62"/>
        <v>0</v>
      </c>
      <c r="O218" s="10">
        <f t="shared" si="63"/>
        <v>0</v>
      </c>
      <c r="P218" s="10">
        <f t="shared" si="64"/>
        <v>0</v>
      </c>
      <c r="Q218" s="10">
        <f t="shared" si="65"/>
        <v>0</v>
      </c>
      <c r="R218" s="10">
        <f t="shared" si="66"/>
        <v>0</v>
      </c>
      <c r="S218" s="10">
        <f t="shared" si="67"/>
        <v>0</v>
      </c>
      <c r="T218" s="10">
        <f t="shared" si="68"/>
        <v>0</v>
      </c>
      <c r="U218" s="10">
        <f t="shared" si="69"/>
        <v>0</v>
      </c>
      <c r="V218" s="10">
        <f t="shared" si="70"/>
        <v>0</v>
      </c>
    </row>
    <row r="219" spans="1:22" x14ac:dyDescent="0.2">
      <c r="A219" s="32">
        <v>9</v>
      </c>
      <c r="B219" s="33">
        <v>0.91666666666666696</v>
      </c>
      <c r="C219" s="32">
        <f>'0200z'!E18</f>
        <v>10</v>
      </c>
      <c r="D219" s="32">
        <f>'0200z'!F18</f>
        <v>11</v>
      </c>
      <c r="E219" s="32">
        <f t="shared" si="71"/>
        <v>100</v>
      </c>
      <c r="F219" s="10">
        <f t="shared" si="72"/>
        <v>0</v>
      </c>
      <c r="G219" s="10">
        <f t="shared" si="73"/>
        <v>0</v>
      </c>
      <c r="H219" s="10">
        <f t="shared" si="56"/>
        <v>0</v>
      </c>
      <c r="I219" s="10">
        <f t="shared" si="57"/>
        <v>0</v>
      </c>
      <c r="J219" s="10">
        <f t="shared" si="58"/>
        <v>1</v>
      </c>
      <c r="K219" s="10">
        <f t="shared" si="59"/>
        <v>0</v>
      </c>
      <c r="L219" s="10">
        <f t="shared" si="60"/>
        <v>0</v>
      </c>
      <c r="M219" s="10">
        <f t="shared" si="61"/>
        <v>0</v>
      </c>
      <c r="N219" s="10">
        <f t="shared" si="62"/>
        <v>0</v>
      </c>
      <c r="O219" s="10">
        <f t="shared" si="63"/>
        <v>0</v>
      </c>
      <c r="P219" s="10">
        <f t="shared" si="64"/>
        <v>0</v>
      </c>
      <c r="Q219" s="10">
        <f t="shared" si="65"/>
        <v>0</v>
      </c>
      <c r="R219" s="10">
        <f t="shared" si="66"/>
        <v>0</v>
      </c>
      <c r="S219" s="10">
        <f t="shared" si="67"/>
        <v>0</v>
      </c>
      <c r="T219" s="10">
        <f t="shared" si="68"/>
        <v>0</v>
      </c>
      <c r="U219" s="10">
        <f t="shared" si="69"/>
        <v>0</v>
      </c>
      <c r="V219" s="10">
        <f t="shared" si="70"/>
        <v>0</v>
      </c>
    </row>
    <row r="220" spans="1:22" x14ac:dyDescent="0.2">
      <c r="A220" s="32">
        <v>9</v>
      </c>
      <c r="B220" s="33">
        <v>0.95833333333333304</v>
      </c>
      <c r="C220" s="32">
        <f>'0300z'!E18</f>
        <v>9</v>
      </c>
      <c r="D220" s="32">
        <f>'0300z'!F18</f>
        <v>13</v>
      </c>
      <c r="E220" s="32">
        <f t="shared" si="71"/>
        <v>90</v>
      </c>
      <c r="F220" s="10">
        <f t="shared" si="72"/>
        <v>0</v>
      </c>
      <c r="G220" s="10">
        <f t="shared" si="73"/>
        <v>0</v>
      </c>
      <c r="H220" s="10">
        <f t="shared" si="56"/>
        <v>0</v>
      </c>
      <c r="I220" s="10">
        <f t="shared" si="57"/>
        <v>0</v>
      </c>
      <c r="J220" s="10">
        <f t="shared" si="58"/>
        <v>1</v>
      </c>
      <c r="K220" s="10">
        <f t="shared" si="59"/>
        <v>0</v>
      </c>
      <c r="L220" s="10">
        <f t="shared" si="60"/>
        <v>0</v>
      </c>
      <c r="M220" s="10">
        <f t="shared" si="61"/>
        <v>0</v>
      </c>
      <c r="N220" s="10">
        <f t="shared" si="62"/>
        <v>0</v>
      </c>
      <c r="O220" s="10">
        <f t="shared" si="63"/>
        <v>0</v>
      </c>
      <c r="P220" s="10">
        <f t="shared" si="64"/>
        <v>0</v>
      </c>
      <c r="Q220" s="10">
        <f t="shared" si="65"/>
        <v>0</v>
      </c>
      <c r="R220" s="10">
        <f t="shared" si="66"/>
        <v>0</v>
      </c>
      <c r="S220" s="10">
        <f t="shared" si="67"/>
        <v>0</v>
      </c>
      <c r="T220" s="10">
        <f t="shared" si="68"/>
        <v>0</v>
      </c>
      <c r="U220" s="10">
        <f t="shared" si="69"/>
        <v>0</v>
      </c>
      <c r="V220" s="10">
        <f t="shared" si="70"/>
        <v>0</v>
      </c>
    </row>
    <row r="221" spans="1:22" x14ac:dyDescent="0.2">
      <c r="A221" s="32">
        <v>10</v>
      </c>
      <c r="B221" s="33">
        <v>0</v>
      </c>
      <c r="C221" s="32">
        <f>'0400z'!E19</f>
        <v>8</v>
      </c>
      <c r="D221" s="32">
        <f>'0400z'!F19</f>
        <v>11</v>
      </c>
      <c r="E221" s="32">
        <f t="shared" si="71"/>
        <v>80</v>
      </c>
      <c r="F221" s="10">
        <f t="shared" si="72"/>
        <v>0</v>
      </c>
      <c r="G221" s="10">
        <f t="shared" si="73"/>
        <v>0</v>
      </c>
      <c r="H221" s="10">
        <f t="shared" si="56"/>
        <v>0</v>
      </c>
      <c r="I221" s="10">
        <f t="shared" si="57"/>
        <v>0</v>
      </c>
      <c r="J221" s="10">
        <f t="shared" si="58"/>
        <v>1</v>
      </c>
      <c r="K221" s="10">
        <f t="shared" si="59"/>
        <v>0</v>
      </c>
      <c r="L221" s="10">
        <f t="shared" si="60"/>
        <v>0</v>
      </c>
      <c r="M221" s="10">
        <f t="shared" si="61"/>
        <v>0</v>
      </c>
      <c r="N221" s="10">
        <f t="shared" si="62"/>
        <v>0</v>
      </c>
      <c r="O221" s="10">
        <f t="shared" si="63"/>
        <v>0</v>
      </c>
      <c r="P221" s="10">
        <f t="shared" si="64"/>
        <v>0</v>
      </c>
      <c r="Q221" s="10">
        <f t="shared" si="65"/>
        <v>0</v>
      </c>
      <c r="R221" s="10">
        <f t="shared" si="66"/>
        <v>0</v>
      </c>
      <c r="S221" s="10">
        <f t="shared" si="67"/>
        <v>0</v>
      </c>
      <c r="T221" s="10">
        <f t="shared" si="68"/>
        <v>0</v>
      </c>
      <c r="U221" s="10">
        <f t="shared" si="69"/>
        <v>0</v>
      </c>
      <c r="V221" s="10">
        <f t="shared" si="70"/>
        <v>0</v>
      </c>
    </row>
    <row r="222" spans="1:22" x14ac:dyDescent="0.2">
      <c r="A222" s="32">
        <v>10</v>
      </c>
      <c r="B222" s="33">
        <v>4.1666666666666664E-2</v>
      </c>
      <c r="C222" s="32">
        <f>'0500z'!E19</f>
        <v>8</v>
      </c>
      <c r="D222" s="32">
        <f>'0500z'!F19</f>
        <v>9</v>
      </c>
      <c r="E222" s="32">
        <f t="shared" si="71"/>
        <v>80</v>
      </c>
      <c r="F222" s="10">
        <f t="shared" si="72"/>
        <v>0</v>
      </c>
      <c r="G222" s="10">
        <f t="shared" si="73"/>
        <v>0</v>
      </c>
      <c r="H222" s="10">
        <f t="shared" si="56"/>
        <v>0</v>
      </c>
      <c r="I222" s="10">
        <f t="shared" si="57"/>
        <v>0</v>
      </c>
      <c r="J222" s="10">
        <f t="shared" si="58"/>
        <v>1</v>
      </c>
      <c r="K222" s="10">
        <f t="shared" si="59"/>
        <v>0</v>
      </c>
      <c r="L222" s="10">
        <f t="shared" si="60"/>
        <v>0</v>
      </c>
      <c r="M222" s="10">
        <f t="shared" si="61"/>
        <v>0</v>
      </c>
      <c r="N222" s="10">
        <f t="shared" si="62"/>
        <v>0</v>
      </c>
      <c r="O222" s="10">
        <f t="shared" si="63"/>
        <v>0</v>
      </c>
      <c r="P222" s="10">
        <f t="shared" si="64"/>
        <v>0</v>
      </c>
      <c r="Q222" s="10">
        <f t="shared" si="65"/>
        <v>0</v>
      </c>
      <c r="R222" s="10">
        <f t="shared" si="66"/>
        <v>0</v>
      </c>
      <c r="S222" s="10">
        <f t="shared" si="67"/>
        <v>0</v>
      </c>
      <c r="T222" s="10">
        <f t="shared" si="68"/>
        <v>0</v>
      </c>
      <c r="U222" s="10">
        <f t="shared" si="69"/>
        <v>0</v>
      </c>
      <c r="V222" s="10">
        <f t="shared" si="70"/>
        <v>0</v>
      </c>
    </row>
    <row r="223" spans="1:22" x14ac:dyDescent="0.2">
      <c r="A223" s="32">
        <v>10</v>
      </c>
      <c r="B223" s="33">
        <v>8.3333333333333329E-2</v>
      </c>
      <c r="C223" s="32">
        <f>'0600z'!E19</f>
        <v>8</v>
      </c>
      <c r="D223" s="32">
        <f>'0600z'!F19</f>
        <v>11</v>
      </c>
      <c r="E223" s="32">
        <f t="shared" si="71"/>
        <v>80</v>
      </c>
      <c r="F223" s="10">
        <f t="shared" si="72"/>
        <v>0</v>
      </c>
      <c r="G223" s="10">
        <f t="shared" si="73"/>
        <v>0</v>
      </c>
      <c r="H223" s="10">
        <f t="shared" si="56"/>
        <v>0</v>
      </c>
      <c r="I223" s="10">
        <f t="shared" si="57"/>
        <v>0</v>
      </c>
      <c r="J223" s="10">
        <f t="shared" si="58"/>
        <v>1</v>
      </c>
      <c r="K223" s="10">
        <f t="shared" si="59"/>
        <v>0</v>
      </c>
      <c r="L223" s="10">
        <f t="shared" si="60"/>
        <v>0</v>
      </c>
      <c r="M223" s="10">
        <f t="shared" si="61"/>
        <v>0</v>
      </c>
      <c r="N223" s="10">
        <f t="shared" si="62"/>
        <v>0</v>
      </c>
      <c r="O223" s="10">
        <f t="shared" si="63"/>
        <v>0</v>
      </c>
      <c r="P223" s="10">
        <f t="shared" si="64"/>
        <v>0</v>
      </c>
      <c r="Q223" s="10">
        <f t="shared" si="65"/>
        <v>0</v>
      </c>
      <c r="R223" s="10">
        <f t="shared" si="66"/>
        <v>0</v>
      </c>
      <c r="S223" s="10">
        <f t="shared" si="67"/>
        <v>0</v>
      </c>
      <c r="T223" s="10">
        <f t="shared" si="68"/>
        <v>0</v>
      </c>
      <c r="U223" s="10">
        <f t="shared" si="69"/>
        <v>0</v>
      </c>
      <c r="V223" s="10">
        <f t="shared" si="70"/>
        <v>0</v>
      </c>
    </row>
    <row r="224" spans="1:22" x14ac:dyDescent="0.2">
      <c r="A224" s="32">
        <v>10</v>
      </c>
      <c r="B224" s="33">
        <v>0.125</v>
      </c>
      <c r="C224" s="32">
        <f>'0700z'!E19</f>
        <v>7</v>
      </c>
      <c r="D224" s="32">
        <f>'0700z'!F19</f>
        <v>7</v>
      </c>
      <c r="E224" s="32">
        <f t="shared" si="71"/>
        <v>70</v>
      </c>
      <c r="F224" s="10">
        <f t="shared" si="72"/>
        <v>0</v>
      </c>
      <c r="G224" s="10">
        <f t="shared" si="73"/>
        <v>0</v>
      </c>
      <c r="H224" s="10">
        <f t="shared" si="56"/>
        <v>0</v>
      </c>
      <c r="I224" s="10">
        <f t="shared" si="57"/>
        <v>1</v>
      </c>
      <c r="J224" s="10">
        <f t="shared" si="58"/>
        <v>0</v>
      </c>
      <c r="K224" s="10">
        <f t="shared" si="59"/>
        <v>0</v>
      </c>
      <c r="L224" s="10">
        <f t="shared" si="60"/>
        <v>0</v>
      </c>
      <c r="M224" s="10">
        <f t="shared" si="61"/>
        <v>0</v>
      </c>
      <c r="N224" s="10">
        <f t="shared" si="62"/>
        <v>0</v>
      </c>
      <c r="O224" s="10">
        <f t="shared" si="63"/>
        <v>0</v>
      </c>
      <c r="P224" s="10">
        <f t="shared" si="64"/>
        <v>0</v>
      </c>
      <c r="Q224" s="10">
        <f t="shared" si="65"/>
        <v>0</v>
      </c>
      <c r="R224" s="10">
        <f t="shared" si="66"/>
        <v>0</v>
      </c>
      <c r="S224" s="10">
        <f t="shared" si="67"/>
        <v>0</v>
      </c>
      <c r="T224" s="10">
        <f t="shared" si="68"/>
        <v>0</v>
      </c>
      <c r="U224" s="10">
        <f t="shared" si="69"/>
        <v>0</v>
      </c>
      <c r="V224" s="10">
        <f t="shared" si="70"/>
        <v>0</v>
      </c>
    </row>
    <row r="225" spans="1:22" x14ac:dyDescent="0.2">
      <c r="A225" s="32">
        <v>10</v>
      </c>
      <c r="B225" s="33">
        <v>0.16666666666666699</v>
      </c>
      <c r="C225" s="32">
        <f>'0800z'!E19</f>
        <v>7</v>
      </c>
      <c r="D225" s="32">
        <f>'0800z'!F19</f>
        <v>10</v>
      </c>
      <c r="E225" s="32">
        <f t="shared" si="71"/>
        <v>70</v>
      </c>
      <c r="F225" s="10">
        <f t="shared" si="72"/>
        <v>0</v>
      </c>
      <c r="G225" s="10">
        <f t="shared" si="73"/>
        <v>0</v>
      </c>
      <c r="H225" s="10">
        <f t="shared" si="56"/>
        <v>0</v>
      </c>
      <c r="I225" s="10">
        <f t="shared" si="57"/>
        <v>1</v>
      </c>
      <c r="J225" s="10">
        <f t="shared" si="58"/>
        <v>0</v>
      </c>
      <c r="K225" s="10">
        <f t="shared" si="59"/>
        <v>0</v>
      </c>
      <c r="L225" s="10">
        <f t="shared" si="60"/>
        <v>0</v>
      </c>
      <c r="M225" s="10">
        <f t="shared" si="61"/>
        <v>0</v>
      </c>
      <c r="N225" s="10">
        <f t="shared" si="62"/>
        <v>0</v>
      </c>
      <c r="O225" s="10">
        <f t="shared" si="63"/>
        <v>0</v>
      </c>
      <c r="P225" s="10">
        <f t="shared" si="64"/>
        <v>0</v>
      </c>
      <c r="Q225" s="10">
        <f t="shared" si="65"/>
        <v>0</v>
      </c>
      <c r="R225" s="10">
        <f t="shared" si="66"/>
        <v>0</v>
      </c>
      <c r="S225" s="10">
        <f t="shared" si="67"/>
        <v>0</v>
      </c>
      <c r="T225" s="10">
        <f t="shared" si="68"/>
        <v>0</v>
      </c>
      <c r="U225" s="10">
        <f t="shared" si="69"/>
        <v>0</v>
      </c>
      <c r="V225" s="10">
        <f t="shared" si="70"/>
        <v>0</v>
      </c>
    </row>
    <row r="226" spans="1:22" x14ac:dyDescent="0.2">
      <c r="A226" s="32">
        <v>10</v>
      </c>
      <c r="B226" s="33">
        <v>0.20833333333333301</v>
      </c>
      <c r="C226" s="32">
        <f>'0900z'!E19</f>
        <v>8</v>
      </c>
      <c r="D226" s="32">
        <f>'0900z'!F19</f>
        <v>8</v>
      </c>
      <c r="E226" s="32">
        <f t="shared" si="71"/>
        <v>80</v>
      </c>
      <c r="F226" s="10">
        <f t="shared" si="72"/>
        <v>0</v>
      </c>
      <c r="G226" s="10">
        <f t="shared" si="73"/>
        <v>0</v>
      </c>
      <c r="H226" s="10">
        <f t="shared" si="56"/>
        <v>0</v>
      </c>
      <c r="I226" s="10">
        <f t="shared" si="57"/>
        <v>0</v>
      </c>
      <c r="J226" s="10">
        <f t="shared" si="58"/>
        <v>1</v>
      </c>
      <c r="K226" s="10">
        <f t="shared" si="59"/>
        <v>0</v>
      </c>
      <c r="L226" s="10">
        <f t="shared" si="60"/>
        <v>0</v>
      </c>
      <c r="M226" s="10">
        <f t="shared" si="61"/>
        <v>0</v>
      </c>
      <c r="N226" s="10">
        <f t="shared" si="62"/>
        <v>0</v>
      </c>
      <c r="O226" s="10">
        <f t="shared" si="63"/>
        <v>0</v>
      </c>
      <c r="P226" s="10">
        <f t="shared" si="64"/>
        <v>0</v>
      </c>
      <c r="Q226" s="10">
        <f t="shared" si="65"/>
        <v>0</v>
      </c>
      <c r="R226" s="10">
        <f t="shared" si="66"/>
        <v>0</v>
      </c>
      <c r="S226" s="10">
        <f t="shared" si="67"/>
        <v>0</v>
      </c>
      <c r="T226" s="10">
        <f t="shared" si="68"/>
        <v>0</v>
      </c>
      <c r="U226" s="10">
        <f t="shared" si="69"/>
        <v>0</v>
      </c>
      <c r="V226" s="10">
        <f t="shared" si="70"/>
        <v>0</v>
      </c>
    </row>
    <row r="227" spans="1:22" x14ac:dyDescent="0.2">
      <c r="A227" s="32">
        <v>10</v>
      </c>
      <c r="B227" s="33">
        <v>0.25</v>
      </c>
      <c r="C227" s="32">
        <f>'1000z'!E19</f>
        <v>7</v>
      </c>
      <c r="D227" s="32">
        <f>'1000z'!F19</f>
        <v>6</v>
      </c>
      <c r="E227" s="32">
        <f t="shared" si="71"/>
        <v>70</v>
      </c>
      <c r="F227" s="10">
        <f t="shared" si="72"/>
        <v>0</v>
      </c>
      <c r="G227" s="10">
        <f t="shared" si="73"/>
        <v>0</v>
      </c>
      <c r="H227" s="10">
        <f t="shared" si="56"/>
        <v>0</v>
      </c>
      <c r="I227" s="10">
        <f t="shared" si="57"/>
        <v>1</v>
      </c>
      <c r="J227" s="10">
        <f t="shared" si="58"/>
        <v>0</v>
      </c>
      <c r="K227" s="10">
        <f t="shared" si="59"/>
        <v>0</v>
      </c>
      <c r="L227" s="10">
        <f t="shared" si="60"/>
        <v>0</v>
      </c>
      <c r="M227" s="10">
        <f t="shared" si="61"/>
        <v>0</v>
      </c>
      <c r="N227" s="10">
        <f t="shared" si="62"/>
        <v>0</v>
      </c>
      <c r="O227" s="10">
        <f t="shared" si="63"/>
        <v>0</v>
      </c>
      <c r="P227" s="10">
        <f t="shared" si="64"/>
        <v>0</v>
      </c>
      <c r="Q227" s="10">
        <f t="shared" si="65"/>
        <v>0</v>
      </c>
      <c r="R227" s="10">
        <f t="shared" si="66"/>
        <v>0</v>
      </c>
      <c r="S227" s="10">
        <f t="shared" si="67"/>
        <v>0</v>
      </c>
      <c r="T227" s="10">
        <f t="shared" si="68"/>
        <v>0</v>
      </c>
      <c r="U227" s="10">
        <f t="shared" si="69"/>
        <v>0</v>
      </c>
      <c r="V227" s="10">
        <f t="shared" si="70"/>
        <v>0</v>
      </c>
    </row>
    <row r="228" spans="1:22" x14ac:dyDescent="0.2">
      <c r="A228" s="32">
        <v>10</v>
      </c>
      <c r="B228" s="33">
        <v>0.29166666666666702</v>
      </c>
      <c r="C228" s="32">
        <f>'1100z'!E19</f>
        <v>9</v>
      </c>
      <c r="D228" s="32">
        <f>'1100z'!F19</f>
        <v>12</v>
      </c>
      <c r="E228" s="32">
        <f t="shared" si="71"/>
        <v>90</v>
      </c>
      <c r="F228" s="10">
        <f t="shared" si="72"/>
        <v>0</v>
      </c>
      <c r="G228" s="10">
        <f t="shared" si="73"/>
        <v>0</v>
      </c>
      <c r="H228" s="10">
        <f t="shared" si="56"/>
        <v>0</v>
      </c>
      <c r="I228" s="10">
        <f t="shared" si="57"/>
        <v>0</v>
      </c>
      <c r="J228" s="10">
        <f t="shared" si="58"/>
        <v>1</v>
      </c>
      <c r="K228" s="10">
        <f t="shared" si="59"/>
        <v>0</v>
      </c>
      <c r="L228" s="10">
        <f t="shared" si="60"/>
        <v>0</v>
      </c>
      <c r="M228" s="10">
        <f t="shared" si="61"/>
        <v>0</v>
      </c>
      <c r="N228" s="10">
        <f t="shared" si="62"/>
        <v>0</v>
      </c>
      <c r="O228" s="10">
        <f t="shared" si="63"/>
        <v>0</v>
      </c>
      <c r="P228" s="10">
        <f t="shared" si="64"/>
        <v>0</v>
      </c>
      <c r="Q228" s="10">
        <f t="shared" si="65"/>
        <v>0</v>
      </c>
      <c r="R228" s="10">
        <f t="shared" si="66"/>
        <v>0</v>
      </c>
      <c r="S228" s="10">
        <f t="shared" si="67"/>
        <v>0</v>
      </c>
      <c r="T228" s="10">
        <f t="shared" si="68"/>
        <v>0</v>
      </c>
      <c r="U228" s="10">
        <f t="shared" si="69"/>
        <v>0</v>
      </c>
      <c r="V228" s="10">
        <f t="shared" si="70"/>
        <v>0</v>
      </c>
    </row>
    <row r="229" spans="1:22" x14ac:dyDescent="0.2">
      <c r="A229" s="32">
        <v>10</v>
      </c>
      <c r="B229" s="33">
        <v>0.33333333333333298</v>
      </c>
      <c r="C229" s="32">
        <f>'1200z'!E19</f>
        <v>9</v>
      </c>
      <c r="D229" s="32">
        <f>'1200z'!F19</f>
        <v>12</v>
      </c>
      <c r="E229" s="32">
        <f t="shared" si="71"/>
        <v>90</v>
      </c>
      <c r="F229" s="10">
        <f t="shared" si="72"/>
        <v>0</v>
      </c>
      <c r="G229" s="10">
        <f t="shared" si="73"/>
        <v>0</v>
      </c>
      <c r="H229" s="10">
        <f t="shared" si="56"/>
        <v>0</v>
      </c>
      <c r="I229" s="10">
        <f t="shared" si="57"/>
        <v>0</v>
      </c>
      <c r="J229" s="10">
        <f t="shared" si="58"/>
        <v>1</v>
      </c>
      <c r="K229" s="10">
        <f t="shared" si="59"/>
        <v>0</v>
      </c>
      <c r="L229" s="10">
        <f t="shared" si="60"/>
        <v>0</v>
      </c>
      <c r="M229" s="10">
        <f t="shared" si="61"/>
        <v>0</v>
      </c>
      <c r="N229" s="10">
        <f t="shared" si="62"/>
        <v>0</v>
      </c>
      <c r="O229" s="10">
        <f t="shared" si="63"/>
        <v>0</v>
      </c>
      <c r="P229" s="10">
        <f t="shared" si="64"/>
        <v>0</v>
      </c>
      <c r="Q229" s="10">
        <f t="shared" si="65"/>
        <v>0</v>
      </c>
      <c r="R229" s="10">
        <f t="shared" si="66"/>
        <v>0</v>
      </c>
      <c r="S229" s="10">
        <f t="shared" si="67"/>
        <v>0</v>
      </c>
      <c r="T229" s="10">
        <f t="shared" si="68"/>
        <v>0</v>
      </c>
      <c r="U229" s="10">
        <f t="shared" si="69"/>
        <v>0</v>
      </c>
      <c r="V229" s="10">
        <f t="shared" si="70"/>
        <v>0</v>
      </c>
    </row>
    <row r="230" spans="1:22" x14ac:dyDescent="0.2">
      <c r="A230" s="32">
        <v>10</v>
      </c>
      <c r="B230" s="33">
        <v>0.375</v>
      </c>
      <c r="C230" s="32">
        <f>'1300z'!E19</f>
        <v>8</v>
      </c>
      <c r="D230" s="32">
        <f>'1300z'!F19</f>
        <v>14</v>
      </c>
      <c r="E230" s="32">
        <f t="shared" si="71"/>
        <v>80</v>
      </c>
      <c r="F230" s="10">
        <f t="shared" si="72"/>
        <v>0</v>
      </c>
      <c r="G230" s="10">
        <f t="shared" si="73"/>
        <v>0</v>
      </c>
      <c r="H230" s="10">
        <f t="shared" si="56"/>
        <v>0</v>
      </c>
      <c r="I230" s="10">
        <f t="shared" si="57"/>
        <v>0</v>
      </c>
      <c r="J230" s="10">
        <f t="shared" si="58"/>
        <v>1</v>
      </c>
      <c r="K230" s="10">
        <f t="shared" si="59"/>
        <v>0</v>
      </c>
      <c r="L230" s="10">
        <f t="shared" si="60"/>
        <v>0</v>
      </c>
      <c r="M230" s="10">
        <f t="shared" si="61"/>
        <v>0</v>
      </c>
      <c r="N230" s="10">
        <f t="shared" si="62"/>
        <v>0</v>
      </c>
      <c r="O230" s="10">
        <f t="shared" si="63"/>
        <v>0</v>
      </c>
      <c r="P230" s="10">
        <f t="shared" si="64"/>
        <v>0</v>
      </c>
      <c r="Q230" s="10">
        <f t="shared" si="65"/>
        <v>0</v>
      </c>
      <c r="R230" s="10">
        <f t="shared" si="66"/>
        <v>0</v>
      </c>
      <c r="S230" s="10">
        <f t="shared" si="67"/>
        <v>0</v>
      </c>
      <c r="T230" s="10">
        <f t="shared" si="68"/>
        <v>0</v>
      </c>
      <c r="U230" s="10">
        <f t="shared" si="69"/>
        <v>0</v>
      </c>
      <c r="V230" s="10">
        <f t="shared" si="70"/>
        <v>0</v>
      </c>
    </row>
    <row r="231" spans="1:22" x14ac:dyDescent="0.2">
      <c r="A231" s="32">
        <v>10</v>
      </c>
      <c r="B231" s="33">
        <v>0.41666666666666702</v>
      </c>
      <c r="C231" s="32">
        <f>'1400z'!E19</f>
        <v>9</v>
      </c>
      <c r="D231" s="32">
        <f>'1400z'!F19</f>
        <v>14</v>
      </c>
      <c r="E231" s="32">
        <f t="shared" si="71"/>
        <v>90</v>
      </c>
      <c r="F231" s="10">
        <f t="shared" si="72"/>
        <v>0</v>
      </c>
      <c r="G231" s="10">
        <f t="shared" si="73"/>
        <v>0</v>
      </c>
      <c r="H231" s="10">
        <f t="shared" si="56"/>
        <v>0</v>
      </c>
      <c r="I231" s="10">
        <f t="shared" si="57"/>
        <v>0</v>
      </c>
      <c r="J231" s="10">
        <f t="shared" si="58"/>
        <v>1</v>
      </c>
      <c r="K231" s="10">
        <f t="shared" si="59"/>
        <v>0</v>
      </c>
      <c r="L231" s="10">
        <f t="shared" si="60"/>
        <v>0</v>
      </c>
      <c r="M231" s="10">
        <f t="shared" si="61"/>
        <v>0</v>
      </c>
      <c r="N231" s="10">
        <f t="shared" si="62"/>
        <v>0</v>
      </c>
      <c r="O231" s="10">
        <f t="shared" si="63"/>
        <v>0</v>
      </c>
      <c r="P231" s="10">
        <f t="shared" si="64"/>
        <v>0</v>
      </c>
      <c r="Q231" s="10">
        <f t="shared" si="65"/>
        <v>0</v>
      </c>
      <c r="R231" s="10">
        <f t="shared" si="66"/>
        <v>0</v>
      </c>
      <c r="S231" s="10">
        <f t="shared" si="67"/>
        <v>0</v>
      </c>
      <c r="T231" s="10">
        <f t="shared" si="68"/>
        <v>0</v>
      </c>
      <c r="U231" s="10">
        <f t="shared" si="69"/>
        <v>0</v>
      </c>
      <c r="V231" s="10">
        <f t="shared" si="70"/>
        <v>0</v>
      </c>
    </row>
    <row r="232" spans="1:22" x14ac:dyDescent="0.2">
      <c r="A232" s="32">
        <v>10</v>
      </c>
      <c r="B232" s="33">
        <v>0.45833333333333298</v>
      </c>
      <c r="C232" s="32">
        <f>'1500z'!E19</f>
        <v>10</v>
      </c>
      <c r="D232" s="32">
        <f>'1500z'!F19</f>
        <v>14</v>
      </c>
      <c r="E232" s="32">
        <f t="shared" si="71"/>
        <v>100</v>
      </c>
      <c r="F232" s="10">
        <f t="shared" si="72"/>
        <v>0</v>
      </c>
      <c r="G232" s="10">
        <f t="shared" si="73"/>
        <v>0</v>
      </c>
      <c r="H232" s="10">
        <f t="shared" si="56"/>
        <v>0</v>
      </c>
      <c r="I232" s="10">
        <f t="shared" si="57"/>
        <v>0</v>
      </c>
      <c r="J232" s="10">
        <f t="shared" si="58"/>
        <v>1</v>
      </c>
      <c r="K232" s="10">
        <f t="shared" si="59"/>
        <v>0</v>
      </c>
      <c r="L232" s="10">
        <f t="shared" si="60"/>
        <v>0</v>
      </c>
      <c r="M232" s="10">
        <f t="shared" si="61"/>
        <v>0</v>
      </c>
      <c r="N232" s="10">
        <f t="shared" si="62"/>
        <v>0</v>
      </c>
      <c r="O232" s="10">
        <f t="shared" si="63"/>
        <v>0</v>
      </c>
      <c r="P232" s="10">
        <f t="shared" si="64"/>
        <v>0</v>
      </c>
      <c r="Q232" s="10">
        <f t="shared" si="65"/>
        <v>0</v>
      </c>
      <c r="R232" s="10">
        <f t="shared" si="66"/>
        <v>0</v>
      </c>
      <c r="S232" s="10">
        <f t="shared" si="67"/>
        <v>0</v>
      </c>
      <c r="T232" s="10">
        <f t="shared" si="68"/>
        <v>0</v>
      </c>
      <c r="U232" s="10">
        <f t="shared" si="69"/>
        <v>0</v>
      </c>
      <c r="V232" s="10">
        <f t="shared" si="70"/>
        <v>0</v>
      </c>
    </row>
    <row r="233" spans="1:22" x14ac:dyDescent="0.2">
      <c r="A233" s="32">
        <v>10</v>
      </c>
      <c r="B233" s="33">
        <v>0.5</v>
      </c>
      <c r="C233" s="32">
        <f>'1600z'!E19</f>
        <v>10</v>
      </c>
      <c r="D233" s="32">
        <f>'1600z'!F19</f>
        <v>16</v>
      </c>
      <c r="E233" s="32">
        <f t="shared" si="71"/>
        <v>100</v>
      </c>
      <c r="F233" s="10">
        <f t="shared" si="72"/>
        <v>0</v>
      </c>
      <c r="G233" s="10">
        <f t="shared" si="73"/>
        <v>0</v>
      </c>
      <c r="H233" s="10">
        <f t="shared" si="56"/>
        <v>0</v>
      </c>
      <c r="I233" s="10">
        <f t="shared" si="57"/>
        <v>0</v>
      </c>
      <c r="J233" s="10">
        <f t="shared" si="58"/>
        <v>1</v>
      </c>
      <c r="K233" s="10">
        <f t="shared" si="59"/>
        <v>0</v>
      </c>
      <c r="L233" s="10">
        <f t="shared" si="60"/>
        <v>0</v>
      </c>
      <c r="M233" s="10">
        <f t="shared" si="61"/>
        <v>0</v>
      </c>
      <c r="N233" s="10">
        <f t="shared" si="62"/>
        <v>0</v>
      </c>
      <c r="O233" s="10">
        <f t="shared" si="63"/>
        <v>0</v>
      </c>
      <c r="P233" s="10">
        <f t="shared" si="64"/>
        <v>0</v>
      </c>
      <c r="Q233" s="10">
        <f t="shared" si="65"/>
        <v>0</v>
      </c>
      <c r="R233" s="10">
        <f t="shared" si="66"/>
        <v>0</v>
      </c>
      <c r="S233" s="10">
        <f t="shared" si="67"/>
        <v>0</v>
      </c>
      <c r="T233" s="10">
        <f t="shared" si="68"/>
        <v>0</v>
      </c>
      <c r="U233" s="10">
        <f t="shared" si="69"/>
        <v>0</v>
      </c>
      <c r="V233" s="10">
        <f t="shared" si="70"/>
        <v>0</v>
      </c>
    </row>
    <row r="234" spans="1:22" x14ac:dyDescent="0.2">
      <c r="A234" s="32">
        <v>10</v>
      </c>
      <c r="B234" s="33">
        <v>0.54166666666666696</v>
      </c>
      <c r="C234" s="32">
        <f>'1700z'!E19</f>
        <v>11</v>
      </c>
      <c r="D234" s="32">
        <f>'1700z'!F19</f>
        <v>16</v>
      </c>
      <c r="E234" s="32">
        <f t="shared" si="71"/>
        <v>110</v>
      </c>
      <c r="F234" s="10">
        <f t="shared" si="72"/>
        <v>0</v>
      </c>
      <c r="G234" s="10">
        <f t="shared" si="73"/>
        <v>0</v>
      </c>
      <c r="H234" s="10">
        <f t="shared" si="56"/>
        <v>0</v>
      </c>
      <c r="I234" s="10">
        <f t="shared" si="57"/>
        <v>0</v>
      </c>
      <c r="J234" s="10">
        <f t="shared" si="58"/>
        <v>0</v>
      </c>
      <c r="K234" s="10">
        <f t="shared" si="59"/>
        <v>1</v>
      </c>
      <c r="L234" s="10">
        <f t="shared" si="60"/>
        <v>0</v>
      </c>
      <c r="M234" s="10">
        <f t="shared" si="61"/>
        <v>0</v>
      </c>
      <c r="N234" s="10">
        <f t="shared" si="62"/>
        <v>0</v>
      </c>
      <c r="O234" s="10">
        <f t="shared" si="63"/>
        <v>0</v>
      </c>
      <c r="P234" s="10">
        <f t="shared" si="64"/>
        <v>0</v>
      </c>
      <c r="Q234" s="10">
        <f t="shared" si="65"/>
        <v>0</v>
      </c>
      <c r="R234" s="10">
        <f t="shared" si="66"/>
        <v>0</v>
      </c>
      <c r="S234" s="10">
        <f t="shared" si="67"/>
        <v>0</v>
      </c>
      <c r="T234" s="10">
        <f t="shared" si="68"/>
        <v>0</v>
      </c>
      <c r="U234" s="10">
        <f t="shared" si="69"/>
        <v>0</v>
      </c>
      <c r="V234" s="10">
        <f t="shared" si="70"/>
        <v>0</v>
      </c>
    </row>
    <row r="235" spans="1:22" x14ac:dyDescent="0.2">
      <c r="A235" s="32">
        <v>10</v>
      </c>
      <c r="B235" s="33">
        <v>0.58333333333333304</v>
      </c>
      <c r="C235" s="32">
        <f>'1800z'!E19</f>
        <v>10</v>
      </c>
      <c r="D235" s="32">
        <f>'1800z'!F19</f>
        <v>14</v>
      </c>
      <c r="E235" s="32">
        <f t="shared" si="71"/>
        <v>100</v>
      </c>
      <c r="F235" s="10">
        <f t="shared" si="72"/>
        <v>0</v>
      </c>
      <c r="G235" s="10">
        <f t="shared" si="73"/>
        <v>0</v>
      </c>
      <c r="H235" s="10">
        <f t="shared" si="56"/>
        <v>0</v>
      </c>
      <c r="I235" s="10">
        <f t="shared" si="57"/>
        <v>0</v>
      </c>
      <c r="J235" s="10">
        <f t="shared" si="58"/>
        <v>1</v>
      </c>
      <c r="K235" s="10">
        <f t="shared" si="59"/>
        <v>0</v>
      </c>
      <c r="L235" s="10">
        <f t="shared" si="60"/>
        <v>0</v>
      </c>
      <c r="M235" s="10">
        <f t="shared" si="61"/>
        <v>0</v>
      </c>
      <c r="N235" s="10">
        <f t="shared" si="62"/>
        <v>0</v>
      </c>
      <c r="O235" s="10">
        <f t="shared" si="63"/>
        <v>0</v>
      </c>
      <c r="P235" s="10">
        <f t="shared" si="64"/>
        <v>0</v>
      </c>
      <c r="Q235" s="10">
        <f t="shared" si="65"/>
        <v>0</v>
      </c>
      <c r="R235" s="10">
        <f t="shared" si="66"/>
        <v>0</v>
      </c>
      <c r="S235" s="10">
        <f t="shared" si="67"/>
        <v>0</v>
      </c>
      <c r="T235" s="10">
        <f t="shared" si="68"/>
        <v>0</v>
      </c>
      <c r="U235" s="10">
        <f t="shared" si="69"/>
        <v>0</v>
      </c>
      <c r="V235" s="10">
        <f t="shared" si="70"/>
        <v>0</v>
      </c>
    </row>
    <row r="236" spans="1:22" x14ac:dyDescent="0.2">
      <c r="A236" s="32">
        <v>10</v>
      </c>
      <c r="B236" s="33">
        <v>0.625</v>
      </c>
      <c r="C236" s="32">
        <f>'1900z'!E19</f>
        <v>9</v>
      </c>
      <c r="D236" s="32">
        <f>'1900z'!F19</f>
        <v>14</v>
      </c>
      <c r="E236" s="32">
        <f t="shared" si="71"/>
        <v>90</v>
      </c>
      <c r="F236" s="10">
        <f t="shared" si="72"/>
        <v>0</v>
      </c>
      <c r="G236" s="10">
        <f t="shared" si="73"/>
        <v>0</v>
      </c>
      <c r="H236" s="10">
        <f t="shared" si="56"/>
        <v>0</v>
      </c>
      <c r="I236" s="10">
        <f t="shared" si="57"/>
        <v>0</v>
      </c>
      <c r="J236" s="10">
        <f t="shared" si="58"/>
        <v>1</v>
      </c>
      <c r="K236" s="10">
        <f t="shared" si="59"/>
        <v>0</v>
      </c>
      <c r="L236" s="10">
        <f t="shared" si="60"/>
        <v>0</v>
      </c>
      <c r="M236" s="10">
        <f t="shared" si="61"/>
        <v>0</v>
      </c>
      <c r="N236" s="10">
        <f t="shared" si="62"/>
        <v>0</v>
      </c>
      <c r="O236" s="10">
        <f t="shared" si="63"/>
        <v>0</v>
      </c>
      <c r="P236" s="10">
        <f t="shared" si="64"/>
        <v>0</v>
      </c>
      <c r="Q236" s="10">
        <f t="shared" si="65"/>
        <v>0</v>
      </c>
      <c r="R236" s="10">
        <f t="shared" si="66"/>
        <v>0</v>
      </c>
      <c r="S236" s="10">
        <f t="shared" si="67"/>
        <v>0</v>
      </c>
      <c r="T236" s="10">
        <f t="shared" si="68"/>
        <v>0</v>
      </c>
      <c r="U236" s="10">
        <f t="shared" si="69"/>
        <v>0</v>
      </c>
      <c r="V236" s="10">
        <f t="shared" si="70"/>
        <v>0</v>
      </c>
    </row>
    <row r="237" spans="1:22" x14ac:dyDescent="0.2">
      <c r="A237" s="32">
        <v>10</v>
      </c>
      <c r="B237" s="33">
        <v>0.66666666666666696</v>
      </c>
      <c r="C237" s="32">
        <f>'2000z'!E19</f>
        <v>11</v>
      </c>
      <c r="D237" s="32">
        <f>'2000z'!F19</f>
        <v>16</v>
      </c>
      <c r="E237" s="32">
        <f t="shared" si="71"/>
        <v>110</v>
      </c>
      <c r="F237" s="10">
        <f t="shared" si="72"/>
        <v>0</v>
      </c>
      <c r="G237" s="10">
        <f t="shared" si="73"/>
        <v>0</v>
      </c>
      <c r="H237" s="10">
        <f t="shared" si="56"/>
        <v>0</v>
      </c>
      <c r="I237" s="10">
        <f t="shared" si="57"/>
        <v>0</v>
      </c>
      <c r="J237" s="10">
        <f t="shared" si="58"/>
        <v>0</v>
      </c>
      <c r="K237" s="10">
        <f t="shared" si="59"/>
        <v>1</v>
      </c>
      <c r="L237" s="10">
        <f t="shared" si="60"/>
        <v>0</v>
      </c>
      <c r="M237" s="10">
        <f t="shared" si="61"/>
        <v>0</v>
      </c>
      <c r="N237" s="10">
        <f t="shared" si="62"/>
        <v>0</v>
      </c>
      <c r="O237" s="10">
        <f t="shared" si="63"/>
        <v>0</v>
      </c>
      <c r="P237" s="10">
        <f t="shared" si="64"/>
        <v>0</v>
      </c>
      <c r="Q237" s="10">
        <f t="shared" si="65"/>
        <v>0</v>
      </c>
      <c r="R237" s="10">
        <f t="shared" si="66"/>
        <v>0</v>
      </c>
      <c r="S237" s="10">
        <f t="shared" si="67"/>
        <v>0</v>
      </c>
      <c r="T237" s="10">
        <f t="shared" si="68"/>
        <v>0</v>
      </c>
      <c r="U237" s="10">
        <f t="shared" si="69"/>
        <v>0</v>
      </c>
      <c r="V237" s="10">
        <f t="shared" si="70"/>
        <v>0</v>
      </c>
    </row>
    <row r="238" spans="1:22" x14ac:dyDescent="0.2">
      <c r="A238" s="32">
        <v>10</v>
      </c>
      <c r="B238" s="33">
        <v>0.70833333333333304</v>
      </c>
      <c r="C238" s="32">
        <f>'2100z'!E19</f>
        <v>10</v>
      </c>
      <c r="D238" s="32">
        <f>'2100z'!F19</f>
        <v>12</v>
      </c>
      <c r="E238" s="32">
        <f t="shared" si="71"/>
        <v>100</v>
      </c>
      <c r="F238" s="10">
        <f t="shared" si="72"/>
        <v>0</v>
      </c>
      <c r="G238" s="10">
        <f t="shared" si="73"/>
        <v>0</v>
      </c>
      <c r="H238" s="10">
        <f t="shared" si="56"/>
        <v>0</v>
      </c>
      <c r="I238" s="10">
        <f t="shared" si="57"/>
        <v>0</v>
      </c>
      <c r="J238" s="10">
        <f t="shared" si="58"/>
        <v>1</v>
      </c>
      <c r="K238" s="10">
        <f t="shared" si="59"/>
        <v>0</v>
      </c>
      <c r="L238" s="10">
        <f t="shared" si="60"/>
        <v>0</v>
      </c>
      <c r="M238" s="10">
        <f t="shared" si="61"/>
        <v>0</v>
      </c>
      <c r="N238" s="10">
        <f t="shared" si="62"/>
        <v>0</v>
      </c>
      <c r="O238" s="10">
        <f t="shared" si="63"/>
        <v>0</v>
      </c>
      <c r="P238" s="10">
        <f t="shared" si="64"/>
        <v>0</v>
      </c>
      <c r="Q238" s="10">
        <f t="shared" si="65"/>
        <v>0</v>
      </c>
      <c r="R238" s="10">
        <f t="shared" si="66"/>
        <v>0</v>
      </c>
      <c r="S238" s="10">
        <f t="shared" si="67"/>
        <v>0</v>
      </c>
      <c r="T238" s="10">
        <f t="shared" si="68"/>
        <v>0</v>
      </c>
      <c r="U238" s="10">
        <f t="shared" si="69"/>
        <v>0</v>
      </c>
      <c r="V238" s="10">
        <f t="shared" si="70"/>
        <v>0</v>
      </c>
    </row>
    <row r="239" spans="1:22" x14ac:dyDescent="0.2">
      <c r="A239" s="32">
        <v>10</v>
      </c>
      <c r="B239" s="33">
        <v>0.75</v>
      </c>
      <c r="C239" s="32">
        <f>'2200z'!E19</f>
        <v>8</v>
      </c>
      <c r="D239" s="32">
        <f>'2200z'!F19</f>
        <v>12</v>
      </c>
      <c r="E239" s="32">
        <f t="shared" si="71"/>
        <v>80</v>
      </c>
      <c r="F239" s="10">
        <f t="shared" si="72"/>
        <v>0</v>
      </c>
      <c r="G239" s="10">
        <f t="shared" si="73"/>
        <v>0</v>
      </c>
      <c r="H239" s="10">
        <f t="shared" si="56"/>
        <v>0</v>
      </c>
      <c r="I239" s="10">
        <f t="shared" si="57"/>
        <v>0</v>
      </c>
      <c r="J239" s="10">
        <f t="shared" si="58"/>
        <v>1</v>
      </c>
      <c r="K239" s="10">
        <f t="shared" si="59"/>
        <v>0</v>
      </c>
      <c r="L239" s="10">
        <f t="shared" si="60"/>
        <v>0</v>
      </c>
      <c r="M239" s="10">
        <f t="shared" si="61"/>
        <v>0</v>
      </c>
      <c r="N239" s="10">
        <f t="shared" si="62"/>
        <v>0</v>
      </c>
      <c r="O239" s="10">
        <f t="shared" si="63"/>
        <v>0</v>
      </c>
      <c r="P239" s="10">
        <f t="shared" si="64"/>
        <v>0</v>
      </c>
      <c r="Q239" s="10">
        <f t="shared" si="65"/>
        <v>0</v>
      </c>
      <c r="R239" s="10">
        <f t="shared" si="66"/>
        <v>0</v>
      </c>
      <c r="S239" s="10">
        <f t="shared" si="67"/>
        <v>0</v>
      </c>
      <c r="T239" s="10">
        <f t="shared" si="68"/>
        <v>0</v>
      </c>
      <c r="U239" s="10">
        <f t="shared" si="69"/>
        <v>0</v>
      </c>
      <c r="V239" s="10">
        <f t="shared" si="70"/>
        <v>0</v>
      </c>
    </row>
    <row r="240" spans="1:22" x14ac:dyDescent="0.2">
      <c r="A240" s="32">
        <v>10</v>
      </c>
      <c r="B240" s="33">
        <v>0.79166666666666696</v>
      </c>
      <c r="C240" s="32">
        <f>'2300z'!E19</f>
        <v>8</v>
      </c>
      <c r="D240" s="32">
        <f>'2300z'!F19</f>
        <v>12</v>
      </c>
      <c r="E240" s="32">
        <f t="shared" si="71"/>
        <v>80</v>
      </c>
      <c r="F240" s="10">
        <f t="shared" si="72"/>
        <v>0</v>
      </c>
      <c r="G240" s="10">
        <f t="shared" si="73"/>
        <v>0</v>
      </c>
      <c r="H240" s="10">
        <f t="shared" si="56"/>
        <v>0</v>
      </c>
      <c r="I240" s="10">
        <f t="shared" si="57"/>
        <v>0</v>
      </c>
      <c r="J240" s="10">
        <f t="shared" si="58"/>
        <v>1</v>
      </c>
      <c r="K240" s="10">
        <f t="shared" si="59"/>
        <v>0</v>
      </c>
      <c r="L240" s="10">
        <f t="shared" si="60"/>
        <v>0</v>
      </c>
      <c r="M240" s="10">
        <f t="shared" si="61"/>
        <v>0</v>
      </c>
      <c r="N240" s="10">
        <f t="shared" si="62"/>
        <v>0</v>
      </c>
      <c r="O240" s="10">
        <f t="shared" si="63"/>
        <v>0</v>
      </c>
      <c r="P240" s="10">
        <f t="shared" si="64"/>
        <v>0</v>
      </c>
      <c r="Q240" s="10">
        <f t="shared" si="65"/>
        <v>0</v>
      </c>
      <c r="R240" s="10">
        <f t="shared" si="66"/>
        <v>0</v>
      </c>
      <c r="S240" s="10">
        <f t="shared" si="67"/>
        <v>0</v>
      </c>
      <c r="T240" s="10">
        <f t="shared" si="68"/>
        <v>0</v>
      </c>
      <c r="U240" s="10">
        <f t="shared" si="69"/>
        <v>0</v>
      </c>
      <c r="V240" s="10">
        <f t="shared" si="70"/>
        <v>0</v>
      </c>
    </row>
    <row r="241" spans="1:22" x14ac:dyDescent="0.2">
      <c r="A241" s="32">
        <v>10</v>
      </c>
      <c r="B241" s="33">
        <v>0.83333333333333304</v>
      </c>
      <c r="C241" s="32">
        <f>'0000z'!E19</f>
        <v>9</v>
      </c>
      <c r="D241" s="32">
        <f>'0000z'!F19</f>
        <v>10</v>
      </c>
      <c r="E241" s="32">
        <f t="shared" si="71"/>
        <v>90</v>
      </c>
      <c r="F241" s="10">
        <f t="shared" si="72"/>
        <v>0</v>
      </c>
      <c r="G241" s="10">
        <f t="shared" si="73"/>
        <v>0</v>
      </c>
      <c r="H241" s="10">
        <f t="shared" si="56"/>
        <v>0</v>
      </c>
      <c r="I241" s="10">
        <f t="shared" si="57"/>
        <v>0</v>
      </c>
      <c r="J241" s="10">
        <f t="shared" si="58"/>
        <v>1</v>
      </c>
      <c r="K241" s="10">
        <f t="shared" si="59"/>
        <v>0</v>
      </c>
      <c r="L241" s="10">
        <f t="shared" si="60"/>
        <v>0</v>
      </c>
      <c r="M241" s="10">
        <f t="shared" si="61"/>
        <v>0</v>
      </c>
      <c r="N241" s="10">
        <f t="shared" si="62"/>
        <v>0</v>
      </c>
      <c r="O241" s="10">
        <f t="shared" si="63"/>
        <v>0</v>
      </c>
      <c r="P241" s="10">
        <f t="shared" si="64"/>
        <v>0</v>
      </c>
      <c r="Q241" s="10">
        <f t="shared" si="65"/>
        <v>0</v>
      </c>
      <c r="R241" s="10">
        <f t="shared" si="66"/>
        <v>0</v>
      </c>
      <c r="S241" s="10">
        <f t="shared" si="67"/>
        <v>0</v>
      </c>
      <c r="T241" s="10">
        <f t="shared" si="68"/>
        <v>0</v>
      </c>
      <c r="U241" s="10">
        <f t="shared" si="69"/>
        <v>0</v>
      </c>
      <c r="V241" s="10">
        <f t="shared" si="70"/>
        <v>0</v>
      </c>
    </row>
    <row r="242" spans="1:22" x14ac:dyDescent="0.2">
      <c r="A242" s="32">
        <v>10</v>
      </c>
      <c r="B242" s="33">
        <v>0.875</v>
      </c>
      <c r="C242" s="32">
        <f>'0100z'!E19</f>
        <v>8</v>
      </c>
      <c r="D242" s="32">
        <f>'0100z'!F19</f>
        <v>12</v>
      </c>
      <c r="E242" s="32">
        <f t="shared" si="71"/>
        <v>80</v>
      </c>
      <c r="F242" s="10">
        <f t="shared" si="72"/>
        <v>0</v>
      </c>
      <c r="G242" s="10">
        <f t="shared" si="73"/>
        <v>0</v>
      </c>
      <c r="H242" s="10">
        <f t="shared" si="56"/>
        <v>0</v>
      </c>
      <c r="I242" s="10">
        <f t="shared" si="57"/>
        <v>0</v>
      </c>
      <c r="J242" s="10">
        <f t="shared" si="58"/>
        <v>1</v>
      </c>
      <c r="K242" s="10">
        <f t="shared" si="59"/>
        <v>0</v>
      </c>
      <c r="L242" s="10">
        <f t="shared" si="60"/>
        <v>0</v>
      </c>
      <c r="M242" s="10">
        <f t="shared" si="61"/>
        <v>0</v>
      </c>
      <c r="N242" s="10">
        <f t="shared" si="62"/>
        <v>0</v>
      </c>
      <c r="O242" s="10">
        <f t="shared" si="63"/>
        <v>0</v>
      </c>
      <c r="P242" s="10">
        <f t="shared" si="64"/>
        <v>0</v>
      </c>
      <c r="Q242" s="10">
        <f t="shared" si="65"/>
        <v>0</v>
      </c>
      <c r="R242" s="10">
        <f t="shared" si="66"/>
        <v>0</v>
      </c>
      <c r="S242" s="10">
        <f t="shared" si="67"/>
        <v>0</v>
      </c>
      <c r="T242" s="10">
        <f t="shared" si="68"/>
        <v>0</v>
      </c>
      <c r="U242" s="10">
        <f t="shared" si="69"/>
        <v>0</v>
      </c>
      <c r="V242" s="10">
        <f t="shared" si="70"/>
        <v>0</v>
      </c>
    </row>
    <row r="243" spans="1:22" x14ac:dyDescent="0.2">
      <c r="A243" s="32">
        <v>10</v>
      </c>
      <c r="B243" s="33">
        <v>0.91666666666666696</v>
      </c>
      <c r="C243" s="32">
        <f>'0200z'!E19</f>
        <v>8</v>
      </c>
      <c r="D243" s="32">
        <f>'0200z'!F19</f>
        <v>9</v>
      </c>
      <c r="E243" s="32">
        <f t="shared" si="71"/>
        <v>80</v>
      </c>
      <c r="F243" s="10">
        <f t="shared" si="72"/>
        <v>0</v>
      </c>
      <c r="G243" s="10">
        <f t="shared" si="73"/>
        <v>0</v>
      </c>
      <c r="H243" s="10">
        <f t="shared" si="56"/>
        <v>0</v>
      </c>
      <c r="I243" s="10">
        <f t="shared" si="57"/>
        <v>0</v>
      </c>
      <c r="J243" s="10">
        <f t="shared" si="58"/>
        <v>1</v>
      </c>
      <c r="K243" s="10">
        <f t="shared" si="59"/>
        <v>0</v>
      </c>
      <c r="L243" s="10">
        <f t="shared" si="60"/>
        <v>0</v>
      </c>
      <c r="M243" s="10">
        <f t="shared" si="61"/>
        <v>0</v>
      </c>
      <c r="N243" s="10">
        <f t="shared" si="62"/>
        <v>0</v>
      </c>
      <c r="O243" s="10">
        <f t="shared" si="63"/>
        <v>0</v>
      </c>
      <c r="P243" s="10">
        <f t="shared" si="64"/>
        <v>0</v>
      </c>
      <c r="Q243" s="10">
        <f t="shared" si="65"/>
        <v>0</v>
      </c>
      <c r="R243" s="10">
        <f t="shared" si="66"/>
        <v>0</v>
      </c>
      <c r="S243" s="10">
        <f t="shared" si="67"/>
        <v>0</v>
      </c>
      <c r="T243" s="10">
        <f t="shared" si="68"/>
        <v>0</v>
      </c>
      <c r="U243" s="10">
        <f t="shared" si="69"/>
        <v>0</v>
      </c>
      <c r="V243" s="10">
        <f t="shared" si="70"/>
        <v>0</v>
      </c>
    </row>
    <row r="244" spans="1:22" x14ac:dyDescent="0.2">
      <c r="A244" s="32">
        <v>10</v>
      </c>
      <c r="B244" s="33">
        <v>0.95833333333333304</v>
      </c>
      <c r="C244" s="32">
        <f>'0300z'!E19</f>
        <v>8</v>
      </c>
      <c r="D244" s="32">
        <f>'0300z'!F19</f>
        <v>6</v>
      </c>
      <c r="E244" s="32">
        <f t="shared" si="71"/>
        <v>80</v>
      </c>
      <c r="F244" s="10">
        <f t="shared" si="72"/>
        <v>0</v>
      </c>
      <c r="G244" s="10">
        <f t="shared" si="73"/>
        <v>0</v>
      </c>
      <c r="H244" s="10">
        <f t="shared" si="56"/>
        <v>0</v>
      </c>
      <c r="I244" s="10">
        <f t="shared" si="57"/>
        <v>0</v>
      </c>
      <c r="J244" s="10">
        <f t="shared" si="58"/>
        <v>1</v>
      </c>
      <c r="K244" s="10">
        <f t="shared" si="59"/>
        <v>0</v>
      </c>
      <c r="L244" s="10">
        <f t="shared" si="60"/>
        <v>0</v>
      </c>
      <c r="M244" s="10">
        <f t="shared" si="61"/>
        <v>0</v>
      </c>
      <c r="N244" s="10">
        <f t="shared" si="62"/>
        <v>0</v>
      </c>
      <c r="O244" s="10">
        <f t="shared" si="63"/>
        <v>0</v>
      </c>
      <c r="P244" s="10">
        <f t="shared" si="64"/>
        <v>0</v>
      </c>
      <c r="Q244" s="10">
        <f t="shared" si="65"/>
        <v>0</v>
      </c>
      <c r="R244" s="10">
        <f t="shared" si="66"/>
        <v>0</v>
      </c>
      <c r="S244" s="10">
        <f t="shared" si="67"/>
        <v>0</v>
      </c>
      <c r="T244" s="10">
        <f t="shared" si="68"/>
        <v>0</v>
      </c>
      <c r="U244" s="10">
        <f t="shared" si="69"/>
        <v>0</v>
      </c>
      <c r="V244" s="10">
        <f t="shared" si="70"/>
        <v>0</v>
      </c>
    </row>
    <row r="245" spans="1:22" x14ac:dyDescent="0.2">
      <c r="A245" s="32">
        <v>11</v>
      </c>
      <c r="B245" s="33">
        <v>0</v>
      </c>
      <c r="C245" s="32">
        <f>'0400z'!E20</f>
        <v>8</v>
      </c>
      <c r="D245" s="32">
        <f>'0400z'!F20</f>
        <v>5</v>
      </c>
      <c r="E245" s="32">
        <f t="shared" si="71"/>
        <v>80</v>
      </c>
      <c r="F245" s="10">
        <f t="shared" si="72"/>
        <v>0</v>
      </c>
      <c r="G245" s="10">
        <f t="shared" si="73"/>
        <v>0</v>
      </c>
      <c r="H245" s="10">
        <f t="shared" si="56"/>
        <v>0</v>
      </c>
      <c r="I245" s="10">
        <f t="shared" si="57"/>
        <v>0</v>
      </c>
      <c r="J245" s="10">
        <f t="shared" si="58"/>
        <v>1</v>
      </c>
      <c r="K245" s="10">
        <f t="shared" si="59"/>
        <v>0</v>
      </c>
      <c r="L245" s="10">
        <f t="shared" si="60"/>
        <v>0</v>
      </c>
      <c r="M245" s="10">
        <f t="shared" si="61"/>
        <v>0</v>
      </c>
      <c r="N245" s="10">
        <f t="shared" si="62"/>
        <v>0</v>
      </c>
      <c r="O245" s="10">
        <f t="shared" si="63"/>
        <v>0</v>
      </c>
      <c r="P245" s="10">
        <f t="shared" si="64"/>
        <v>0</v>
      </c>
      <c r="Q245" s="10">
        <f t="shared" si="65"/>
        <v>0</v>
      </c>
      <c r="R245" s="10">
        <f t="shared" si="66"/>
        <v>0</v>
      </c>
      <c r="S245" s="10">
        <f t="shared" si="67"/>
        <v>0</v>
      </c>
      <c r="T245" s="10">
        <f t="shared" si="68"/>
        <v>0</v>
      </c>
      <c r="U245" s="10">
        <f t="shared" si="69"/>
        <v>0</v>
      </c>
      <c r="V245" s="10">
        <f t="shared" si="70"/>
        <v>0</v>
      </c>
    </row>
    <row r="246" spans="1:22" x14ac:dyDescent="0.2">
      <c r="A246" s="32">
        <v>11</v>
      </c>
      <c r="B246" s="33">
        <v>4.1666666666666664E-2</v>
      </c>
      <c r="C246" s="32">
        <f>'0500z'!E20</f>
        <v>0</v>
      </c>
      <c r="D246" s="32">
        <f>'0500z'!F20</f>
        <v>0</v>
      </c>
      <c r="E246" s="32">
        <f t="shared" si="71"/>
        <v>0</v>
      </c>
      <c r="F246" s="10">
        <f t="shared" si="72"/>
        <v>0</v>
      </c>
      <c r="G246" s="10">
        <f t="shared" si="73"/>
        <v>0</v>
      </c>
      <c r="H246" s="10">
        <f t="shared" si="56"/>
        <v>0</v>
      </c>
      <c r="I246" s="10">
        <f t="shared" si="57"/>
        <v>0</v>
      </c>
      <c r="J246" s="10">
        <f t="shared" si="58"/>
        <v>0</v>
      </c>
      <c r="K246" s="10">
        <f t="shared" si="59"/>
        <v>0</v>
      </c>
      <c r="L246" s="10">
        <f t="shared" si="60"/>
        <v>0</v>
      </c>
      <c r="M246" s="10">
        <f t="shared" si="61"/>
        <v>0</v>
      </c>
      <c r="N246" s="10">
        <f t="shared" si="62"/>
        <v>0</v>
      </c>
      <c r="O246" s="10">
        <f t="shared" si="63"/>
        <v>0</v>
      </c>
      <c r="P246" s="10">
        <f t="shared" si="64"/>
        <v>0</v>
      </c>
      <c r="Q246" s="10">
        <f t="shared" si="65"/>
        <v>0</v>
      </c>
      <c r="R246" s="10">
        <f t="shared" si="66"/>
        <v>0</v>
      </c>
      <c r="S246" s="10">
        <f t="shared" si="67"/>
        <v>0</v>
      </c>
      <c r="T246" s="10">
        <f t="shared" si="68"/>
        <v>0</v>
      </c>
      <c r="U246" s="10">
        <f t="shared" si="69"/>
        <v>0</v>
      </c>
      <c r="V246" s="10">
        <f t="shared" si="70"/>
        <v>0</v>
      </c>
    </row>
    <row r="247" spans="1:22" x14ac:dyDescent="0.2">
      <c r="A247" s="32">
        <v>11</v>
      </c>
      <c r="B247" s="33">
        <v>8.3333333333333329E-2</v>
      </c>
      <c r="C247" s="32">
        <f>'0600z'!E20</f>
        <v>9</v>
      </c>
      <c r="D247" s="32">
        <f>'0600z'!F20</f>
        <v>5</v>
      </c>
      <c r="E247" s="32">
        <f t="shared" si="71"/>
        <v>90</v>
      </c>
      <c r="F247" s="10">
        <f t="shared" si="72"/>
        <v>0</v>
      </c>
      <c r="G247" s="10">
        <f t="shared" si="73"/>
        <v>0</v>
      </c>
      <c r="H247" s="10">
        <f t="shared" si="56"/>
        <v>0</v>
      </c>
      <c r="I247" s="10">
        <f t="shared" si="57"/>
        <v>0</v>
      </c>
      <c r="J247" s="10">
        <f t="shared" si="58"/>
        <v>1</v>
      </c>
      <c r="K247" s="10">
        <f t="shared" si="59"/>
        <v>0</v>
      </c>
      <c r="L247" s="10">
        <f t="shared" si="60"/>
        <v>0</v>
      </c>
      <c r="M247" s="10">
        <f t="shared" si="61"/>
        <v>0</v>
      </c>
      <c r="N247" s="10">
        <f t="shared" si="62"/>
        <v>0</v>
      </c>
      <c r="O247" s="10">
        <f t="shared" si="63"/>
        <v>0</v>
      </c>
      <c r="P247" s="10">
        <f t="shared" si="64"/>
        <v>0</v>
      </c>
      <c r="Q247" s="10">
        <f t="shared" si="65"/>
        <v>0</v>
      </c>
      <c r="R247" s="10">
        <f t="shared" si="66"/>
        <v>0</v>
      </c>
      <c r="S247" s="10">
        <f t="shared" si="67"/>
        <v>0</v>
      </c>
      <c r="T247" s="10">
        <f t="shared" si="68"/>
        <v>0</v>
      </c>
      <c r="U247" s="10">
        <f t="shared" si="69"/>
        <v>0</v>
      </c>
      <c r="V247" s="10">
        <f t="shared" si="70"/>
        <v>0</v>
      </c>
    </row>
    <row r="248" spans="1:22" x14ac:dyDescent="0.2">
      <c r="A248" s="32">
        <v>11</v>
      </c>
      <c r="B248" s="33">
        <v>0.125</v>
      </c>
      <c r="C248" s="32">
        <f>'0700z'!E20</f>
        <v>0</v>
      </c>
      <c r="D248" s="32">
        <f>'0700z'!F20</f>
        <v>0</v>
      </c>
      <c r="E248" s="32">
        <f t="shared" si="71"/>
        <v>0</v>
      </c>
      <c r="F248" s="10">
        <f t="shared" si="72"/>
        <v>0</v>
      </c>
      <c r="G248" s="10">
        <f t="shared" si="73"/>
        <v>0</v>
      </c>
      <c r="H248" s="10">
        <f t="shared" si="56"/>
        <v>0</v>
      </c>
      <c r="I248" s="10">
        <f t="shared" si="57"/>
        <v>0</v>
      </c>
      <c r="J248" s="10">
        <f t="shared" si="58"/>
        <v>0</v>
      </c>
      <c r="K248" s="10">
        <f t="shared" si="59"/>
        <v>0</v>
      </c>
      <c r="L248" s="10">
        <f t="shared" si="60"/>
        <v>0</v>
      </c>
      <c r="M248" s="10">
        <f t="shared" si="61"/>
        <v>0</v>
      </c>
      <c r="N248" s="10">
        <f t="shared" si="62"/>
        <v>0</v>
      </c>
      <c r="O248" s="10">
        <f t="shared" si="63"/>
        <v>0</v>
      </c>
      <c r="P248" s="10">
        <f t="shared" si="64"/>
        <v>0</v>
      </c>
      <c r="Q248" s="10">
        <f t="shared" si="65"/>
        <v>0</v>
      </c>
      <c r="R248" s="10">
        <f t="shared" si="66"/>
        <v>0</v>
      </c>
      <c r="S248" s="10">
        <f t="shared" si="67"/>
        <v>0</v>
      </c>
      <c r="T248" s="10">
        <f t="shared" si="68"/>
        <v>0</v>
      </c>
      <c r="U248" s="10">
        <f t="shared" si="69"/>
        <v>0</v>
      </c>
      <c r="V248" s="10">
        <f t="shared" si="70"/>
        <v>0</v>
      </c>
    </row>
    <row r="249" spans="1:22" x14ac:dyDescent="0.2">
      <c r="A249" s="32">
        <v>11</v>
      </c>
      <c r="B249" s="33">
        <v>0.16666666666666699</v>
      </c>
      <c r="C249" s="32">
        <f>'0800z'!E20</f>
        <v>0</v>
      </c>
      <c r="D249" s="32">
        <f>'0800z'!F20</f>
        <v>0</v>
      </c>
      <c r="E249" s="32">
        <f t="shared" si="71"/>
        <v>0</v>
      </c>
      <c r="F249" s="10">
        <f t="shared" si="72"/>
        <v>0</v>
      </c>
      <c r="G249" s="10">
        <f t="shared" si="73"/>
        <v>0</v>
      </c>
      <c r="H249" s="10">
        <f t="shared" si="56"/>
        <v>0</v>
      </c>
      <c r="I249" s="10">
        <f t="shared" si="57"/>
        <v>0</v>
      </c>
      <c r="J249" s="10">
        <f t="shared" si="58"/>
        <v>0</v>
      </c>
      <c r="K249" s="10">
        <f t="shared" si="59"/>
        <v>0</v>
      </c>
      <c r="L249" s="10">
        <f t="shared" si="60"/>
        <v>0</v>
      </c>
      <c r="M249" s="10">
        <f t="shared" si="61"/>
        <v>0</v>
      </c>
      <c r="N249" s="10">
        <f t="shared" si="62"/>
        <v>0</v>
      </c>
      <c r="O249" s="10">
        <f t="shared" si="63"/>
        <v>0</v>
      </c>
      <c r="P249" s="10">
        <f t="shared" si="64"/>
        <v>0</v>
      </c>
      <c r="Q249" s="10">
        <f t="shared" si="65"/>
        <v>0</v>
      </c>
      <c r="R249" s="10">
        <f t="shared" si="66"/>
        <v>0</v>
      </c>
      <c r="S249" s="10">
        <f t="shared" si="67"/>
        <v>0</v>
      </c>
      <c r="T249" s="10">
        <f t="shared" si="68"/>
        <v>0</v>
      </c>
      <c r="U249" s="10">
        <f t="shared" si="69"/>
        <v>0</v>
      </c>
      <c r="V249" s="10">
        <f t="shared" si="70"/>
        <v>0</v>
      </c>
    </row>
    <row r="250" spans="1:22" x14ac:dyDescent="0.2">
      <c r="A250" s="32">
        <v>11</v>
      </c>
      <c r="B250" s="33">
        <v>0.20833333333333301</v>
      </c>
      <c r="C250" s="32">
        <f>'0900z'!E20</f>
        <v>0</v>
      </c>
      <c r="D250" s="32">
        <f>'0900z'!F20</f>
        <v>0</v>
      </c>
      <c r="E250" s="32">
        <f t="shared" si="71"/>
        <v>0</v>
      </c>
      <c r="F250" s="10">
        <f t="shared" si="72"/>
        <v>0</v>
      </c>
      <c r="G250" s="10">
        <f t="shared" si="73"/>
        <v>0</v>
      </c>
      <c r="H250" s="10">
        <f t="shared" si="56"/>
        <v>0</v>
      </c>
      <c r="I250" s="10">
        <f t="shared" si="57"/>
        <v>0</v>
      </c>
      <c r="J250" s="10">
        <f t="shared" si="58"/>
        <v>0</v>
      </c>
      <c r="K250" s="10">
        <f t="shared" si="59"/>
        <v>0</v>
      </c>
      <c r="L250" s="10">
        <f t="shared" si="60"/>
        <v>0</v>
      </c>
      <c r="M250" s="10">
        <f t="shared" si="61"/>
        <v>0</v>
      </c>
      <c r="N250" s="10">
        <f t="shared" si="62"/>
        <v>0</v>
      </c>
      <c r="O250" s="10">
        <f t="shared" si="63"/>
        <v>0</v>
      </c>
      <c r="P250" s="10">
        <f t="shared" si="64"/>
        <v>0</v>
      </c>
      <c r="Q250" s="10">
        <f t="shared" si="65"/>
        <v>0</v>
      </c>
      <c r="R250" s="10">
        <f t="shared" si="66"/>
        <v>0</v>
      </c>
      <c r="S250" s="10">
        <f t="shared" si="67"/>
        <v>0</v>
      </c>
      <c r="T250" s="10">
        <f t="shared" si="68"/>
        <v>0</v>
      </c>
      <c r="U250" s="10">
        <f t="shared" si="69"/>
        <v>0</v>
      </c>
      <c r="V250" s="10">
        <f t="shared" si="70"/>
        <v>0</v>
      </c>
    </row>
    <row r="251" spans="1:22" x14ac:dyDescent="0.2">
      <c r="A251" s="32">
        <v>11</v>
      </c>
      <c r="B251" s="33">
        <v>0.25</v>
      </c>
      <c r="C251" s="32">
        <f>'1000z'!E20</f>
        <v>0</v>
      </c>
      <c r="D251" s="32">
        <f>'1000z'!F20</f>
        <v>0</v>
      </c>
      <c r="E251" s="32">
        <f t="shared" si="71"/>
        <v>0</v>
      </c>
      <c r="F251" s="10">
        <f t="shared" si="72"/>
        <v>0</v>
      </c>
      <c r="G251" s="10">
        <f t="shared" si="73"/>
        <v>0</v>
      </c>
      <c r="H251" s="10">
        <f t="shared" si="56"/>
        <v>0</v>
      </c>
      <c r="I251" s="10">
        <f t="shared" si="57"/>
        <v>0</v>
      </c>
      <c r="J251" s="10">
        <f t="shared" si="58"/>
        <v>0</v>
      </c>
      <c r="K251" s="10">
        <f t="shared" si="59"/>
        <v>0</v>
      </c>
      <c r="L251" s="10">
        <f t="shared" si="60"/>
        <v>0</v>
      </c>
      <c r="M251" s="10">
        <f t="shared" si="61"/>
        <v>0</v>
      </c>
      <c r="N251" s="10">
        <f t="shared" si="62"/>
        <v>0</v>
      </c>
      <c r="O251" s="10">
        <f t="shared" si="63"/>
        <v>0</v>
      </c>
      <c r="P251" s="10">
        <f t="shared" si="64"/>
        <v>0</v>
      </c>
      <c r="Q251" s="10">
        <f t="shared" si="65"/>
        <v>0</v>
      </c>
      <c r="R251" s="10">
        <f t="shared" si="66"/>
        <v>0</v>
      </c>
      <c r="S251" s="10">
        <f t="shared" si="67"/>
        <v>0</v>
      </c>
      <c r="T251" s="10">
        <f t="shared" si="68"/>
        <v>0</v>
      </c>
      <c r="U251" s="10">
        <f t="shared" si="69"/>
        <v>0</v>
      </c>
      <c r="V251" s="10">
        <f t="shared" si="70"/>
        <v>0</v>
      </c>
    </row>
    <row r="252" spans="1:22" x14ac:dyDescent="0.2">
      <c r="A252" s="32">
        <v>11</v>
      </c>
      <c r="B252" s="33">
        <v>0.29166666666666702</v>
      </c>
      <c r="C252" s="32">
        <f>'1100z'!E20</f>
        <v>7</v>
      </c>
      <c r="D252" s="32">
        <f>'1100z'!F20</f>
        <v>5</v>
      </c>
      <c r="E252" s="32">
        <f t="shared" si="71"/>
        <v>70</v>
      </c>
      <c r="F252" s="10">
        <f t="shared" si="72"/>
        <v>0</v>
      </c>
      <c r="G252" s="10">
        <f t="shared" si="73"/>
        <v>0</v>
      </c>
      <c r="H252" s="10">
        <f t="shared" si="56"/>
        <v>0</v>
      </c>
      <c r="I252" s="10">
        <f t="shared" si="57"/>
        <v>1</v>
      </c>
      <c r="J252" s="10">
        <f t="shared" si="58"/>
        <v>0</v>
      </c>
      <c r="K252" s="10">
        <f t="shared" si="59"/>
        <v>0</v>
      </c>
      <c r="L252" s="10">
        <f t="shared" si="60"/>
        <v>0</v>
      </c>
      <c r="M252" s="10">
        <f t="shared" si="61"/>
        <v>0</v>
      </c>
      <c r="N252" s="10">
        <f t="shared" si="62"/>
        <v>0</v>
      </c>
      <c r="O252" s="10">
        <f t="shared" si="63"/>
        <v>0</v>
      </c>
      <c r="P252" s="10">
        <f t="shared" si="64"/>
        <v>0</v>
      </c>
      <c r="Q252" s="10">
        <f t="shared" si="65"/>
        <v>0</v>
      </c>
      <c r="R252" s="10">
        <f t="shared" si="66"/>
        <v>0</v>
      </c>
      <c r="S252" s="10">
        <f t="shared" si="67"/>
        <v>0</v>
      </c>
      <c r="T252" s="10">
        <f t="shared" si="68"/>
        <v>0</v>
      </c>
      <c r="U252" s="10">
        <f t="shared" si="69"/>
        <v>0</v>
      </c>
      <c r="V252" s="10">
        <f t="shared" si="70"/>
        <v>0</v>
      </c>
    </row>
    <row r="253" spans="1:22" x14ac:dyDescent="0.2">
      <c r="A253" s="32">
        <v>11</v>
      </c>
      <c r="B253" s="33">
        <v>0.33333333333333298</v>
      </c>
      <c r="C253" s="32">
        <f>'1200z'!E20</f>
        <v>10</v>
      </c>
      <c r="D253" s="32">
        <f>'1200z'!F20</f>
        <v>8</v>
      </c>
      <c r="E253" s="32">
        <f t="shared" si="71"/>
        <v>100</v>
      </c>
      <c r="F253" s="10">
        <f t="shared" si="72"/>
        <v>0</v>
      </c>
      <c r="G253" s="10">
        <f t="shared" si="73"/>
        <v>0</v>
      </c>
      <c r="H253" s="10">
        <f t="shared" si="56"/>
        <v>0</v>
      </c>
      <c r="I253" s="10">
        <f t="shared" si="57"/>
        <v>0</v>
      </c>
      <c r="J253" s="10">
        <f t="shared" si="58"/>
        <v>1</v>
      </c>
      <c r="K253" s="10">
        <f t="shared" si="59"/>
        <v>0</v>
      </c>
      <c r="L253" s="10">
        <f t="shared" si="60"/>
        <v>0</v>
      </c>
      <c r="M253" s="10">
        <f t="shared" si="61"/>
        <v>0</v>
      </c>
      <c r="N253" s="10">
        <f t="shared" si="62"/>
        <v>0</v>
      </c>
      <c r="O253" s="10">
        <f t="shared" si="63"/>
        <v>0</v>
      </c>
      <c r="P253" s="10">
        <f t="shared" si="64"/>
        <v>0</v>
      </c>
      <c r="Q253" s="10">
        <f t="shared" si="65"/>
        <v>0</v>
      </c>
      <c r="R253" s="10">
        <f t="shared" si="66"/>
        <v>0</v>
      </c>
      <c r="S253" s="10">
        <f t="shared" si="67"/>
        <v>0</v>
      </c>
      <c r="T253" s="10">
        <f t="shared" si="68"/>
        <v>0</v>
      </c>
      <c r="U253" s="10">
        <f t="shared" si="69"/>
        <v>0</v>
      </c>
      <c r="V253" s="10">
        <f t="shared" si="70"/>
        <v>0</v>
      </c>
    </row>
    <row r="254" spans="1:22" x14ac:dyDescent="0.2">
      <c r="A254" s="32">
        <v>11</v>
      </c>
      <c r="B254" s="33">
        <v>0.375</v>
      </c>
      <c r="C254" s="32">
        <f>'1300z'!E20</f>
        <v>13</v>
      </c>
      <c r="D254" s="32">
        <f>'1300z'!F20</f>
        <v>10</v>
      </c>
      <c r="E254" s="32">
        <f t="shared" si="71"/>
        <v>130</v>
      </c>
      <c r="F254" s="10">
        <f t="shared" si="72"/>
        <v>0</v>
      </c>
      <c r="G254" s="10">
        <f t="shared" si="73"/>
        <v>0</v>
      </c>
      <c r="H254" s="10">
        <f t="shared" si="56"/>
        <v>0</v>
      </c>
      <c r="I254" s="10">
        <f t="shared" si="57"/>
        <v>0</v>
      </c>
      <c r="J254" s="10">
        <f t="shared" si="58"/>
        <v>0</v>
      </c>
      <c r="K254" s="10">
        <f t="shared" si="59"/>
        <v>0</v>
      </c>
      <c r="L254" s="10">
        <f t="shared" si="60"/>
        <v>1</v>
      </c>
      <c r="M254" s="10">
        <f t="shared" si="61"/>
        <v>0</v>
      </c>
      <c r="N254" s="10">
        <f t="shared" si="62"/>
        <v>0</v>
      </c>
      <c r="O254" s="10">
        <f t="shared" si="63"/>
        <v>0</v>
      </c>
      <c r="P254" s="10">
        <f t="shared" si="64"/>
        <v>0</v>
      </c>
      <c r="Q254" s="10">
        <f t="shared" si="65"/>
        <v>0</v>
      </c>
      <c r="R254" s="10">
        <f t="shared" si="66"/>
        <v>0</v>
      </c>
      <c r="S254" s="10">
        <f t="shared" si="67"/>
        <v>0</v>
      </c>
      <c r="T254" s="10">
        <f t="shared" si="68"/>
        <v>0</v>
      </c>
      <c r="U254" s="10">
        <f t="shared" si="69"/>
        <v>0</v>
      </c>
      <c r="V254" s="10">
        <f t="shared" si="70"/>
        <v>0</v>
      </c>
    </row>
    <row r="255" spans="1:22" x14ac:dyDescent="0.2">
      <c r="A255" s="32">
        <v>11</v>
      </c>
      <c r="B255" s="33">
        <v>0.41666666666666702</v>
      </c>
      <c r="C255" s="32">
        <f>'1400z'!E20</f>
        <v>12</v>
      </c>
      <c r="D255" s="32">
        <f>'1400z'!F20</f>
        <v>12</v>
      </c>
      <c r="E255" s="32">
        <f t="shared" si="71"/>
        <v>120</v>
      </c>
      <c r="F255" s="10">
        <f t="shared" si="72"/>
        <v>0</v>
      </c>
      <c r="G255" s="10">
        <f t="shared" si="73"/>
        <v>0</v>
      </c>
      <c r="H255" s="10">
        <f t="shared" si="56"/>
        <v>0</v>
      </c>
      <c r="I255" s="10">
        <f t="shared" si="57"/>
        <v>0</v>
      </c>
      <c r="J255" s="10">
        <f t="shared" si="58"/>
        <v>0</v>
      </c>
      <c r="K255" s="10">
        <f t="shared" si="59"/>
        <v>1</v>
      </c>
      <c r="L255" s="10">
        <f t="shared" si="60"/>
        <v>0</v>
      </c>
      <c r="M255" s="10">
        <f t="shared" si="61"/>
        <v>0</v>
      </c>
      <c r="N255" s="10">
        <f t="shared" si="62"/>
        <v>0</v>
      </c>
      <c r="O255" s="10">
        <f t="shared" si="63"/>
        <v>0</v>
      </c>
      <c r="P255" s="10">
        <f t="shared" si="64"/>
        <v>0</v>
      </c>
      <c r="Q255" s="10">
        <f t="shared" si="65"/>
        <v>0</v>
      </c>
      <c r="R255" s="10">
        <f t="shared" si="66"/>
        <v>0</v>
      </c>
      <c r="S255" s="10">
        <f t="shared" si="67"/>
        <v>0</v>
      </c>
      <c r="T255" s="10">
        <f t="shared" si="68"/>
        <v>0</v>
      </c>
      <c r="U255" s="10">
        <f t="shared" si="69"/>
        <v>0</v>
      </c>
      <c r="V255" s="10">
        <f t="shared" si="70"/>
        <v>0</v>
      </c>
    </row>
    <row r="256" spans="1:22" x14ac:dyDescent="0.2">
      <c r="A256" s="32">
        <v>11</v>
      </c>
      <c r="B256" s="33">
        <v>0.45833333333333298</v>
      </c>
      <c r="C256" s="32">
        <f>'1500z'!E20</f>
        <v>13</v>
      </c>
      <c r="D256" s="32">
        <f>'1500z'!F20</f>
        <v>12</v>
      </c>
      <c r="E256" s="32">
        <f t="shared" si="71"/>
        <v>130</v>
      </c>
      <c r="F256" s="10">
        <f t="shared" si="72"/>
        <v>0</v>
      </c>
      <c r="G256" s="10">
        <f t="shared" si="73"/>
        <v>0</v>
      </c>
      <c r="H256" s="10">
        <f t="shared" si="56"/>
        <v>0</v>
      </c>
      <c r="I256" s="10">
        <f t="shared" si="57"/>
        <v>0</v>
      </c>
      <c r="J256" s="10">
        <f t="shared" si="58"/>
        <v>0</v>
      </c>
      <c r="K256" s="10">
        <f t="shared" si="59"/>
        <v>0</v>
      </c>
      <c r="L256" s="10">
        <f t="shared" si="60"/>
        <v>1</v>
      </c>
      <c r="M256" s="10">
        <f t="shared" si="61"/>
        <v>0</v>
      </c>
      <c r="N256" s="10">
        <f t="shared" si="62"/>
        <v>0</v>
      </c>
      <c r="O256" s="10">
        <f t="shared" si="63"/>
        <v>0</v>
      </c>
      <c r="P256" s="10">
        <f t="shared" si="64"/>
        <v>0</v>
      </c>
      <c r="Q256" s="10">
        <f t="shared" si="65"/>
        <v>0</v>
      </c>
      <c r="R256" s="10">
        <f t="shared" si="66"/>
        <v>0</v>
      </c>
      <c r="S256" s="10">
        <f t="shared" si="67"/>
        <v>0</v>
      </c>
      <c r="T256" s="10">
        <f t="shared" si="68"/>
        <v>0</v>
      </c>
      <c r="U256" s="10">
        <f t="shared" si="69"/>
        <v>0</v>
      </c>
      <c r="V256" s="10">
        <f t="shared" si="70"/>
        <v>0</v>
      </c>
    </row>
    <row r="257" spans="1:22" x14ac:dyDescent="0.2">
      <c r="A257" s="32">
        <v>11</v>
      </c>
      <c r="B257" s="33">
        <v>0.5</v>
      </c>
      <c r="C257" s="32">
        <f>'1600z'!E20</f>
        <v>14</v>
      </c>
      <c r="D257" s="32">
        <f>'1600z'!F20</f>
        <v>12</v>
      </c>
      <c r="E257" s="32">
        <f t="shared" si="71"/>
        <v>140</v>
      </c>
      <c r="F257" s="10">
        <f t="shared" si="72"/>
        <v>0</v>
      </c>
      <c r="G257" s="10">
        <f t="shared" si="73"/>
        <v>0</v>
      </c>
      <c r="H257" s="10">
        <f t="shared" si="56"/>
        <v>0</v>
      </c>
      <c r="I257" s="10">
        <f t="shared" si="57"/>
        <v>0</v>
      </c>
      <c r="J257" s="10">
        <f t="shared" si="58"/>
        <v>0</v>
      </c>
      <c r="K257" s="10">
        <f t="shared" si="59"/>
        <v>0</v>
      </c>
      <c r="L257" s="10">
        <f t="shared" si="60"/>
        <v>1</v>
      </c>
      <c r="M257" s="10">
        <f t="shared" si="61"/>
        <v>0</v>
      </c>
      <c r="N257" s="10">
        <f t="shared" si="62"/>
        <v>0</v>
      </c>
      <c r="O257" s="10">
        <f t="shared" si="63"/>
        <v>0</v>
      </c>
      <c r="P257" s="10">
        <f t="shared" si="64"/>
        <v>0</v>
      </c>
      <c r="Q257" s="10">
        <f t="shared" si="65"/>
        <v>0</v>
      </c>
      <c r="R257" s="10">
        <f t="shared" si="66"/>
        <v>0</v>
      </c>
      <c r="S257" s="10">
        <f t="shared" si="67"/>
        <v>0</v>
      </c>
      <c r="T257" s="10">
        <f t="shared" si="68"/>
        <v>0</v>
      </c>
      <c r="U257" s="10">
        <f t="shared" si="69"/>
        <v>0</v>
      </c>
      <c r="V257" s="10">
        <f t="shared" si="70"/>
        <v>0</v>
      </c>
    </row>
    <row r="258" spans="1:22" x14ac:dyDescent="0.2">
      <c r="A258" s="32">
        <v>11</v>
      </c>
      <c r="B258" s="33">
        <v>0.54166666666666696</v>
      </c>
      <c r="C258" s="32">
        <f>'1700z'!E20</f>
        <v>12</v>
      </c>
      <c r="D258" s="32">
        <f>'1700z'!F20</f>
        <v>10</v>
      </c>
      <c r="E258" s="32">
        <f t="shared" si="71"/>
        <v>120</v>
      </c>
      <c r="F258" s="10">
        <f t="shared" si="72"/>
        <v>0</v>
      </c>
      <c r="G258" s="10">
        <f t="shared" si="73"/>
        <v>0</v>
      </c>
      <c r="H258" s="10">
        <f t="shared" si="56"/>
        <v>0</v>
      </c>
      <c r="I258" s="10">
        <f t="shared" si="57"/>
        <v>0</v>
      </c>
      <c r="J258" s="10">
        <f t="shared" si="58"/>
        <v>0</v>
      </c>
      <c r="K258" s="10">
        <f t="shared" si="59"/>
        <v>1</v>
      </c>
      <c r="L258" s="10">
        <f t="shared" si="60"/>
        <v>0</v>
      </c>
      <c r="M258" s="10">
        <f t="shared" si="61"/>
        <v>0</v>
      </c>
      <c r="N258" s="10">
        <f t="shared" si="62"/>
        <v>0</v>
      </c>
      <c r="O258" s="10">
        <f t="shared" si="63"/>
        <v>0</v>
      </c>
      <c r="P258" s="10">
        <f t="shared" si="64"/>
        <v>0</v>
      </c>
      <c r="Q258" s="10">
        <f t="shared" si="65"/>
        <v>0</v>
      </c>
      <c r="R258" s="10">
        <f t="shared" si="66"/>
        <v>0</v>
      </c>
      <c r="S258" s="10">
        <f t="shared" si="67"/>
        <v>0</v>
      </c>
      <c r="T258" s="10">
        <f t="shared" si="68"/>
        <v>0</v>
      </c>
      <c r="U258" s="10">
        <f t="shared" si="69"/>
        <v>0</v>
      </c>
      <c r="V258" s="10">
        <f t="shared" si="70"/>
        <v>0</v>
      </c>
    </row>
    <row r="259" spans="1:22" x14ac:dyDescent="0.2">
      <c r="A259" s="32">
        <v>11</v>
      </c>
      <c r="B259" s="33">
        <v>0.58333333333333304</v>
      </c>
      <c r="C259" s="32">
        <f>'1800z'!E20</f>
        <v>13</v>
      </c>
      <c r="D259" s="32">
        <f>'1800z'!F20</f>
        <v>5</v>
      </c>
      <c r="E259" s="32">
        <f t="shared" si="71"/>
        <v>130</v>
      </c>
      <c r="F259" s="10">
        <f t="shared" si="72"/>
        <v>0</v>
      </c>
      <c r="G259" s="10">
        <f t="shared" si="73"/>
        <v>0</v>
      </c>
      <c r="H259" s="10">
        <f t="shared" si="56"/>
        <v>0</v>
      </c>
      <c r="I259" s="10">
        <f t="shared" si="57"/>
        <v>0</v>
      </c>
      <c r="J259" s="10">
        <f t="shared" si="58"/>
        <v>0</v>
      </c>
      <c r="K259" s="10">
        <f t="shared" si="59"/>
        <v>0</v>
      </c>
      <c r="L259" s="10">
        <f t="shared" si="60"/>
        <v>1</v>
      </c>
      <c r="M259" s="10">
        <f t="shared" si="61"/>
        <v>0</v>
      </c>
      <c r="N259" s="10">
        <f t="shared" si="62"/>
        <v>0</v>
      </c>
      <c r="O259" s="10">
        <f t="shared" si="63"/>
        <v>0</v>
      </c>
      <c r="P259" s="10">
        <f t="shared" si="64"/>
        <v>0</v>
      </c>
      <c r="Q259" s="10">
        <f t="shared" si="65"/>
        <v>0</v>
      </c>
      <c r="R259" s="10">
        <f t="shared" si="66"/>
        <v>0</v>
      </c>
      <c r="S259" s="10">
        <f t="shared" si="67"/>
        <v>0</v>
      </c>
      <c r="T259" s="10">
        <f t="shared" si="68"/>
        <v>0</v>
      </c>
      <c r="U259" s="10">
        <f t="shared" si="69"/>
        <v>0</v>
      </c>
      <c r="V259" s="10">
        <f t="shared" si="70"/>
        <v>0</v>
      </c>
    </row>
    <row r="260" spans="1:22" x14ac:dyDescent="0.2">
      <c r="A260" s="32">
        <v>11</v>
      </c>
      <c r="B260" s="33">
        <v>0.625</v>
      </c>
      <c r="C260" s="32">
        <f>'1900z'!E20</f>
        <v>12</v>
      </c>
      <c r="D260" s="32">
        <f>'1900z'!F20</f>
        <v>7</v>
      </c>
      <c r="E260" s="32">
        <f t="shared" si="71"/>
        <v>120</v>
      </c>
      <c r="F260" s="10">
        <f t="shared" si="72"/>
        <v>0</v>
      </c>
      <c r="G260" s="10">
        <f t="shared" si="73"/>
        <v>0</v>
      </c>
      <c r="H260" s="10">
        <f t="shared" si="56"/>
        <v>0</v>
      </c>
      <c r="I260" s="10">
        <f t="shared" si="57"/>
        <v>0</v>
      </c>
      <c r="J260" s="10">
        <f t="shared" si="58"/>
        <v>0</v>
      </c>
      <c r="K260" s="10">
        <f t="shared" si="59"/>
        <v>1</v>
      </c>
      <c r="L260" s="10">
        <f t="shared" si="60"/>
        <v>0</v>
      </c>
      <c r="M260" s="10">
        <f t="shared" si="61"/>
        <v>0</v>
      </c>
      <c r="N260" s="10">
        <f t="shared" si="62"/>
        <v>0</v>
      </c>
      <c r="O260" s="10">
        <f t="shared" si="63"/>
        <v>0</v>
      </c>
      <c r="P260" s="10">
        <f t="shared" si="64"/>
        <v>0</v>
      </c>
      <c r="Q260" s="10">
        <f t="shared" si="65"/>
        <v>0</v>
      </c>
      <c r="R260" s="10">
        <f t="shared" si="66"/>
        <v>0</v>
      </c>
      <c r="S260" s="10">
        <f t="shared" si="67"/>
        <v>0</v>
      </c>
      <c r="T260" s="10">
        <f t="shared" si="68"/>
        <v>0</v>
      </c>
      <c r="U260" s="10">
        <f t="shared" si="69"/>
        <v>0</v>
      </c>
      <c r="V260" s="10">
        <f t="shared" si="70"/>
        <v>0</v>
      </c>
    </row>
    <row r="261" spans="1:22" x14ac:dyDescent="0.2">
      <c r="A261" s="32">
        <v>11</v>
      </c>
      <c r="B261" s="33">
        <v>0.66666666666666696</v>
      </c>
      <c r="C261" s="32">
        <f>'2000z'!E20</f>
        <v>11</v>
      </c>
      <c r="D261" s="32">
        <f>'2000z'!F20</f>
        <v>11</v>
      </c>
      <c r="E261" s="32">
        <f t="shared" si="71"/>
        <v>110</v>
      </c>
      <c r="F261" s="10">
        <f t="shared" si="72"/>
        <v>0</v>
      </c>
      <c r="G261" s="10">
        <f t="shared" si="73"/>
        <v>0</v>
      </c>
      <c r="H261" s="10">
        <f t="shared" si="56"/>
        <v>0</v>
      </c>
      <c r="I261" s="10">
        <f t="shared" si="57"/>
        <v>0</v>
      </c>
      <c r="J261" s="10">
        <f t="shared" si="58"/>
        <v>0</v>
      </c>
      <c r="K261" s="10">
        <f t="shared" si="59"/>
        <v>1</v>
      </c>
      <c r="L261" s="10">
        <f t="shared" si="60"/>
        <v>0</v>
      </c>
      <c r="M261" s="10">
        <f t="shared" si="61"/>
        <v>0</v>
      </c>
      <c r="N261" s="10">
        <f t="shared" si="62"/>
        <v>0</v>
      </c>
      <c r="O261" s="10">
        <f t="shared" si="63"/>
        <v>0</v>
      </c>
      <c r="P261" s="10">
        <f t="shared" si="64"/>
        <v>0</v>
      </c>
      <c r="Q261" s="10">
        <f t="shared" si="65"/>
        <v>0</v>
      </c>
      <c r="R261" s="10">
        <f t="shared" si="66"/>
        <v>0</v>
      </c>
      <c r="S261" s="10">
        <f t="shared" si="67"/>
        <v>0</v>
      </c>
      <c r="T261" s="10">
        <f t="shared" si="68"/>
        <v>0</v>
      </c>
      <c r="U261" s="10">
        <f t="shared" si="69"/>
        <v>0</v>
      </c>
      <c r="V261" s="10">
        <f t="shared" si="70"/>
        <v>0</v>
      </c>
    </row>
    <row r="262" spans="1:22" x14ac:dyDescent="0.2">
      <c r="A262" s="32">
        <v>11</v>
      </c>
      <c r="B262" s="33">
        <v>0.70833333333333304</v>
      </c>
      <c r="C262" s="32">
        <f>'2100z'!E20</f>
        <v>11</v>
      </c>
      <c r="D262" s="32">
        <f>'2100z'!F20</f>
        <v>10</v>
      </c>
      <c r="E262" s="32">
        <f t="shared" si="71"/>
        <v>110</v>
      </c>
      <c r="F262" s="10">
        <f t="shared" si="72"/>
        <v>0</v>
      </c>
      <c r="G262" s="10">
        <f t="shared" si="73"/>
        <v>0</v>
      </c>
      <c r="H262" s="10">
        <f t="shared" ref="H262:H325" si="74">IF(E262&gt;33.75,IF(E262&lt;=56.25,1,0),0)</f>
        <v>0</v>
      </c>
      <c r="I262" s="10">
        <f t="shared" ref="I262:I325" si="75">IF(E262&gt;56.25,IF(E262&lt;=78.75,1,0),0)</f>
        <v>0</v>
      </c>
      <c r="J262" s="10">
        <f t="shared" ref="J262:J325" si="76">IF(E262&gt;78.75,IF(E262&lt;=101.25,1,0),0)</f>
        <v>0</v>
      </c>
      <c r="K262" s="10">
        <f t="shared" ref="K262:K325" si="77">IF(E262&gt;101.25,IF(E262&lt;=123.75,1,0),0)</f>
        <v>1</v>
      </c>
      <c r="L262" s="10">
        <f t="shared" ref="L262:L325" si="78">IF(E262&gt;123.75,IF(E262&lt;=146.25,1,0),0)</f>
        <v>0</v>
      </c>
      <c r="M262" s="10">
        <f t="shared" ref="M262:M325" si="79">IF(E262&gt;146.25,IF(E262&lt;=168.75,1,0),0)</f>
        <v>0</v>
      </c>
      <c r="N262" s="10">
        <f t="shared" ref="N262:N325" si="80">IF(E262&gt;168.75,IF(E262&lt;=191.25,1,0),0)</f>
        <v>0</v>
      </c>
      <c r="O262" s="10">
        <f t="shared" ref="O262:O325" si="81">IF(E262&gt;191.25,IF(E262&lt;=213.75,1,0),0)</f>
        <v>0</v>
      </c>
      <c r="P262" s="10">
        <f t="shared" ref="P262:P325" si="82">IF(E262&gt;213.75,IF(E262&lt;=236.25,1,0),0)</f>
        <v>0</v>
      </c>
      <c r="Q262" s="10">
        <f t="shared" ref="Q262:Q325" si="83">IF(E262&gt;236.25,IF(E262&lt;=258.75,1,0),0)</f>
        <v>0</v>
      </c>
      <c r="R262" s="10">
        <f t="shared" ref="R262:R325" si="84">IF(E262&gt;258.75,IF(E262&lt;=281.25,1,0),0)</f>
        <v>0</v>
      </c>
      <c r="S262" s="10">
        <f t="shared" ref="S262:S325" si="85">IF(E262&gt;281.25,IF(E262&lt;=303.75,1,0),0)</f>
        <v>0</v>
      </c>
      <c r="T262" s="10">
        <f t="shared" ref="T262:T325" si="86">IF(E262&gt;303.75,IF(E262&lt;=326.25,1,0),0)</f>
        <v>0</v>
      </c>
      <c r="U262" s="10">
        <f t="shared" ref="U262:U325" si="87">IF(E262&gt;326.25,IF(E262&lt;=348.75,1,0),0)</f>
        <v>0</v>
      </c>
      <c r="V262" s="10">
        <f t="shared" ref="V262:V325" si="88">IF(E262&gt;348.75,IF(E262&lt;=360,1,0),0)</f>
        <v>0</v>
      </c>
    </row>
    <row r="263" spans="1:22" x14ac:dyDescent="0.2">
      <c r="A263" s="32">
        <v>11</v>
      </c>
      <c r="B263" s="33">
        <v>0.75</v>
      </c>
      <c r="C263" s="32">
        <f>'2200z'!E20</f>
        <v>11</v>
      </c>
      <c r="D263" s="32">
        <f>'2200z'!F20</f>
        <v>7</v>
      </c>
      <c r="E263" s="32">
        <f t="shared" ref="E263:E326" si="89">(C263*10)</f>
        <v>110</v>
      </c>
      <c r="F263" s="10">
        <f t="shared" ref="F263:F326" si="90">IF(E263&gt;0,IF(E263&lt;=11.25,1,0),0)</f>
        <v>0</v>
      </c>
      <c r="G263" s="10">
        <f t="shared" ref="G263:G326" si="91">IF(E263&gt;11.25,IF(E263&lt;=33.75,1,0),0)</f>
        <v>0</v>
      </c>
      <c r="H263" s="10">
        <f t="shared" si="74"/>
        <v>0</v>
      </c>
      <c r="I263" s="10">
        <f t="shared" si="75"/>
        <v>0</v>
      </c>
      <c r="J263" s="10">
        <f t="shared" si="76"/>
        <v>0</v>
      </c>
      <c r="K263" s="10">
        <f t="shared" si="77"/>
        <v>1</v>
      </c>
      <c r="L263" s="10">
        <f t="shared" si="78"/>
        <v>0</v>
      </c>
      <c r="M263" s="10">
        <f t="shared" si="79"/>
        <v>0</v>
      </c>
      <c r="N263" s="10">
        <f t="shared" si="80"/>
        <v>0</v>
      </c>
      <c r="O263" s="10">
        <f t="shared" si="81"/>
        <v>0</v>
      </c>
      <c r="P263" s="10">
        <f t="shared" si="82"/>
        <v>0</v>
      </c>
      <c r="Q263" s="10">
        <f t="shared" si="83"/>
        <v>0</v>
      </c>
      <c r="R263" s="10">
        <f t="shared" si="84"/>
        <v>0</v>
      </c>
      <c r="S263" s="10">
        <f t="shared" si="85"/>
        <v>0</v>
      </c>
      <c r="T263" s="10">
        <f t="shared" si="86"/>
        <v>0</v>
      </c>
      <c r="U263" s="10">
        <f t="shared" si="87"/>
        <v>0</v>
      </c>
      <c r="V263" s="10">
        <f t="shared" si="88"/>
        <v>0</v>
      </c>
    </row>
    <row r="264" spans="1:22" x14ac:dyDescent="0.2">
      <c r="A264" s="32">
        <v>11</v>
      </c>
      <c r="B264" s="33">
        <v>0.79166666666666696</v>
      </c>
      <c r="C264" s="32">
        <f>'2300z'!E20</f>
        <v>0</v>
      </c>
      <c r="D264" s="32">
        <f>'2300z'!F20</f>
        <v>0</v>
      </c>
      <c r="E264" s="32">
        <f t="shared" si="89"/>
        <v>0</v>
      </c>
      <c r="F264" s="10">
        <f t="shared" si="90"/>
        <v>0</v>
      </c>
      <c r="G264" s="10">
        <f t="shared" si="91"/>
        <v>0</v>
      </c>
      <c r="H264" s="10">
        <f t="shared" si="74"/>
        <v>0</v>
      </c>
      <c r="I264" s="10">
        <f t="shared" si="75"/>
        <v>0</v>
      </c>
      <c r="J264" s="10">
        <f t="shared" si="76"/>
        <v>0</v>
      </c>
      <c r="K264" s="10">
        <f t="shared" si="77"/>
        <v>0</v>
      </c>
      <c r="L264" s="10">
        <f t="shared" si="78"/>
        <v>0</v>
      </c>
      <c r="M264" s="10">
        <f t="shared" si="79"/>
        <v>0</v>
      </c>
      <c r="N264" s="10">
        <f t="shared" si="80"/>
        <v>0</v>
      </c>
      <c r="O264" s="10">
        <f t="shared" si="81"/>
        <v>0</v>
      </c>
      <c r="P264" s="10">
        <f t="shared" si="82"/>
        <v>0</v>
      </c>
      <c r="Q264" s="10">
        <f t="shared" si="83"/>
        <v>0</v>
      </c>
      <c r="R264" s="10">
        <f t="shared" si="84"/>
        <v>0</v>
      </c>
      <c r="S264" s="10">
        <f t="shared" si="85"/>
        <v>0</v>
      </c>
      <c r="T264" s="10">
        <f t="shared" si="86"/>
        <v>0</v>
      </c>
      <c r="U264" s="10">
        <f t="shared" si="87"/>
        <v>0</v>
      </c>
      <c r="V264" s="10">
        <f t="shared" si="88"/>
        <v>0</v>
      </c>
    </row>
    <row r="265" spans="1:22" x14ac:dyDescent="0.2">
      <c r="A265" s="32">
        <v>11</v>
      </c>
      <c r="B265" s="33">
        <v>0.83333333333333304</v>
      </c>
      <c r="C265" s="32">
        <f>'0000z'!E20</f>
        <v>0</v>
      </c>
      <c r="D265" s="32">
        <f>'0000z'!F20</f>
        <v>0</v>
      </c>
      <c r="E265" s="32">
        <f t="shared" si="89"/>
        <v>0</v>
      </c>
      <c r="F265" s="10">
        <f t="shared" si="90"/>
        <v>0</v>
      </c>
      <c r="G265" s="10">
        <f t="shared" si="91"/>
        <v>0</v>
      </c>
      <c r="H265" s="10">
        <f t="shared" si="74"/>
        <v>0</v>
      </c>
      <c r="I265" s="10">
        <f t="shared" si="75"/>
        <v>0</v>
      </c>
      <c r="J265" s="10">
        <f t="shared" si="76"/>
        <v>0</v>
      </c>
      <c r="K265" s="10">
        <f t="shared" si="77"/>
        <v>0</v>
      </c>
      <c r="L265" s="10">
        <f t="shared" si="78"/>
        <v>0</v>
      </c>
      <c r="M265" s="10">
        <f t="shared" si="79"/>
        <v>0</v>
      </c>
      <c r="N265" s="10">
        <f t="shared" si="80"/>
        <v>0</v>
      </c>
      <c r="O265" s="10">
        <f t="shared" si="81"/>
        <v>0</v>
      </c>
      <c r="P265" s="10">
        <f t="shared" si="82"/>
        <v>0</v>
      </c>
      <c r="Q265" s="10">
        <f t="shared" si="83"/>
        <v>0</v>
      </c>
      <c r="R265" s="10">
        <f t="shared" si="84"/>
        <v>0</v>
      </c>
      <c r="S265" s="10">
        <f t="shared" si="85"/>
        <v>0</v>
      </c>
      <c r="T265" s="10">
        <f t="shared" si="86"/>
        <v>0</v>
      </c>
      <c r="U265" s="10">
        <f t="shared" si="87"/>
        <v>0</v>
      </c>
      <c r="V265" s="10">
        <f t="shared" si="88"/>
        <v>0</v>
      </c>
    </row>
    <row r="266" spans="1:22" x14ac:dyDescent="0.2">
      <c r="A266" s="32">
        <v>11</v>
      </c>
      <c r="B266" s="33">
        <v>0.875</v>
      </c>
      <c r="C266" s="32">
        <f>'0100z'!E20</f>
        <v>0</v>
      </c>
      <c r="D266" s="32">
        <f>'0100z'!F20</f>
        <v>0</v>
      </c>
      <c r="E266" s="32">
        <f t="shared" si="89"/>
        <v>0</v>
      </c>
      <c r="F266" s="10">
        <f t="shared" si="90"/>
        <v>0</v>
      </c>
      <c r="G266" s="10">
        <f t="shared" si="91"/>
        <v>0</v>
      </c>
      <c r="H266" s="10">
        <f t="shared" si="74"/>
        <v>0</v>
      </c>
      <c r="I266" s="10">
        <f t="shared" si="75"/>
        <v>0</v>
      </c>
      <c r="J266" s="10">
        <f t="shared" si="76"/>
        <v>0</v>
      </c>
      <c r="K266" s="10">
        <f t="shared" si="77"/>
        <v>0</v>
      </c>
      <c r="L266" s="10">
        <f t="shared" si="78"/>
        <v>0</v>
      </c>
      <c r="M266" s="10">
        <f t="shared" si="79"/>
        <v>0</v>
      </c>
      <c r="N266" s="10">
        <f t="shared" si="80"/>
        <v>0</v>
      </c>
      <c r="O266" s="10">
        <f t="shared" si="81"/>
        <v>0</v>
      </c>
      <c r="P266" s="10">
        <f t="shared" si="82"/>
        <v>0</v>
      </c>
      <c r="Q266" s="10">
        <f t="shared" si="83"/>
        <v>0</v>
      </c>
      <c r="R266" s="10">
        <f t="shared" si="84"/>
        <v>0</v>
      </c>
      <c r="S266" s="10">
        <f t="shared" si="85"/>
        <v>0</v>
      </c>
      <c r="T266" s="10">
        <f t="shared" si="86"/>
        <v>0</v>
      </c>
      <c r="U266" s="10">
        <f t="shared" si="87"/>
        <v>0</v>
      </c>
      <c r="V266" s="10">
        <f t="shared" si="88"/>
        <v>0</v>
      </c>
    </row>
    <row r="267" spans="1:22" x14ac:dyDescent="0.2">
      <c r="A267" s="32">
        <v>11</v>
      </c>
      <c r="B267" s="33">
        <v>0.91666666666666696</v>
      </c>
      <c r="C267" s="32">
        <f>'0200z'!E20</f>
        <v>0</v>
      </c>
      <c r="D267" s="32">
        <f>'0200z'!F20</f>
        <v>0</v>
      </c>
      <c r="E267" s="32">
        <f t="shared" si="89"/>
        <v>0</v>
      </c>
      <c r="F267" s="10">
        <f t="shared" si="90"/>
        <v>0</v>
      </c>
      <c r="G267" s="10">
        <f t="shared" si="91"/>
        <v>0</v>
      </c>
      <c r="H267" s="10">
        <f t="shared" si="74"/>
        <v>0</v>
      </c>
      <c r="I267" s="10">
        <f t="shared" si="75"/>
        <v>0</v>
      </c>
      <c r="J267" s="10">
        <f t="shared" si="76"/>
        <v>0</v>
      </c>
      <c r="K267" s="10">
        <f t="shared" si="77"/>
        <v>0</v>
      </c>
      <c r="L267" s="10">
        <f t="shared" si="78"/>
        <v>0</v>
      </c>
      <c r="M267" s="10">
        <f t="shared" si="79"/>
        <v>0</v>
      </c>
      <c r="N267" s="10">
        <f t="shared" si="80"/>
        <v>0</v>
      </c>
      <c r="O267" s="10">
        <f t="shared" si="81"/>
        <v>0</v>
      </c>
      <c r="P267" s="10">
        <f t="shared" si="82"/>
        <v>0</v>
      </c>
      <c r="Q267" s="10">
        <f t="shared" si="83"/>
        <v>0</v>
      </c>
      <c r="R267" s="10">
        <f t="shared" si="84"/>
        <v>0</v>
      </c>
      <c r="S267" s="10">
        <f t="shared" si="85"/>
        <v>0</v>
      </c>
      <c r="T267" s="10">
        <f t="shared" si="86"/>
        <v>0</v>
      </c>
      <c r="U267" s="10">
        <f t="shared" si="87"/>
        <v>0</v>
      </c>
      <c r="V267" s="10">
        <f t="shared" si="88"/>
        <v>0</v>
      </c>
    </row>
    <row r="268" spans="1:22" x14ac:dyDescent="0.2">
      <c r="A268" s="32">
        <v>11</v>
      </c>
      <c r="B268" s="33">
        <v>0.95833333333333304</v>
      </c>
      <c r="C268" s="32">
        <f>'0300z'!E20</f>
        <v>0</v>
      </c>
      <c r="D268" s="32">
        <f>'0300z'!F20</f>
        <v>0</v>
      </c>
      <c r="E268" s="32">
        <f t="shared" si="89"/>
        <v>0</v>
      </c>
      <c r="F268" s="10">
        <f t="shared" si="90"/>
        <v>0</v>
      </c>
      <c r="G268" s="10">
        <f t="shared" si="91"/>
        <v>0</v>
      </c>
      <c r="H268" s="10">
        <f t="shared" si="74"/>
        <v>0</v>
      </c>
      <c r="I268" s="10">
        <f t="shared" si="75"/>
        <v>0</v>
      </c>
      <c r="J268" s="10">
        <f t="shared" si="76"/>
        <v>0</v>
      </c>
      <c r="K268" s="10">
        <f t="shared" si="77"/>
        <v>0</v>
      </c>
      <c r="L268" s="10">
        <f t="shared" si="78"/>
        <v>0</v>
      </c>
      <c r="M268" s="10">
        <f t="shared" si="79"/>
        <v>0</v>
      </c>
      <c r="N268" s="10">
        <f t="shared" si="80"/>
        <v>0</v>
      </c>
      <c r="O268" s="10">
        <f t="shared" si="81"/>
        <v>0</v>
      </c>
      <c r="P268" s="10">
        <f t="shared" si="82"/>
        <v>0</v>
      </c>
      <c r="Q268" s="10">
        <f t="shared" si="83"/>
        <v>0</v>
      </c>
      <c r="R268" s="10">
        <f t="shared" si="84"/>
        <v>0</v>
      </c>
      <c r="S268" s="10">
        <f t="shared" si="85"/>
        <v>0</v>
      </c>
      <c r="T268" s="10">
        <f t="shared" si="86"/>
        <v>0</v>
      </c>
      <c r="U268" s="10">
        <f t="shared" si="87"/>
        <v>0</v>
      </c>
      <c r="V268" s="10">
        <f t="shared" si="88"/>
        <v>0</v>
      </c>
    </row>
    <row r="269" spans="1:22" x14ac:dyDescent="0.2">
      <c r="A269" s="32">
        <v>12</v>
      </c>
      <c r="B269" s="33">
        <v>0</v>
      </c>
      <c r="C269" s="32">
        <f>'0400z'!E21</f>
        <v>0</v>
      </c>
      <c r="D269" s="32">
        <f>'0400z'!F21</f>
        <v>0</v>
      </c>
      <c r="E269" s="32">
        <f t="shared" si="89"/>
        <v>0</v>
      </c>
      <c r="F269" s="10">
        <f t="shared" si="90"/>
        <v>0</v>
      </c>
      <c r="G269" s="10">
        <f t="shared" si="91"/>
        <v>0</v>
      </c>
      <c r="H269" s="10">
        <f t="shared" si="74"/>
        <v>0</v>
      </c>
      <c r="I269" s="10">
        <f t="shared" si="75"/>
        <v>0</v>
      </c>
      <c r="J269" s="10">
        <f t="shared" si="76"/>
        <v>0</v>
      </c>
      <c r="K269" s="10">
        <f t="shared" si="77"/>
        <v>0</v>
      </c>
      <c r="L269" s="10">
        <f t="shared" si="78"/>
        <v>0</v>
      </c>
      <c r="M269" s="10">
        <f t="shared" si="79"/>
        <v>0</v>
      </c>
      <c r="N269" s="10">
        <f t="shared" si="80"/>
        <v>0</v>
      </c>
      <c r="O269" s="10">
        <f t="shared" si="81"/>
        <v>0</v>
      </c>
      <c r="P269" s="10">
        <f t="shared" si="82"/>
        <v>0</v>
      </c>
      <c r="Q269" s="10">
        <f t="shared" si="83"/>
        <v>0</v>
      </c>
      <c r="R269" s="10">
        <f t="shared" si="84"/>
        <v>0</v>
      </c>
      <c r="S269" s="10">
        <f t="shared" si="85"/>
        <v>0</v>
      </c>
      <c r="T269" s="10">
        <f t="shared" si="86"/>
        <v>0</v>
      </c>
      <c r="U269" s="10">
        <f t="shared" si="87"/>
        <v>0</v>
      </c>
      <c r="V269" s="10">
        <f t="shared" si="88"/>
        <v>0</v>
      </c>
    </row>
    <row r="270" spans="1:22" x14ac:dyDescent="0.2">
      <c r="A270" s="32">
        <v>12</v>
      </c>
      <c r="B270" s="33">
        <v>4.1666666666666664E-2</v>
      </c>
      <c r="C270" s="32">
        <f>'0500z'!E21</f>
        <v>0</v>
      </c>
      <c r="D270" s="32">
        <f>'0500z'!F21</f>
        <v>0</v>
      </c>
      <c r="E270" s="32">
        <f t="shared" si="89"/>
        <v>0</v>
      </c>
      <c r="F270" s="10">
        <f t="shared" si="90"/>
        <v>0</v>
      </c>
      <c r="G270" s="10">
        <f t="shared" si="91"/>
        <v>0</v>
      </c>
      <c r="H270" s="10">
        <f t="shared" si="74"/>
        <v>0</v>
      </c>
      <c r="I270" s="10">
        <f t="shared" si="75"/>
        <v>0</v>
      </c>
      <c r="J270" s="10">
        <f t="shared" si="76"/>
        <v>0</v>
      </c>
      <c r="K270" s="10">
        <f t="shared" si="77"/>
        <v>0</v>
      </c>
      <c r="L270" s="10">
        <f t="shared" si="78"/>
        <v>0</v>
      </c>
      <c r="M270" s="10">
        <f t="shared" si="79"/>
        <v>0</v>
      </c>
      <c r="N270" s="10">
        <f t="shared" si="80"/>
        <v>0</v>
      </c>
      <c r="O270" s="10">
        <f t="shared" si="81"/>
        <v>0</v>
      </c>
      <c r="P270" s="10">
        <f t="shared" si="82"/>
        <v>0</v>
      </c>
      <c r="Q270" s="10">
        <f t="shared" si="83"/>
        <v>0</v>
      </c>
      <c r="R270" s="10">
        <f t="shared" si="84"/>
        <v>0</v>
      </c>
      <c r="S270" s="10">
        <f t="shared" si="85"/>
        <v>0</v>
      </c>
      <c r="T270" s="10">
        <f t="shared" si="86"/>
        <v>0</v>
      </c>
      <c r="U270" s="10">
        <f t="shared" si="87"/>
        <v>0</v>
      </c>
      <c r="V270" s="10">
        <f t="shared" si="88"/>
        <v>0</v>
      </c>
    </row>
    <row r="271" spans="1:22" x14ac:dyDescent="0.2">
      <c r="A271" s="32">
        <v>12</v>
      </c>
      <c r="B271" s="33">
        <v>8.3333333333333329E-2</v>
      </c>
      <c r="C271" s="32">
        <f>'0600z'!E21</f>
        <v>0</v>
      </c>
      <c r="D271" s="32">
        <f>'0600z'!F21</f>
        <v>0</v>
      </c>
      <c r="E271" s="32">
        <f t="shared" si="89"/>
        <v>0</v>
      </c>
      <c r="F271" s="10">
        <f t="shared" si="90"/>
        <v>0</v>
      </c>
      <c r="G271" s="10">
        <f t="shared" si="91"/>
        <v>0</v>
      </c>
      <c r="H271" s="10">
        <f t="shared" si="74"/>
        <v>0</v>
      </c>
      <c r="I271" s="10">
        <f t="shared" si="75"/>
        <v>0</v>
      </c>
      <c r="J271" s="10">
        <f t="shared" si="76"/>
        <v>0</v>
      </c>
      <c r="K271" s="10">
        <f t="shared" si="77"/>
        <v>0</v>
      </c>
      <c r="L271" s="10">
        <f t="shared" si="78"/>
        <v>0</v>
      </c>
      <c r="M271" s="10">
        <f t="shared" si="79"/>
        <v>0</v>
      </c>
      <c r="N271" s="10">
        <f t="shared" si="80"/>
        <v>0</v>
      </c>
      <c r="O271" s="10">
        <f t="shared" si="81"/>
        <v>0</v>
      </c>
      <c r="P271" s="10">
        <f t="shared" si="82"/>
        <v>0</v>
      </c>
      <c r="Q271" s="10">
        <f t="shared" si="83"/>
        <v>0</v>
      </c>
      <c r="R271" s="10">
        <f t="shared" si="84"/>
        <v>0</v>
      </c>
      <c r="S271" s="10">
        <f t="shared" si="85"/>
        <v>0</v>
      </c>
      <c r="T271" s="10">
        <f t="shared" si="86"/>
        <v>0</v>
      </c>
      <c r="U271" s="10">
        <f t="shared" si="87"/>
        <v>0</v>
      </c>
      <c r="V271" s="10">
        <f t="shared" si="88"/>
        <v>0</v>
      </c>
    </row>
    <row r="272" spans="1:22" x14ac:dyDescent="0.2">
      <c r="A272" s="32">
        <v>12</v>
      </c>
      <c r="B272" s="33">
        <v>0.125</v>
      </c>
      <c r="C272" s="32">
        <f>'0700z'!E21</f>
        <v>0</v>
      </c>
      <c r="D272" s="32">
        <f>'0700z'!F21</f>
        <v>0</v>
      </c>
      <c r="E272" s="32">
        <f t="shared" si="89"/>
        <v>0</v>
      </c>
      <c r="F272" s="10">
        <f t="shared" si="90"/>
        <v>0</v>
      </c>
      <c r="G272" s="10">
        <f t="shared" si="91"/>
        <v>0</v>
      </c>
      <c r="H272" s="10">
        <f t="shared" si="74"/>
        <v>0</v>
      </c>
      <c r="I272" s="10">
        <f t="shared" si="75"/>
        <v>0</v>
      </c>
      <c r="J272" s="10">
        <f t="shared" si="76"/>
        <v>0</v>
      </c>
      <c r="K272" s="10">
        <f t="shared" si="77"/>
        <v>0</v>
      </c>
      <c r="L272" s="10">
        <f t="shared" si="78"/>
        <v>0</v>
      </c>
      <c r="M272" s="10">
        <f t="shared" si="79"/>
        <v>0</v>
      </c>
      <c r="N272" s="10">
        <f t="shared" si="80"/>
        <v>0</v>
      </c>
      <c r="O272" s="10">
        <f t="shared" si="81"/>
        <v>0</v>
      </c>
      <c r="P272" s="10">
        <f t="shared" si="82"/>
        <v>0</v>
      </c>
      <c r="Q272" s="10">
        <f t="shared" si="83"/>
        <v>0</v>
      </c>
      <c r="R272" s="10">
        <f t="shared" si="84"/>
        <v>0</v>
      </c>
      <c r="S272" s="10">
        <f t="shared" si="85"/>
        <v>0</v>
      </c>
      <c r="T272" s="10">
        <f t="shared" si="86"/>
        <v>0</v>
      </c>
      <c r="U272" s="10">
        <f t="shared" si="87"/>
        <v>0</v>
      </c>
      <c r="V272" s="10">
        <f t="shared" si="88"/>
        <v>0</v>
      </c>
    </row>
    <row r="273" spans="1:22" x14ac:dyDescent="0.2">
      <c r="A273" s="32">
        <v>12</v>
      </c>
      <c r="B273" s="33">
        <v>0.16666666666666699</v>
      </c>
      <c r="C273" s="32">
        <f>'0800z'!E21</f>
        <v>0</v>
      </c>
      <c r="D273" s="32">
        <f>'0800z'!F21</f>
        <v>0</v>
      </c>
      <c r="E273" s="32">
        <f t="shared" si="89"/>
        <v>0</v>
      </c>
      <c r="F273" s="10">
        <f t="shared" si="90"/>
        <v>0</v>
      </c>
      <c r="G273" s="10">
        <f t="shared" si="91"/>
        <v>0</v>
      </c>
      <c r="H273" s="10">
        <f t="shared" si="74"/>
        <v>0</v>
      </c>
      <c r="I273" s="10">
        <f t="shared" si="75"/>
        <v>0</v>
      </c>
      <c r="J273" s="10">
        <f t="shared" si="76"/>
        <v>0</v>
      </c>
      <c r="K273" s="10">
        <f t="shared" si="77"/>
        <v>0</v>
      </c>
      <c r="L273" s="10">
        <f t="shared" si="78"/>
        <v>0</v>
      </c>
      <c r="M273" s="10">
        <f t="shared" si="79"/>
        <v>0</v>
      </c>
      <c r="N273" s="10">
        <f t="shared" si="80"/>
        <v>0</v>
      </c>
      <c r="O273" s="10">
        <f t="shared" si="81"/>
        <v>0</v>
      </c>
      <c r="P273" s="10">
        <f t="shared" si="82"/>
        <v>0</v>
      </c>
      <c r="Q273" s="10">
        <f t="shared" si="83"/>
        <v>0</v>
      </c>
      <c r="R273" s="10">
        <f t="shared" si="84"/>
        <v>0</v>
      </c>
      <c r="S273" s="10">
        <f t="shared" si="85"/>
        <v>0</v>
      </c>
      <c r="T273" s="10">
        <f t="shared" si="86"/>
        <v>0</v>
      </c>
      <c r="U273" s="10">
        <f t="shared" si="87"/>
        <v>0</v>
      </c>
      <c r="V273" s="10">
        <f t="shared" si="88"/>
        <v>0</v>
      </c>
    </row>
    <row r="274" spans="1:22" x14ac:dyDescent="0.2">
      <c r="A274" s="32">
        <v>12</v>
      </c>
      <c r="B274" s="33">
        <v>0.20833333333333301</v>
      </c>
      <c r="C274" s="32">
        <f>'0900z'!E21</f>
        <v>8</v>
      </c>
      <c r="D274" s="32">
        <f>'0900z'!F21</f>
        <v>7</v>
      </c>
      <c r="E274" s="32">
        <f t="shared" si="89"/>
        <v>80</v>
      </c>
      <c r="F274" s="10">
        <f t="shared" si="90"/>
        <v>0</v>
      </c>
      <c r="G274" s="10">
        <f t="shared" si="91"/>
        <v>0</v>
      </c>
      <c r="H274" s="10">
        <f t="shared" si="74"/>
        <v>0</v>
      </c>
      <c r="I274" s="10">
        <f t="shared" si="75"/>
        <v>0</v>
      </c>
      <c r="J274" s="10">
        <f t="shared" si="76"/>
        <v>1</v>
      </c>
      <c r="K274" s="10">
        <f t="shared" si="77"/>
        <v>0</v>
      </c>
      <c r="L274" s="10">
        <f t="shared" si="78"/>
        <v>0</v>
      </c>
      <c r="M274" s="10">
        <f t="shared" si="79"/>
        <v>0</v>
      </c>
      <c r="N274" s="10">
        <f t="shared" si="80"/>
        <v>0</v>
      </c>
      <c r="O274" s="10">
        <f t="shared" si="81"/>
        <v>0</v>
      </c>
      <c r="P274" s="10">
        <f t="shared" si="82"/>
        <v>0</v>
      </c>
      <c r="Q274" s="10">
        <f t="shared" si="83"/>
        <v>0</v>
      </c>
      <c r="R274" s="10">
        <f t="shared" si="84"/>
        <v>0</v>
      </c>
      <c r="S274" s="10">
        <f t="shared" si="85"/>
        <v>0</v>
      </c>
      <c r="T274" s="10">
        <f t="shared" si="86"/>
        <v>0</v>
      </c>
      <c r="U274" s="10">
        <f t="shared" si="87"/>
        <v>0</v>
      </c>
      <c r="V274" s="10">
        <f t="shared" si="88"/>
        <v>0</v>
      </c>
    </row>
    <row r="275" spans="1:22" x14ac:dyDescent="0.2">
      <c r="A275" s="32">
        <v>12</v>
      </c>
      <c r="B275" s="33">
        <v>0.25</v>
      </c>
      <c r="C275" s="32">
        <f>'1000z'!E21</f>
        <v>9</v>
      </c>
      <c r="D275" s="32">
        <f>'1000z'!F21</f>
        <v>6</v>
      </c>
      <c r="E275" s="32">
        <f t="shared" si="89"/>
        <v>90</v>
      </c>
      <c r="F275" s="10">
        <f t="shared" si="90"/>
        <v>0</v>
      </c>
      <c r="G275" s="10">
        <f t="shared" si="91"/>
        <v>0</v>
      </c>
      <c r="H275" s="10">
        <f t="shared" si="74"/>
        <v>0</v>
      </c>
      <c r="I275" s="10">
        <f t="shared" si="75"/>
        <v>0</v>
      </c>
      <c r="J275" s="10">
        <f t="shared" si="76"/>
        <v>1</v>
      </c>
      <c r="K275" s="10">
        <f t="shared" si="77"/>
        <v>0</v>
      </c>
      <c r="L275" s="10">
        <f t="shared" si="78"/>
        <v>0</v>
      </c>
      <c r="M275" s="10">
        <f t="shared" si="79"/>
        <v>0</v>
      </c>
      <c r="N275" s="10">
        <f t="shared" si="80"/>
        <v>0</v>
      </c>
      <c r="O275" s="10">
        <f t="shared" si="81"/>
        <v>0</v>
      </c>
      <c r="P275" s="10">
        <f t="shared" si="82"/>
        <v>0</v>
      </c>
      <c r="Q275" s="10">
        <f t="shared" si="83"/>
        <v>0</v>
      </c>
      <c r="R275" s="10">
        <f t="shared" si="84"/>
        <v>0</v>
      </c>
      <c r="S275" s="10">
        <f t="shared" si="85"/>
        <v>0</v>
      </c>
      <c r="T275" s="10">
        <f t="shared" si="86"/>
        <v>0</v>
      </c>
      <c r="U275" s="10">
        <f t="shared" si="87"/>
        <v>0</v>
      </c>
      <c r="V275" s="10">
        <f t="shared" si="88"/>
        <v>0</v>
      </c>
    </row>
    <row r="276" spans="1:22" x14ac:dyDescent="0.2">
      <c r="A276" s="32">
        <v>12</v>
      </c>
      <c r="B276" s="33">
        <v>0.29166666666666702</v>
      </c>
      <c r="C276" s="32">
        <f>'1100z'!E21</f>
        <v>0</v>
      </c>
      <c r="D276" s="32">
        <f>'1100z'!F21</f>
        <v>0</v>
      </c>
      <c r="E276" s="32">
        <f t="shared" si="89"/>
        <v>0</v>
      </c>
      <c r="F276" s="10">
        <f t="shared" si="90"/>
        <v>0</v>
      </c>
      <c r="G276" s="10">
        <f t="shared" si="91"/>
        <v>0</v>
      </c>
      <c r="H276" s="10">
        <f t="shared" si="74"/>
        <v>0</v>
      </c>
      <c r="I276" s="10">
        <f t="shared" si="75"/>
        <v>0</v>
      </c>
      <c r="J276" s="10">
        <f t="shared" si="76"/>
        <v>0</v>
      </c>
      <c r="K276" s="10">
        <f t="shared" si="77"/>
        <v>0</v>
      </c>
      <c r="L276" s="10">
        <f t="shared" si="78"/>
        <v>0</v>
      </c>
      <c r="M276" s="10">
        <f t="shared" si="79"/>
        <v>0</v>
      </c>
      <c r="N276" s="10">
        <f t="shared" si="80"/>
        <v>0</v>
      </c>
      <c r="O276" s="10">
        <f t="shared" si="81"/>
        <v>0</v>
      </c>
      <c r="P276" s="10">
        <f t="shared" si="82"/>
        <v>0</v>
      </c>
      <c r="Q276" s="10">
        <f t="shared" si="83"/>
        <v>0</v>
      </c>
      <c r="R276" s="10">
        <f t="shared" si="84"/>
        <v>0</v>
      </c>
      <c r="S276" s="10">
        <f t="shared" si="85"/>
        <v>0</v>
      </c>
      <c r="T276" s="10">
        <f t="shared" si="86"/>
        <v>0</v>
      </c>
      <c r="U276" s="10">
        <f t="shared" si="87"/>
        <v>0</v>
      </c>
      <c r="V276" s="10">
        <f t="shared" si="88"/>
        <v>0</v>
      </c>
    </row>
    <row r="277" spans="1:22" x14ac:dyDescent="0.2">
      <c r="A277" s="32">
        <v>12</v>
      </c>
      <c r="B277" s="33">
        <v>0.33333333333333298</v>
      </c>
      <c r="C277" s="32">
        <f>'1200z'!E21</f>
        <v>0</v>
      </c>
      <c r="D277" s="32">
        <f>'1200z'!F21</f>
        <v>0</v>
      </c>
      <c r="E277" s="32">
        <f t="shared" si="89"/>
        <v>0</v>
      </c>
      <c r="F277" s="10">
        <f t="shared" si="90"/>
        <v>0</v>
      </c>
      <c r="G277" s="10">
        <f t="shared" si="91"/>
        <v>0</v>
      </c>
      <c r="H277" s="10">
        <f t="shared" si="74"/>
        <v>0</v>
      </c>
      <c r="I277" s="10">
        <f t="shared" si="75"/>
        <v>0</v>
      </c>
      <c r="J277" s="10">
        <f t="shared" si="76"/>
        <v>0</v>
      </c>
      <c r="K277" s="10">
        <f t="shared" si="77"/>
        <v>0</v>
      </c>
      <c r="L277" s="10">
        <f t="shared" si="78"/>
        <v>0</v>
      </c>
      <c r="M277" s="10">
        <f t="shared" si="79"/>
        <v>0</v>
      </c>
      <c r="N277" s="10">
        <f t="shared" si="80"/>
        <v>0</v>
      </c>
      <c r="O277" s="10">
        <f t="shared" si="81"/>
        <v>0</v>
      </c>
      <c r="P277" s="10">
        <f t="shared" si="82"/>
        <v>0</v>
      </c>
      <c r="Q277" s="10">
        <f t="shared" si="83"/>
        <v>0</v>
      </c>
      <c r="R277" s="10">
        <f t="shared" si="84"/>
        <v>0</v>
      </c>
      <c r="S277" s="10">
        <f t="shared" si="85"/>
        <v>0</v>
      </c>
      <c r="T277" s="10">
        <f t="shared" si="86"/>
        <v>0</v>
      </c>
      <c r="U277" s="10">
        <f t="shared" si="87"/>
        <v>0</v>
      </c>
      <c r="V277" s="10">
        <f t="shared" si="88"/>
        <v>0</v>
      </c>
    </row>
    <row r="278" spans="1:22" x14ac:dyDescent="0.2">
      <c r="A278" s="32">
        <v>12</v>
      </c>
      <c r="B278" s="33">
        <v>0.375</v>
      </c>
      <c r="C278" s="32">
        <f>'1300z'!E21</f>
        <v>99</v>
      </c>
      <c r="D278" s="32">
        <f>'1300z'!F21</f>
        <v>3</v>
      </c>
      <c r="E278" s="32">
        <f t="shared" si="89"/>
        <v>990</v>
      </c>
      <c r="F278" s="10">
        <f t="shared" si="90"/>
        <v>0</v>
      </c>
      <c r="G278" s="10">
        <f t="shared" si="91"/>
        <v>0</v>
      </c>
      <c r="H278" s="10">
        <f t="shared" si="74"/>
        <v>0</v>
      </c>
      <c r="I278" s="10">
        <f t="shared" si="75"/>
        <v>0</v>
      </c>
      <c r="J278" s="10">
        <f t="shared" si="76"/>
        <v>0</v>
      </c>
      <c r="K278" s="10">
        <f t="shared" si="77"/>
        <v>0</v>
      </c>
      <c r="L278" s="10">
        <f t="shared" si="78"/>
        <v>0</v>
      </c>
      <c r="M278" s="10">
        <f t="shared" si="79"/>
        <v>0</v>
      </c>
      <c r="N278" s="10">
        <f t="shared" si="80"/>
        <v>0</v>
      </c>
      <c r="O278" s="10">
        <f t="shared" si="81"/>
        <v>0</v>
      </c>
      <c r="P278" s="10">
        <f t="shared" si="82"/>
        <v>0</v>
      </c>
      <c r="Q278" s="10">
        <f t="shared" si="83"/>
        <v>0</v>
      </c>
      <c r="R278" s="10">
        <f t="shared" si="84"/>
        <v>0</v>
      </c>
      <c r="S278" s="10">
        <f t="shared" si="85"/>
        <v>0</v>
      </c>
      <c r="T278" s="10">
        <f t="shared" si="86"/>
        <v>0</v>
      </c>
      <c r="U278" s="10">
        <f t="shared" si="87"/>
        <v>0</v>
      </c>
      <c r="V278" s="10">
        <f t="shared" si="88"/>
        <v>0</v>
      </c>
    </row>
    <row r="279" spans="1:22" x14ac:dyDescent="0.2">
      <c r="A279" s="32">
        <v>12</v>
      </c>
      <c r="B279" s="33">
        <v>0.41666666666666702</v>
      </c>
      <c r="C279" s="32">
        <f>'1400z'!E21</f>
        <v>1</v>
      </c>
      <c r="D279" s="32">
        <f>'1400z'!F21</f>
        <v>7</v>
      </c>
      <c r="E279" s="32">
        <f t="shared" si="89"/>
        <v>10</v>
      </c>
      <c r="F279" s="10">
        <f t="shared" si="90"/>
        <v>1</v>
      </c>
      <c r="G279" s="10">
        <f t="shared" si="91"/>
        <v>0</v>
      </c>
      <c r="H279" s="10">
        <f t="shared" si="74"/>
        <v>0</v>
      </c>
      <c r="I279" s="10">
        <f t="shared" si="75"/>
        <v>0</v>
      </c>
      <c r="J279" s="10">
        <f t="shared" si="76"/>
        <v>0</v>
      </c>
      <c r="K279" s="10">
        <f t="shared" si="77"/>
        <v>0</v>
      </c>
      <c r="L279" s="10">
        <f t="shared" si="78"/>
        <v>0</v>
      </c>
      <c r="M279" s="10">
        <f t="shared" si="79"/>
        <v>0</v>
      </c>
      <c r="N279" s="10">
        <f t="shared" si="80"/>
        <v>0</v>
      </c>
      <c r="O279" s="10">
        <f t="shared" si="81"/>
        <v>0</v>
      </c>
      <c r="P279" s="10">
        <f t="shared" si="82"/>
        <v>0</v>
      </c>
      <c r="Q279" s="10">
        <f t="shared" si="83"/>
        <v>0</v>
      </c>
      <c r="R279" s="10">
        <f t="shared" si="84"/>
        <v>0</v>
      </c>
      <c r="S279" s="10">
        <f t="shared" si="85"/>
        <v>0</v>
      </c>
      <c r="T279" s="10">
        <f t="shared" si="86"/>
        <v>0</v>
      </c>
      <c r="U279" s="10">
        <f t="shared" si="87"/>
        <v>0</v>
      </c>
      <c r="V279" s="10">
        <f t="shared" si="88"/>
        <v>0</v>
      </c>
    </row>
    <row r="280" spans="1:22" x14ac:dyDescent="0.2">
      <c r="A280" s="32">
        <v>12</v>
      </c>
      <c r="B280" s="33">
        <v>0.45833333333333298</v>
      </c>
      <c r="C280" s="32">
        <f>'1500z'!E21</f>
        <v>33</v>
      </c>
      <c r="D280" s="32">
        <f>'1500z'!F21</f>
        <v>6</v>
      </c>
      <c r="E280" s="32">
        <f t="shared" si="89"/>
        <v>330</v>
      </c>
      <c r="F280" s="10">
        <f t="shared" si="90"/>
        <v>0</v>
      </c>
      <c r="G280" s="10">
        <f t="shared" si="91"/>
        <v>0</v>
      </c>
      <c r="H280" s="10">
        <f t="shared" si="74"/>
        <v>0</v>
      </c>
      <c r="I280" s="10">
        <f t="shared" si="75"/>
        <v>0</v>
      </c>
      <c r="J280" s="10">
        <f t="shared" si="76"/>
        <v>0</v>
      </c>
      <c r="K280" s="10">
        <f t="shared" si="77"/>
        <v>0</v>
      </c>
      <c r="L280" s="10">
        <f t="shared" si="78"/>
        <v>0</v>
      </c>
      <c r="M280" s="10">
        <f t="shared" si="79"/>
        <v>0</v>
      </c>
      <c r="N280" s="10">
        <f t="shared" si="80"/>
        <v>0</v>
      </c>
      <c r="O280" s="10">
        <f t="shared" si="81"/>
        <v>0</v>
      </c>
      <c r="P280" s="10">
        <f t="shared" si="82"/>
        <v>0</v>
      </c>
      <c r="Q280" s="10">
        <f t="shared" si="83"/>
        <v>0</v>
      </c>
      <c r="R280" s="10">
        <f t="shared" si="84"/>
        <v>0</v>
      </c>
      <c r="S280" s="10">
        <f t="shared" si="85"/>
        <v>0</v>
      </c>
      <c r="T280" s="10">
        <f t="shared" si="86"/>
        <v>0</v>
      </c>
      <c r="U280" s="10">
        <f t="shared" si="87"/>
        <v>1</v>
      </c>
      <c r="V280" s="10">
        <f t="shared" si="88"/>
        <v>0</v>
      </c>
    </row>
    <row r="281" spans="1:22" x14ac:dyDescent="0.2">
      <c r="A281" s="32">
        <v>12</v>
      </c>
      <c r="B281" s="33">
        <v>0.5</v>
      </c>
      <c r="C281" s="32">
        <f>'1600z'!E21</f>
        <v>6</v>
      </c>
      <c r="D281" s="32">
        <f>'1600z'!F21</f>
        <v>11</v>
      </c>
      <c r="E281" s="32">
        <f t="shared" si="89"/>
        <v>60</v>
      </c>
      <c r="F281" s="10">
        <f t="shared" si="90"/>
        <v>0</v>
      </c>
      <c r="G281" s="10">
        <f t="shared" si="91"/>
        <v>0</v>
      </c>
      <c r="H281" s="10">
        <f t="shared" si="74"/>
        <v>0</v>
      </c>
      <c r="I281" s="10">
        <f t="shared" si="75"/>
        <v>1</v>
      </c>
      <c r="J281" s="10">
        <f t="shared" si="76"/>
        <v>0</v>
      </c>
      <c r="K281" s="10">
        <f t="shared" si="77"/>
        <v>0</v>
      </c>
      <c r="L281" s="10">
        <f t="shared" si="78"/>
        <v>0</v>
      </c>
      <c r="M281" s="10">
        <f t="shared" si="79"/>
        <v>0</v>
      </c>
      <c r="N281" s="10">
        <f t="shared" si="80"/>
        <v>0</v>
      </c>
      <c r="O281" s="10">
        <f t="shared" si="81"/>
        <v>0</v>
      </c>
      <c r="P281" s="10">
        <f t="shared" si="82"/>
        <v>0</v>
      </c>
      <c r="Q281" s="10">
        <f t="shared" si="83"/>
        <v>0</v>
      </c>
      <c r="R281" s="10">
        <f t="shared" si="84"/>
        <v>0</v>
      </c>
      <c r="S281" s="10">
        <f t="shared" si="85"/>
        <v>0</v>
      </c>
      <c r="T281" s="10">
        <f t="shared" si="86"/>
        <v>0</v>
      </c>
      <c r="U281" s="10">
        <f t="shared" si="87"/>
        <v>0</v>
      </c>
      <c r="V281" s="10">
        <f t="shared" si="88"/>
        <v>0</v>
      </c>
    </row>
    <row r="282" spans="1:22" x14ac:dyDescent="0.2">
      <c r="A282" s="32">
        <v>12</v>
      </c>
      <c r="B282" s="33">
        <v>0.54166666666666696</v>
      </c>
      <c r="C282" s="32">
        <f>'1700z'!E21</f>
        <v>12</v>
      </c>
      <c r="D282" s="32">
        <f>'1700z'!F21</f>
        <v>13</v>
      </c>
      <c r="E282" s="32">
        <f t="shared" si="89"/>
        <v>120</v>
      </c>
      <c r="F282" s="10">
        <f t="shared" si="90"/>
        <v>0</v>
      </c>
      <c r="G282" s="10">
        <f t="shared" si="91"/>
        <v>0</v>
      </c>
      <c r="H282" s="10">
        <f t="shared" si="74"/>
        <v>0</v>
      </c>
      <c r="I282" s="10">
        <f t="shared" si="75"/>
        <v>0</v>
      </c>
      <c r="J282" s="10">
        <f t="shared" si="76"/>
        <v>0</v>
      </c>
      <c r="K282" s="10">
        <f t="shared" si="77"/>
        <v>1</v>
      </c>
      <c r="L282" s="10">
        <f t="shared" si="78"/>
        <v>0</v>
      </c>
      <c r="M282" s="10">
        <f t="shared" si="79"/>
        <v>0</v>
      </c>
      <c r="N282" s="10">
        <f t="shared" si="80"/>
        <v>0</v>
      </c>
      <c r="O282" s="10">
        <f t="shared" si="81"/>
        <v>0</v>
      </c>
      <c r="P282" s="10">
        <f t="shared" si="82"/>
        <v>0</v>
      </c>
      <c r="Q282" s="10">
        <f t="shared" si="83"/>
        <v>0</v>
      </c>
      <c r="R282" s="10">
        <f t="shared" si="84"/>
        <v>0</v>
      </c>
      <c r="S282" s="10">
        <f t="shared" si="85"/>
        <v>0</v>
      </c>
      <c r="T282" s="10">
        <f t="shared" si="86"/>
        <v>0</v>
      </c>
      <c r="U282" s="10">
        <f t="shared" si="87"/>
        <v>0</v>
      </c>
      <c r="V282" s="10">
        <f t="shared" si="88"/>
        <v>0</v>
      </c>
    </row>
    <row r="283" spans="1:22" x14ac:dyDescent="0.2">
      <c r="A283" s="32">
        <v>12</v>
      </c>
      <c r="B283" s="33">
        <v>0.58333333333333304</v>
      </c>
      <c r="C283" s="32">
        <f>'1800z'!E21</f>
        <v>8</v>
      </c>
      <c r="D283" s="32">
        <f>'1800z'!F21</f>
        <v>11</v>
      </c>
      <c r="E283" s="32">
        <f t="shared" si="89"/>
        <v>80</v>
      </c>
      <c r="F283" s="10">
        <f t="shared" si="90"/>
        <v>0</v>
      </c>
      <c r="G283" s="10">
        <f t="shared" si="91"/>
        <v>0</v>
      </c>
      <c r="H283" s="10">
        <f t="shared" si="74"/>
        <v>0</v>
      </c>
      <c r="I283" s="10">
        <f t="shared" si="75"/>
        <v>0</v>
      </c>
      <c r="J283" s="10">
        <f t="shared" si="76"/>
        <v>1</v>
      </c>
      <c r="K283" s="10">
        <f t="shared" si="77"/>
        <v>0</v>
      </c>
      <c r="L283" s="10">
        <f t="shared" si="78"/>
        <v>0</v>
      </c>
      <c r="M283" s="10">
        <f t="shared" si="79"/>
        <v>0</v>
      </c>
      <c r="N283" s="10">
        <f t="shared" si="80"/>
        <v>0</v>
      </c>
      <c r="O283" s="10">
        <f t="shared" si="81"/>
        <v>0</v>
      </c>
      <c r="P283" s="10">
        <f t="shared" si="82"/>
        <v>0</v>
      </c>
      <c r="Q283" s="10">
        <f t="shared" si="83"/>
        <v>0</v>
      </c>
      <c r="R283" s="10">
        <f t="shared" si="84"/>
        <v>0</v>
      </c>
      <c r="S283" s="10">
        <f t="shared" si="85"/>
        <v>0</v>
      </c>
      <c r="T283" s="10">
        <f t="shared" si="86"/>
        <v>0</v>
      </c>
      <c r="U283" s="10">
        <f t="shared" si="87"/>
        <v>0</v>
      </c>
      <c r="V283" s="10">
        <f t="shared" si="88"/>
        <v>0</v>
      </c>
    </row>
    <row r="284" spans="1:22" x14ac:dyDescent="0.2">
      <c r="A284" s="32">
        <v>12</v>
      </c>
      <c r="B284" s="33">
        <v>0.625</v>
      </c>
      <c r="C284" s="32">
        <f>'1900z'!E21</f>
        <v>10</v>
      </c>
      <c r="D284" s="32">
        <f>'1900z'!F21</f>
        <v>13</v>
      </c>
      <c r="E284" s="32">
        <f t="shared" si="89"/>
        <v>100</v>
      </c>
      <c r="F284" s="10">
        <f t="shared" si="90"/>
        <v>0</v>
      </c>
      <c r="G284" s="10">
        <f t="shared" si="91"/>
        <v>0</v>
      </c>
      <c r="H284" s="10">
        <f t="shared" si="74"/>
        <v>0</v>
      </c>
      <c r="I284" s="10">
        <f t="shared" si="75"/>
        <v>0</v>
      </c>
      <c r="J284" s="10">
        <f t="shared" si="76"/>
        <v>1</v>
      </c>
      <c r="K284" s="10">
        <f t="shared" si="77"/>
        <v>0</v>
      </c>
      <c r="L284" s="10">
        <f t="shared" si="78"/>
        <v>0</v>
      </c>
      <c r="M284" s="10">
        <f t="shared" si="79"/>
        <v>0</v>
      </c>
      <c r="N284" s="10">
        <f t="shared" si="80"/>
        <v>0</v>
      </c>
      <c r="O284" s="10">
        <f t="shared" si="81"/>
        <v>0</v>
      </c>
      <c r="P284" s="10">
        <f t="shared" si="82"/>
        <v>0</v>
      </c>
      <c r="Q284" s="10">
        <f t="shared" si="83"/>
        <v>0</v>
      </c>
      <c r="R284" s="10">
        <f t="shared" si="84"/>
        <v>0</v>
      </c>
      <c r="S284" s="10">
        <f t="shared" si="85"/>
        <v>0</v>
      </c>
      <c r="T284" s="10">
        <f t="shared" si="86"/>
        <v>0</v>
      </c>
      <c r="U284" s="10">
        <f t="shared" si="87"/>
        <v>0</v>
      </c>
      <c r="V284" s="10">
        <f t="shared" si="88"/>
        <v>0</v>
      </c>
    </row>
    <row r="285" spans="1:22" x14ac:dyDescent="0.2">
      <c r="A285" s="32">
        <v>12</v>
      </c>
      <c r="B285" s="33">
        <v>0.66666666666666696</v>
      </c>
      <c r="C285" s="32">
        <f>'2000z'!E21</f>
        <v>6</v>
      </c>
      <c r="D285" s="32">
        <f>'2000z'!F21</f>
        <v>9</v>
      </c>
      <c r="E285" s="32">
        <f t="shared" si="89"/>
        <v>60</v>
      </c>
      <c r="F285" s="10">
        <f t="shared" si="90"/>
        <v>0</v>
      </c>
      <c r="G285" s="10">
        <f t="shared" si="91"/>
        <v>0</v>
      </c>
      <c r="H285" s="10">
        <f t="shared" si="74"/>
        <v>0</v>
      </c>
      <c r="I285" s="10">
        <f t="shared" si="75"/>
        <v>1</v>
      </c>
      <c r="J285" s="10">
        <f t="shared" si="76"/>
        <v>0</v>
      </c>
      <c r="K285" s="10">
        <f t="shared" si="77"/>
        <v>0</v>
      </c>
      <c r="L285" s="10">
        <f t="shared" si="78"/>
        <v>0</v>
      </c>
      <c r="M285" s="10">
        <f t="shared" si="79"/>
        <v>0</v>
      </c>
      <c r="N285" s="10">
        <f t="shared" si="80"/>
        <v>0</v>
      </c>
      <c r="O285" s="10">
        <f t="shared" si="81"/>
        <v>0</v>
      </c>
      <c r="P285" s="10">
        <f t="shared" si="82"/>
        <v>0</v>
      </c>
      <c r="Q285" s="10">
        <f t="shared" si="83"/>
        <v>0</v>
      </c>
      <c r="R285" s="10">
        <f t="shared" si="84"/>
        <v>0</v>
      </c>
      <c r="S285" s="10">
        <f t="shared" si="85"/>
        <v>0</v>
      </c>
      <c r="T285" s="10">
        <f t="shared" si="86"/>
        <v>0</v>
      </c>
      <c r="U285" s="10">
        <f t="shared" si="87"/>
        <v>0</v>
      </c>
      <c r="V285" s="10">
        <f t="shared" si="88"/>
        <v>0</v>
      </c>
    </row>
    <row r="286" spans="1:22" x14ac:dyDescent="0.2">
      <c r="A286" s="32">
        <v>12</v>
      </c>
      <c r="B286" s="33">
        <v>0.70833333333333304</v>
      </c>
      <c r="C286" s="32">
        <f>'2100z'!E21</f>
        <v>7</v>
      </c>
      <c r="D286" s="32">
        <f>'2100z'!F21</f>
        <v>12</v>
      </c>
      <c r="E286" s="32">
        <f t="shared" si="89"/>
        <v>70</v>
      </c>
      <c r="F286" s="10">
        <f t="shared" si="90"/>
        <v>0</v>
      </c>
      <c r="G286" s="10">
        <f t="shared" si="91"/>
        <v>0</v>
      </c>
      <c r="H286" s="10">
        <f t="shared" si="74"/>
        <v>0</v>
      </c>
      <c r="I286" s="10">
        <f t="shared" si="75"/>
        <v>1</v>
      </c>
      <c r="J286" s="10">
        <f t="shared" si="76"/>
        <v>0</v>
      </c>
      <c r="K286" s="10">
        <f t="shared" si="77"/>
        <v>0</v>
      </c>
      <c r="L286" s="10">
        <f t="shared" si="78"/>
        <v>0</v>
      </c>
      <c r="M286" s="10">
        <f t="shared" si="79"/>
        <v>0</v>
      </c>
      <c r="N286" s="10">
        <f t="shared" si="80"/>
        <v>0</v>
      </c>
      <c r="O286" s="10">
        <f t="shared" si="81"/>
        <v>0</v>
      </c>
      <c r="P286" s="10">
        <f t="shared" si="82"/>
        <v>0</v>
      </c>
      <c r="Q286" s="10">
        <f t="shared" si="83"/>
        <v>0</v>
      </c>
      <c r="R286" s="10">
        <f t="shared" si="84"/>
        <v>0</v>
      </c>
      <c r="S286" s="10">
        <f t="shared" si="85"/>
        <v>0</v>
      </c>
      <c r="T286" s="10">
        <f t="shared" si="86"/>
        <v>0</v>
      </c>
      <c r="U286" s="10">
        <f t="shared" si="87"/>
        <v>0</v>
      </c>
      <c r="V286" s="10">
        <f t="shared" si="88"/>
        <v>0</v>
      </c>
    </row>
    <row r="287" spans="1:22" x14ac:dyDescent="0.2">
      <c r="A287" s="32">
        <v>12</v>
      </c>
      <c r="B287" s="33">
        <v>0.75</v>
      </c>
      <c r="C287" s="32">
        <f>'2200z'!E21</f>
        <v>8</v>
      </c>
      <c r="D287" s="32">
        <f>'2200z'!F21</f>
        <v>9</v>
      </c>
      <c r="E287" s="32">
        <f t="shared" si="89"/>
        <v>80</v>
      </c>
      <c r="F287" s="10">
        <f t="shared" si="90"/>
        <v>0</v>
      </c>
      <c r="G287" s="10">
        <f t="shared" si="91"/>
        <v>0</v>
      </c>
      <c r="H287" s="10">
        <f t="shared" si="74"/>
        <v>0</v>
      </c>
      <c r="I287" s="10">
        <f t="shared" si="75"/>
        <v>0</v>
      </c>
      <c r="J287" s="10">
        <f t="shared" si="76"/>
        <v>1</v>
      </c>
      <c r="K287" s="10">
        <f t="shared" si="77"/>
        <v>0</v>
      </c>
      <c r="L287" s="10">
        <f t="shared" si="78"/>
        <v>0</v>
      </c>
      <c r="M287" s="10">
        <f t="shared" si="79"/>
        <v>0</v>
      </c>
      <c r="N287" s="10">
        <f t="shared" si="80"/>
        <v>0</v>
      </c>
      <c r="O287" s="10">
        <f t="shared" si="81"/>
        <v>0</v>
      </c>
      <c r="P287" s="10">
        <f t="shared" si="82"/>
        <v>0</v>
      </c>
      <c r="Q287" s="10">
        <f t="shared" si="83"/>
        <v>0</v>
      </c>
      <c r="R287" s="10">
        <f t="shared" si="84"/>
        <v>0</v>
      </c>
      <c r="S287" s="10">
        <f t="shared" si="85"/>
        <v>0</v>
      </c>
      <c r="T287" s="10">
        <f t="shared" si="86"/>
        <v>0</v>
      </c>
      <c r="U287" s="10">
        <f t="shared" si="87"/>
        <v>0</v>
      </c>
      <c r="V287" s="10">
        <f t="shared" si="88"/>
        <v>0</v>
      </c>
    </row>
    <row r="288" spans="1:22" x14ac:dyDescent="0.2">
      <c r="A288" s="32">
        <v>12</v>
      </c>
      <c r="B288" s="33">
        <v>0.79166666666666696</v>
      </c>
      <c r="C288" s="32">
        <f>'2300z'!E21</f>
        <v>8</v>
      </c>
      <c r="D288" s="32">
        <f>'2300z'!F21</f>
        <v>5</v>
      </c>
      <c r="E288" s="32">
        <f t="shared" si="89"/>
        <v>80</v>
      </c>
      <c r="F288" s="10">
        <f t="shared" si="90"/>
        <v>0</v>
      </c>
      <c r="G288" s="10">
        <f t="shared" si="91"/>
        <v>0</v>
      </c>
      <c r="H288" s="10">
        <f t="shared" si="74"/>
        <v>0</v>
      </c>
      <c r="I288" s="10">
        <f t="shared" si="75"/>
        <v>0</v>
      </c>
      <c r="J288" s="10">
        <f t="shared" si="76"/>
        <v>1</v>
      </c>
      <c r="K288" s="10">
        <f t="shared" si="77"/>
        <v>0</v>
      </c>
      <c r="L288" s="10">
        <f t="shared" si="78"/>
        <v>0</v>
      </c>
      <c r="M288" s="10">
        <f t="shared" si="79"/>
        <v>0</v>
      </c>
      <c r="N288" s="10">
        <f t="shared" si="80"/>
        <v>0</v>
      </c>
      <c r="O288" s="10">
        <f t="shared" si="81"/>
        <v>0</v>
      </c>
      <c r="P288" s="10">
        <f t="shared" si="82"/>
        <v>0</v>
      </c>
      <c r="Q288" s="10">
        <f t="shared" si="83"/>
        <v>0</v>
      </c>
      <c r="R288" s="10">
        <f t="shared" si="84"/>
        <v>0</v>
      </c>
      <c r="S288" s="10">
        <f t="shared" si="85"/>
        <v>0</v>
      </c>
      <c r="T288" s="10">
        <f t="shared" si="86"/>
        <v>0</v>
      </c>
      <c r="U288" s="10">
        <f t="shared" si="87"/>
        <v>0</v>
      </c>
      <c r="V288" s="10">
        <f t="shared" si="88"/>
        <v>0</v>
      </c>
    </row>
    <row r="289" spans="1:22" x14ac:dyDescent="0.2">
      <c r="A289" s="32">
        <v>12</v>
      </c>
      <c r="B289" s="33">
        <v>0.83333333333333304</v>
      </c>
      <c r="C289" s="32">
        <f>'0000z'!E21</f>
        <v>6</v>
      </c>
      <c r="D289" s="32">
        <f>'0000z'!F21</f>
        <v>8</v>
      </c>
      <c r="E289" s="32">
        <f t="shared" si="89"/>
        <v>60</v>
      </c>
      <c r="F289" s="10">
        <f t="shared" si="90"/>
        <v>0</v>
      </c>
      <c r="G289" s="10">
        <f t="shared" si="91"/>
        <v>0</v>
      </c>
      <c r="H289" s="10">
        <f t="shared" si="74"/>
        <v>0</v>
      </c>
      <c r="I289" s="10">
        <f t="shared" si="75"/>
        <v>1</v>
      </c>
      <c r="J289" s="10">
        <f t="shared" si="76"/>
        <v>0</v>
      </c>
      <c r="K289" s="10">
        <f t="shared" si="77"/>
        <v>0</v>
      </c>
      <c r="L289" s="10">
        <f t="shared" si="78"/>
        <v>0</v>
      </c>
      <c r="M289" s="10">
        <f t="shared" si="79"/>
        <v>0</v>
      </c>
      <c r="N289" s="10">
        <f t="shared" si="80"/>
        <v>0</v>
      </c>
      <c r="O289" s="10">
        <f t="shared" si="81"/>
        <v>0</v>
      </c>
      <c r="P289" s="10">
        <f t="shared" si="82"/>
        <v>0</v>
      </c>
      <c r="Q289" s="10">
        <f t="shared" si="83"/>
        <v>0</v>
      </c>
      <c r="R289" s="10">
        <f t="shared" si="84"/>
        <v>0</v>
      </c>
      <c r="S289" s="10">
        <f t="shared" si="85"/>
        <v>0</v>
      </c>
      <c r="T289" s="10">
        <f t="shared" si="86"/>
        <v>0</v>
      </c>
      <c r="U289" s="10">
        <f t="shared" si="87"/>
        <v>0</v>
      </c>
      <c r="V289" s="10">
        <f t="shared" si="88"/>
        <v>0</v>
      </c>
    </row>
    <row r="290" spans="1:22" x14ac:dyDescent="0.2">
      <c r="A290" s="32">
        <v>12</v>
      </c>
      <c r="B290" s="33">
        <v>0.875</v>
      </c>
      <c r="C290" s="32">
        <f>'0100z'!E21</f>
        <v>0</v>
      </c>
      <c r="D290" s="32">
        <f>'0100z'!F21</f>
        <v>0</v>
      </c>
      <c r="E290" s="32">
        <f t="shared" si="89"/>
        <v>0</v>
      </c>
      <c r="F290" s="10">
        <f t="shared" si="90"/>
        <v>0</v>
      </c>
      <c r="G290" s="10">
        <f t="shared" si="91"/>
        <v>0</v>
      </c>
      <c r="H290" s="10">
        <f t="shared" si="74"/>
        <v>0</v>
      </c>
      <c r="I290" s="10">
        <f t="shared" si="75"/>
        <v>0</v>
      </c>
      <c r="J290" s="10">
        <f t="shared" si="76"/>
        <v>0</v>
      </c>
      <c r="K290" s="10">
        <f t="shared" si="77"/>
        <v>0</v>
      </c>
      <c r="L290" s="10">
        <f t="shared" si="78"/>
        <v>0</v>
      </c>
      <c r="M290" s="10">
        <f t="shared" si="79"/>
        <v>0</v>
      </c>
      <c r="N290" s="10">
        <f t="shared" si="80"/>
        <v>0</v>
      </c>
      <c r="O290" s="10">
        <f t="shared" si="81"/>
        <v>0</v>
      </c>
      <c r="P290" s="10">
        <f t="shared" si="82"/>
        <v>0</v>
      </c>
      <c r="Q290" s="10">
        <f t="shared" si="83"/>
        <v>0</v>
      </c>
      <c r="R290" s="10">
        <f t="shared" si="84"/>
        <v>0</v>
      </c>
      <c r="S290" s="10">
        <f t="shared" si="85"/>
        <v>0</v>
      </c>
      <c r="T290" s="10">
        <f t="shared" si="86"/>
        <v>0</v>
      </c>
      <c r="U290" s="10">
        <f t="shared" si="87"/>
        <v>0</v>
      </c>
      <c r="V290" s="10">
        <f t="shared" si="88"/>
        <v>0</v>
      </c>
    </row>
    <row r="291" spans="1:22" x14ac:dyDescent="0.2">
      <c r="A291" s="32">
        <v>12</v>
      </c>
      <c r="B291" s="33">
        <v>0.91666666666666696</v>
      </c>
      <c r="C291" s="32">
        <f>'0200z'!E21</f>
        <v>0</v>
      </c>
      <c r="D291" s="32">
        <f>'0200z'!F21</f>
        <v>0</v>
      </c>
      <c r="E291" s="32">
        <f t="shared" si="89"/>
        <v>0</v>
      </c>
      <c r="F291" s="10">
        <f t="shared" si="90"/>
        <v>0</v>
      </c>
      <c r="G291" s="10">
        <f t="shared" si="91"/>
        <v>0</v>
      </c>
      <c r="H291" s="10">
        <f t="shared" si="74"/>
        <v>0</v>
      </c>
      <c r="I291" s="10">
        <f t="shared" si="75"/>
        <v>0</v>
      </c>
      <c r="J291" s="10">
        <f t="shared" si="76"/>
        <v>0</v>
      </c>
      <c r="K291" s="10">
        <f t="shared" si="77"/>
        <v>0</v>
      </c>
      <c r="L291" s="10">
        <f t="shared" si="78"/>
        <v>0</v>
      </c>
      <c r="M291" s="10">
        <f t="shared" si="79"/>
        <v>0</v>
      </c>
      <c r="N291" s="10">
        <f t="shared" si="80"/>
        <v>0</v>
      </c>
      <c r="O291" s="10">
        <f t="shared" si="81"/>
        <v>0</v>
      </c>
      <c r="P291" s="10">
        <f t="shared" si="82"/>
        <v>0</v>
      </c>
      <c r="Q291" s="10">
        <f t="shared" si="83"/>
        <v>0</v>
      </c>
      <c r="R291" s="10">
        <f t="shared" si="84"/>
        <v>0</v>
      </c>
      <c r="S291" s="10">
        <f t="shared" si="85"/>
        <v>0</v>
      </c>
      <c r="T291" s="10">
        <f t="shared" si="86"/>
        <v>0</v>
      </c>
      <c r="U291" s="10">
        <f t="shared" si="87"/>
        <v>0</v>
      </c>
      <c r="V291" s="10">
        <f t="shared" si="88"/>
        <v>0</v>
      </c>
    </row>
    <row r="292" spans="1:22" x14ac:dyDescent="0.2">
      <c r="A292" s="32">
        <v>12</v>
      </c>
      <c r="B292" s="33">
        <v>0.95833333333333304</v>
      </c>
      <c r="C292" s="32">
        <f>'0300z'!E21</f>
        <v>6</v>
      </c>
      <c r="D292" s="32">
        <f>'0300z'!F21</f>
        <v>5</v>
      </c>
      <c r="E292" s="32">
        <f t="shared" si="89"/>
        <v>60</v>
      </c>
      <c r="F292" s="10">
        <f t="shared" si="90"/>
        <v>0</v>
      </c>
      <c r="G292" s="10">
        <f t="shared" si="91"/>
        <v>0</v>
      </c>
      <c r="H292" s="10">
        <f t="shared" si="74"/>
        <v>0</v>
      </c>
      <c r="I292" s="10">
        <f t="shared" si="75"/>
        <v>1</v>
      </c>
      <c r="J292" s="10">
        <f t="shared" si="76"/>
        <v>0</v>
      </c>
      <c r="K292" s="10">
        <f t="shared" si="77"/>
        <v>0</v>
      </c>
      <c r="L292" s="10">
        <f t="shared" si="78"/>
        <v>0</v>
      </c>
      <c r="M292" s="10">
        <f t="shared" si="79"/>
        <v>0</v>
      </c>
      <c r="N292" s="10">
        <f t="shared" si="80"/>
        <v>0</v>
      </c>
      <c r="O292" s="10">
        <f t="shared" si="81"/>
        <v>0</v>
      </c>
      <c r="P292" s="10">
        <f t="shared" si="82"/>
        <v>0</v>
      </c>
      <c r="Q292" s="10">
        <f t="shared" si="83"/>
        <v>0</v>
      </c>
      <c r="R292" s="10">
        <f t="shared" si="84"/>
        <v>0</v>
      </c>
      <c r="S292" s="10">
        <f t="shared" si="85"/>
        <v>0</v>
      </c>
      <c r="T292" s="10">
        <f t="shared" si="86"/>
        <v>0</v>
      </c>
      <c r="U292" s="10">
        <f t="shared" si="87"/>
        <v>0</v>
      </c>
      <c r="V292" s="10">
        <f t="shared" si="88"/>
        <v>0</v>
      </c>
    </row>
    <row r="293" spans="1:22" x14ac:dyDescent="0.2">
      <c r="A293" s="32">
        <v>13</v>
      </c>
      <c r="B293" s="33">
        <v>0</v>
      </c>
      <c r="C293" s="32">
        <f>'0400z'!E22</f>
        <v>0</v>
      </c>
      <c r="D293" s="32">
        <f>'0400z'!F22</f>
        <v>0</v>
      </c>
      <c r="E293" s="32">
        <f t="shared" si="89"/>
        <v>0</v>
      </c>
      <c r="F293" s="10">
        <f t="shared" si="90"/>
        <v>0</v>
      </c>
      <c r="G293" s="10">
        <f t="shared" si="91"/>
        <v>0</v>
      </c>
      <c r="H293" s="10">
        <f t="shared" si="74"/>
        <v>0</v>
      </c>
      <c r="I293" s="10">
        <f t="shared" si="75"/>
        <v>0</v>
      </c>
      <c r="J293" s="10">
        <f t="shared" si="76"/>
        <v>0</v>
      </c>
      <c r="K293" s="10">
        <f t="shared" si="77"/>
        <v>0</v>
      </c>
      <c r="L293" s="10">
        <f t="shared" si="78"/>
        <v>0</v>
      </c>
      <c r="M293" s="10">
        <f t="shared" si="79"/>
        <v>0</v>
      </c>
      <c r="N293" s="10">
        <f t="shared" si="80"/>
        <v>0</v>
      </c>
      <c r="O293" s="10">
        <f t="shared" si="81"/>
        <v>0</v>
      </c>
      <c r="P293" s="10">
        <f t="shared" si="82"/>
        <v>0</v>
      </c>
      <c r="Q293" s="10">
        <f t="shared" si="83"/>
        <v>0</v>
      </c>
      <c r="R293" s="10">
        <f t="shared" si="84"/>
        <v>0</v>
      </c>
      <c r="S293" s="10">
        <f t="shared" si="85"/>
        <v>0</v>
      </c>
      <c r="T293" s="10">
        <f t="shared" si="86"/>
        <v>0</v>
      </c>
      <c r="U293" s="10">
        <f t="shared" si="87"/>
        <v>0</v>
      </c>
      <c r="V293" s="10">
        <f t="shared" si="88"/>
        <v>0</v>
      </c>
    </row>
    <row r="294" spans="1:22" x14ac:dyDescent="0.2">
      <c r="A294" s="32">
        <v>13</v>
      </c>
      <c r="B294" s="33">
        <v>4.1666666666666664E-2</v>
      </c>
      <c r="C294" s="32">
        <f>'0500z'!E22</f>
        <v>0</v>
      </c>
      <c r="D294" s="32">
        <f>'0500z'!F22</f>
        <v>0</v>
      </c>
      <c r="E294" s="32">
        <f t="shared" si="89"/>
        <v>0</v>
      </c>
      <c r="F294" s="10">
        <f t="shared" si="90"/>
        <v>0</v>
      </c>
      <c r="G294" s="10">
        <f t="shared" si="91"/>
        <v>0</v>
      </c>
      <c r="H294" s="10">
        <f t="shared" si="74"/>
        <v>0</v>
      </c>
      <c r="I294" s="10">
        <f t="shared" si="75"/>
        <v>0</v>
      </c>
      <c r="J294" s="10">
        <f t="shared" si="76"/>
        <v>0</v>
      </c>
      <c r="K294" s="10">
        <f t="shared" si="77"/>
        <v>0</v>
      </c>
      <c r="L294" s="10">
        <f t="shared" si="78"/>
        <v>0</v>
      </c>
      <c r="M294" s="10">
        <f t="shared" si="79"/>
        <v>0</v>
      </c>
      <c r="N294" s="10">
        <f t="shared" si="80"/>
        <v>0</v>
      </c>
      <c r="O294" s="10">
        <f t="shared" si="81"/>
        <v>0</v>
      </c>
      <c r="P294" s="10">
        <f t="shared" si="82"/>
        <v>0</v>
      </c>
      <c r="Q294" s="10">
        <f t="shared" si="83"/>
        <v>0</v>
      </c>
      <c r="R294" s="10">
        <f t="shared" si="84"/>
        <v>0</v>
      </c>
      <c r="S294" s="10">
        <f t="shared" si="85"/>
        <v>0</v>
      </c>
      <c r="T294" s="10">
        <f t="shared" si="86"/>
        <v>0</v>
      </c>
      <c r="U294" s="10">
        <f t="shared" si="87"/>
        <v>0</v>
      </c>
      <c r="V294" s="10">
        <f t="shared" si="88"/>
        <v>0</v>
      </c>
    </row>
    <row r="295" spans="1:22" x14ac:dyDescent="0.2">
      <c r="A295" s="32">
        <v>13</v>
      </c>
      <c r="B295" s="33">
        <v>8.3333333333333329E-2</v>
      </c>
      <c r="C295" s="32">
        <f>'0600z'!E22</f>
        <v>6</v>
      </c>
      <c r="D295" s="32">
        <f>'0600z'!F22</f>
        <v>6</v>
      </c>
      <c r="E295" s="32">
        <f t="shared" si="89"/>
        <v>60</v>
      </c>
      <c r="F295" s="10">
        <f t="shared" si="90"/>
        <v>0</v>
      </c>
      <c r="G295" s="10">
        <f t="shared" si="91"/>
        <v>0</v>
      </c>
      <c r="H295" s="10">
        <f t="shared" si="74"/>
        <v>0</v>
      </c>
      <c r="I295" s="10">
        <f t="shared" si="75"/>
        <v>1</v>
      </c>
      <c r="J295" s="10">
        <f t="shared" si="76"/>
        <v>0</v>
      </c>
      <c r="K295" s="10">
        <f t="shared" si="77"/>
        <v>0</v>
      </c>
      <c r="L295" s="10">
        <f t="shared" si="78"/>
        <v>0</v>
      </c>
      <c r="M295" s="10">
        <f t="shared" si="79"/>
        <v>0</v>
      </c>
      <c r="N295" s="10">
        <f t="shared" si="80"/>
        <v>0</v>
      </c>
      <c r="O295" s="10">
        <f t="shared" si="81"/>
        <v>0</v>
      </c>
      <c r="P295" s="10">
        <f t="shared" si="82"/>
        <v>0</v>
      </c>
      <c r="Q295" s="10">
        <f t="shared" si="83"/>
        <v>0</v>
      </c>
      <c r="R295" s="10">
        <f t="shared" si="84"/>
        <v>0</v>
      </c>
      <c r="S295" s="10">
        <f t="shared" si="85"/>
        <v>0</v>
      </c>
      <c r="T295" s="10">
        <f t="shared" si="86"/>
        <v>0</v>
      </c>
      <c r="U295" s="10">
        <f t="shared" si="87"/>
        <v>0</v>
      </c>
      <c r="V295" s="10">
        <f t="shared" si="88"/>
        <v>0</v>
      </c>
    </row>
    <row r="296" spans="1:22" x14ac:dyDescent="0.2">
      <c r="A296" s="32">
        <v>13</v>
      </c>
      <c r="B296" s="33">
        <v>0.125</v>
      </c>
      <c r="C296" s="32">
        <f>'0700z'!E22</f>
        <v>0</v>
      </c>
      <c r="D296" s="32">
        <f>'0700z'!F22</f>
        <v>0</v>
      </c>
      <c r="E296" s="32">
        <f t="shared" si="89"/>
        <v>0</v>
      </c>
      <c r="F296" s="10">
        <f t="shared" si="90"/>
        <v>0</v>
      </c>
      <c r="G296" s="10">
        <f t="shared" si="91"/>
        <v>0</v>
      </c>
      <c r="H296" s="10">
        <f t="shared" si="74"/>
        <v>0</v>
      </c>
      <c r="I296" s="10">
        <f t="shared" si="75"/>
        <v>0</v>
      </c>
      <c r="J296" s="10">
        <f t="shared" si="76"/>
        <v>0</v>
      </c>
      <c r="K296" s="10">
        <f t="shared" si="77"/>
        <v>0</v>
      </c>
      <c r="L296" s="10">
        <f t="shared" si="78"/>
        <v>0</v>
      </c>
      <c r="M296" s="10">
        <f t="shared" si="79"/>
        <v>0</v>
      </c>
      <c r="N296" s="10">
        <f t="shared" si="80"/>
        <v>0</v>
      </c>
      <c r="O296" s="10">
        <f t="shared" si="81"/>
        <v>0</v>
      </c>
      <c r="P296" s="10">
        <f t="shared" si="82"/>
        <v>0</v>
      </c>
      <c r="Q296" s="10">
        <f t="shared" si="83"/>
        <v>0</v>
      </c>
      <c r="R296" s="10">
        <f t="shared" si="84"/>
        <v>0</v>
      </c>
      <c r="S296" s="10">
        <f t="shared" si="85"/>
        <v>0</v>
      </c>
      <c r="T296" s="10">
        <f t="shared" si="86"/>
        <v>0</v>
      </c>
      <c r="U296" s="10">
        <f t="shared" si="87"/>
        <v>0</v>
      </c>
      <c r="V296" s="10">
        <f t="shared" si="88"/>
        <v>0</v>
      </c>
    </row>
    <row r="297" spans="1:22" x14ac:dyDescent="0.2">
      <c r="A297" s="32">
        <v>13</v>
      </c>
      <c r="B297" s="33">
        <v>0.16666666666666699</v>
      </c>
      <c r="C297" s="32">
        <f>'0800z'!E22</f>
        <v>6</v>
      </c>
      <c r="D297" s="32">
        <f>'0800z'!F22</f>
        <v>5</v>
      </c>
      <c r="E297" s="32">
        <f t="shared" si="89"/>
        <v>60</v>
      </c>
      <c r="F297" s="10">
        <f t="shared" si="90"/>
        <v>0</v>
      </c>
      <c r="G297" s="10">
        <f t="shared" si="91"/>
        <v>0</v>
      </c>
      <c r="H297" s="10">
        <f t="shared" si="74"/>
        <v>0</v>
      </c>
      <c r="I297" s="10">
        <f t="shared" si="75"/>
        <v>1</v>
      </c>
      <c r="J297" s="10">
        <f t="shared" si="76"/>
        <v>0</v>
      </c>
      <c r="K297" s="10">
        <f t="shared" si="77"/>
        <v>0</v>
      </c>
      <c r="L297" s="10">
        <f t="shared" si="78"/>
        <v>0</v>
      </c>
      <c r="M297" s="10">
        <f t="shared" si="79"/>
        <v>0</v>
      </c>
      <c r="N297" s="10">
        <f t="shared" si="80"/>
        <v>0</v>
      </c>
      <c r="O297" s="10">
        <f t="shared" si="81"/>
        <v>0</v>
      </c>
      <c r="P297" s="10">
        <f t="shared" si="82"/>
        <v>0</v>
      </c>
      <c r="Q297" s="10">
        <f t="shared" si="83"/>
        <v>0</v>
      </c>
      <c r="R297" s="10">
        <f t="shared" si="84"/>
        <v>0</v>
      </c>
      <c r="S297" s="10">
        <f t="shared" si="85"/>
        <v>0</v>
      </c>
      <c r="T297" s="10">
        <f t="shared" si="86"/>
        <v>0</v>
      </c>
      <c r="U297" s="10">
        <f t="shared" si="87"/>
        <v>0</v>
      </c>
      <c r="V297" s="10">
        <f t="shared" si="88"/>
        <v>0</v>
      </c>
    </row>
    <row r="298" spans="1:22" x14ac:dyDescent="0.2">
      <c r="A298" s="32">
        <v>13</v>
      </c>
      <c r="B298" s="33">
        <v>0.20833333333333301</v>
      </c>
      <c r="C298" s="32">
        <f>'0900z'!E22</f>
        <v>7</v>
      </c>
      <c r="D298" s="32">
        <f>'0900z'!F22</f>
        <v>3</v>
      </c>
      <c r="E298" s="32">
        <f t="shared" si="89"/>
        <v>70</v>
      </c>
      <c r="F298" s="10">
        <f t="shared" si="90"/>
        <v>0</v>
      </c>
      <c r="G298" s="10">
        <f t="shared" si="91"/>
        <v>0</v>
      </c>
      <c r="H298" s="10">
        <f t="shared" si="74"/>
        <v>0</v>
      </c>
      <c r="I298" s="10">
        <f t="shared" si="75"/>
        <v>1</v>
      </c>
      <c r="J298" s="10">
        <f t="shared" si="76"/>
        <v>0</v>
      </c>
      <c r="K298" s="10">
        <f t="shared" si="77"/>
        <v>0</v>
      </c>
      <c r="L298" s="10">
        <f t="shared" si="78"/>
        <v>0</v>
      </c>
      <c r="M298" s="10">
        <f t="shared" si="79"/>
        <v>0</v>
      </c>
      <c r="N298" s="10">
        <f t="shared" si="80"/>
        <v>0</v>
      </c>
      <c r="O298" s="10">
        <f t="shared" si="81"/>
        <v>0</v>
      </c>
      <c r="P298" s="10">
        <f t="shared" si="82"/>
        <v>0</v>
      </c>
      <c r="Q298" s="10">
        <f t="shared" si="83"/>
        <v>0</v>
      </c>
      <c r="R298" s="10">
        <f t="shared" si="84"/>
        <v>0</v>
      </c>
      <c r="S298" s="10">
        <f t="shared" si="85"/>
        <v>0</v>
      </c>
      <c r="T298" s="10">
        <f t="shared" si="86"/>
        <v>0</v>
      </c>
      <c r="U298" s="10">
        <f t="shared" si="87"/>
        <v>0</v>
      </c>
      <c r="V298" s="10">
        <f t="shared" si="88"/>
        <v>0</v>
      </c>
    </row>
    <row r="299" spans="1:22" x14ac:dyDescent="0.2">
      <c r="A299" s="32">
        <v>13</v>
      </c>
      <c r="B299" s="33">
        <v>0.25</v>
      </c>
      <c r="C299" s="32">
        <f>'1000z'!E22</f>
        <v>6</v>
      </c>
      <c r="D299" s="32">
        <f>'1000z'!F22</f>
        <v>5</v>
      </c>
      <c r="E299" s="32">
        <f t="shared" si="89"/>
        <v>60</v>
      </c>
      <c r="F299" s="10">
        <f t="shared" si="90"/>
        <v>0</v>
      </c>
      <c r="G299" s="10">
        <f t="shared" si="91"/>
        <v>0</v>
      </c>
      <c r="H299" s="10">
        <f t="shared" si="74"/>
        <v>0</v>
      </c>
      <c r="I299" s="10">
        <f t="shared" si="75"/>
        <v>1</v>
      </c>
      <c r="J299" s="10">
        <f t="shared" si="76"/>
        <v>0</v>
      </c>
      <c r="K299" s="10">
        <f t="shared" si="77"/>
        <v>0</v>
      </c>
      <c r="L299" s="10">
        <f t="shared" si="78"/>
        <v>0</v>
      </c>
      <c r="M299" s="10">
        <f t="shared" si="79"/>
        <v>0</v>
      </c>
      <c r="N299" s="10">
        <f t="shared" si="80"/>
        <v>0</v>
      </c>
      <c r="O299" s="10">
        <f t="shared" si="81"/>
        <v>0</v>
      </c>
      <c r="P299" s="10">
        <f t="shared" si="82"/>
        <v>0</v>
      </c>
      <c r="Q299" s="10">
        <f t="shared" si="83"/>
        <v>0</v>
      </c>
      <c r="R299" s="10">
        <f t="shared" si="84"/>
        <v>0</v>
      </c>
      <c r="S299" s="10">
        <f t="shared" si="85"/>
        <v>0</v>
      </c>
      <c r="T299" s="10">
        <f t="shared" si="86"/>
        <v>0</v>
      </c>
      <c r="U299" s="10">
        <f t="shared" si="87"/>
        <v>0</v>
      </c>
      <c r="V299" s="10">
        <f t="shared" si="88"/>
        <v>0</v>
      </c>
    </row>
    <row r="300" spans="1:22" x14ac:dyDescent="0.2">
      <c r="A300" s="32">
        <v>13</v>
      </c>
      <c r="B300" s="33">
        <v>0.29166666666666702</v>
      </c>
      <c r="C300" s="32">
        <f>'1100z'!E22</f>
        <v>6</v>
      </c>
      <c r="D300" s="32">
        <f>'1100z'!F22</f>
        <v>10</v>
      </c>
      <c r="E300" s="32">
        <f t="shared" si="89"/>
        <v>60</v>
      </c>
      <c r="F300" s="10">
        <f t="shared" si="90"/>
        <v>0</v>
      </c>
      <c r="G300" s="10">
        <f t="shared" si="91"/>
        <v>0</v>
      </c>
      <c r="H300" s="10">
        <f t="shared" si="74"/>
        <v>0</v>
      </c>
      <c r="I300" s="10">
        <f t="shared" si="75"/>
        <v>1</v>
      </c>
      <c r="J300" s="10">
        <f t="shared" si="76"/>
        <v>0</v>
      </c>
      <c r="K300" s="10">
        <f t="shared" si="77"/>
        <v>0</v>
      </c>
      <c r="L300" s="10">
        <f t="shared" si="78"/>
        <v>0</v>
      </c>
      <c r="M300" s="10">
        <f t="shared" si="79"/>
        <v>0</v>
      </c>
      <c r="N300" s="10">
        <f t="shared" si="80"/>
        <v>0</v>
      </c>
      <c r="O300" s="10">
        <f t="shared" si="81"/>
        <v>0</v>
      </c>
      <c r="P300" s="10">
        <f t="shared" si="82"/>
        <v>0</v>
      </c>
      <c r="Q300" s="10">
        <f t="shared" si="83"/>
        <v>0</v>
      </c>
      <c r="R300" s="10">
        <f t="shared" si="84"/>
        <v>0</v>
      </c>
      <c r="S300" s="10">
        <f t="shared" si="85"/>
        <v>0</v>
      </c>
      <c r="T300" s="10">
        <f t="shared" si="86"/>
        <v>0</v>
      </c>
      <c r="U300" s="10">
        <f t="shared" si="87"/>
        <v>0</v>
      </c>
      <c r="V300" s="10">
        <f t="shared" si="88"/>
        <v>0</v>
      </c>
    </row>
    <row r="301" spans="1:22" x14ac:dyDescent="0.2">
      <c r="A301" s="32">
        <v>13</v>
      </c>
      <c r="B301" s="33">
        <v>0.33333333333333298</v>
      </c>
      <c r="C301" s="32">
        <f>'1200z'!E22</f>
        <v>7</v>
      </c>
      <c r="D301" s="32">
        <f>'1200z'!F22</f>
        <v>10</v>
      </c>
      <c r="E301" s="32">
        <f t="shared" si="89"/>
        <v>70</v>
      </c>
      <c r="F301" s="10">
        <f t="shared" si="90"/>
        <v>0</v>
      </c>
      <c r="G301" s="10">
        <f t="shared" si="91"/>
        <v>0</v>
      </c>
      <c r="H301" s="10">
        <f t="shared" si="74"/>
        <v>0</v>
      </c>
      <c r="I301" s="10">
        <f t="shared" si="75"/>
        <v>1</v>
      </c>
      <c r="J301" s="10">
        <f t="shared" si="76"/>
        <v>0</v>
      </c>
      <c r="K301" s="10">
        <f t="shared" si="77"/>
        <v>0</v>
      </c>
      <c r="L301" s="10">
        <f t="shared" si="78"/>
        <v>0</v>
      </c>
      <c r="M301" s="10">
        <f t="shared" si="79"/>
        <v>0</v>
      </c>
      <c r="N301" s="10">
        <f t="shared" si="80"/>
        <v>0</v>
      </c>
      <c r="O301" s="10">
        <f t="shared" si="81"/>
        <v>0</v>
      </c>
      <c r="P301" s="10">
        <f t="shared" si="82"/>
        <v>0</v>
      </c>
      <c r="Q301" s="10">
        <f t="shared" si="83"/>
        <v>0</v>
      </c>
      <c r="R301" s="10">
        <f t="shared" si="84"/>
        <v>0</v>
      </c>
      <c r="S301" s="10">
        <f t="shared" si="85"/>
        <v>0</v>
      </c>
      <c r="T301" s="10">
        <f t="shared" si="86"/>
        <v>0</v>
      </c>
      <c r="U301" s="10">
        <f t="shared" si="87"/>
        <v>0</v>
      </c>
      <c r="V301" s="10">
        <f t="shared" si="88"/>
        <v>0</v>
      </c>
    </row>
    <row r="302" spans="1:22" x14ac:dyDescent="0.2">
      <c r="A302" s="32">
        <v>13</v>
      </c>
      <c r="B302" s="33">
        <v>0.375</v>
      </c>
      <c r="C302" s="32">
        <f>'1300z'!E22</f>
        <v>4</v>
      </c>
      <c r="D302" s="32">
        <f>'1300z'!F22</f>
        <v>12</v>
      </c>
      <c r="E302" s="32">
        <f t="shared" si="89"/>
        <v>40</v>
      </c>
      <c r="F302" s="10">
        <f t="shared" si="90"/>
        <v>0</v>
      </c>
      <c r="G302" s="10">
        <f t="shared" si="91"/>
        <v>0</v>
      </c>
      <c r="H302" s="10">
        <f t="shared" si="74"/>
        <v>1</v>
      </c>
      <c r="I302" s="10">
        <f t="shared" si="75"/>
        <v>0</v>
      </c>
      <c r="J302" s="10">
        <f t="shared" si="76"/>
        <v>0</v>
      </c>
      <c r="K302" s="10">
        <f t="shared" si="77"/>
        <v>0</v>
      </c>
      <c r="L302" s="10">
        <f t="shared" si="78"/>
        <v>0</v>
      </c>
      <c r="M302" s="10">
        <f t="shared" si="79"/>
        <v>0</v>
      </c>
      <c r="N302" s="10">
        <f t="shared" si="80"/>
        <v>0</v>
      </c>
      <c r="O302" s="10">
        <f t="shared" si="81"/>
        <v>0</v>
      </c>
      <c r="P302" s="10">
        <f t="shared" si="82"/>
        <v>0</v>
      </c>
      <c r="Q302" s="10">
        <f t="shared" si="83"/>
        <v>0</v>
      </c>
      <c r="R302" s="10">
        <f t="shared" si="84"/>
        <v>0</v>
      </c>
      <c r="S302" s="10">
        <f t="shared" si="85"/>
        <v>0</v>
      </c>
      <c r="T302" s="10">
        <f t="shared" si="86"/>
        <v>0</v>
      </c>
      <c r="U302" s="10">
        <f t="shared" si="87"/>
        <v>0</v>
      </c>
      <c r="V302" s="10">
        <f t="shared" si="88"/>
        <v>0</v>
      </c>
    </row>
    <row r="303" spans="1:22" x14ac:dyDescent="0.2">
      <c r="A303" s="32">
        <v>13</v>
      </c>
      <c r="B303" s="33">
        <v>0.41666666666666702</v>
      </c>
      <c r="C303" s="32">
        <f>'1400z'!E22</f>
        <v>7</v>
      </c>
      <c r="D303" s="32">
        <f>'1400z'!F22</f>
        <v>14</v>
      </c>
      <c r="E303" s="32">
        <f t="shared" si="89"/>
        <v>70</v>
      </c>
      <c r="F303" s="10">
        <f t="shared" si="90"/>
        <v>0</v>
      </c>
      <c r="G303" s="10">
        <f t="shared" si="91"/>
        <v>0</v>
      </c>
      <c r="H303" s="10">
        <f t="shared" si="74"/>
        <v>0</v>
      </c>
      <c r="I303" s="10">
        <f t="shared" si="75"/>
        <v>1</v>
      </c>
      <c r="J303" s="10">
        <f t="shared" si="76"/>
        <v>0</v>
      </c>
      <c r="K303" s="10">
        <f t="shared" si="77"/>
        <v>0</v>
      </c>
      <c r="L303" s="10">
        <f t="shared" si="78"/>
        <v>0</v>
      </c>
      <c r="M303" s="10">
        <f t="shared" si="79"/>
        <v>0</v>
      </c>
      <c r="N303" s="10">
        <f t="shared" si="80"/>
        <v>0</v>
      </c>
      <c r="O303" s="10">
        <f t="shared" si="81"/>
        <v>0</v>
      </c>
      <c r="P303" s="10">
        <f t="shared" si="82"/>
        <v>0</v>
      </c>
      <c r="Q303" s="10">
        <f t="shared" si="83"/>
        <v>0</v>
      </c>
      <c r="R303" s="10">
        <f t="shared" si="84"/>
        <v>0</v>
      </c>
      <c r="S303" s="10">
        <f t="shared" si="85"/>
        <v>0</v>
      </c>
      <c r="T303" s="10">
        <f t="shared" si="86"/>
        <v>0</v>
      </c>
      <c r="U303" s="10">
        <f t="shared" si="87"/>
        <v>0</v>
      </c>
      <c r="V303" s="10">
        <f t="shared" si="88"/>
        <v>0</v>
      </c>
    </row>
    <row r="304" spans="1:22" x14ac:dyDescent="0.2">
      <c r="A304" s="32">
        <v>13</v>
      </c>
      <c r="B304" s="33">
        <v>0.45833333333333298</v>
      </c>
      <c r="C304" s="32">
        <f>'1500z'!E22</f>
        <v>8</v>
      </c>
      <c r="D304" s="32">
        <f>'1500z'!F22</f>
        <v>14</v>
      </c>
      <c r="E304" s="32">
        <f t="shared" si="89"/>
        <v>80</v>
      </c>
      <c r="F304" s="10">
        <f t="shared" si="90"/>
        <v>0</v>
      </c>
      <c r="G304" s="10">
        <f t="shared" si="91"/>
        <v>0</v>
      </c>
      <c r="H304" s="10">
        <f t="shared" si="74"/>
        <v>0</v>
      </c>
      <c r="I304" s="10">
        <f t="shared" si="75"/>
        <v>0</v>
      </c>
      <c r="J304" s="10">
        <f t="shared" si="76"/>
        <v>1</v>
      </c>
      <c r="K304" s="10">
        <f t="shared" si="77"/>
        <v>0</v>
      </c>
      <c r="L304" s="10">
        <f t="shared" si="78"/>
        <v>0</v>
      </c>
      <c r="M304" s="10">
        <f t="shared" si="79"/>
        <v>0</v>
      </c>
      <c r="N304" s="10">
        <f t="shared" si="80"/>
        <v>0</v>
      </c>
      <c r="O304" s="10">
        <f t="shared" si="81"/>
        <v>0</v>
      </c>
      <c r="P304" s="10">
        <f t="shared" si="82"/>
        <v>0</v>
      </c>
      <c r="Q304" s="10">
        <f t="shared" si="83"/>
        <v>0</v>
      </c>
      <c r="R304" s="10">
        <f t="shared" si="84"/>
        <v>0</v>
      </c>
      <c r="S304" s="10">
        <f t="shared" si="85"/>
        <v>0</v>
      </c>
      <c r="T304" s="10">
        <f t="shared" si="86"/>
        <v>0</v>
      </c>
      <c r="U304" s="10">
        <f t="shared" si="87"/>
        <v>0</v>
      </c>
      <c r="V304" s="10">
        <f t="shared" si="88"/>
        <v>0</v>
      </c>
    </row>
    <row r="305" spans="1:22" x14ac:dyDescent="0.2">
      <c r="A305" s="32">
        <v>13</v>
      </c>
      <c r="B305" s="33">
        <v>0.5</v>
      </c>
      <c r="C305" s="32">
        <f>'1600z'!E22</f>
        <v>9</v>
      </c>
      <c r="D305" s="32">
        <f>'1600z'!F22</f>
        <v>16</v>
      </c>
      <c r="E305" s="32">
        <f t="shared" si="89"/>
        <v>90</v>
      </c>
      <c r="F305" s="10">
        <f t="shared" si="90"/>
        <v>0</v>
      </c>
      <c r="G305" s="10">
        <f t="shared" si="91"/>
        <v>0</v>
      </c>
      <c r="H305" s="10">
        <f t="shared" si="74"/>
        <v>0</v>
      </c>
      <c r="I305" s="10">
        <f t="shared" si="75"/>
        <v>0</v>
      </c>
      <c r="J305" s="10">
        <f t="shared" si="76"/>
        <v>1</v>
      </c>
      <c r="K305" s="10">
        <f t="shared" si="77"/>
        <v>0</v>
      </c>
      <c r="L305" s="10">
        <f t="shared" si="78"/>
        <v>0</v>
      </c>
      <c r="M305" s="10">
        <f t="shared" si="79"/>
        <v>0</v>
      </c>
      <c r="N305" s="10">
        <f t="shared" si="80"/>
        <v>0</v>
      </c>
      <c r="O305" s="10">
        <f t="shared" si="81"/>
        <v>0</v>
      </c>
      <c r="P305" s="10">
        <f t="shared" si="82"/>
        <v>0</v>
      </c>
      <c r="Q305" s="10">
        <f t="shared" si="83"/>
        <v>0</v>
      </c>
      <c r="R305" s="10">
        <f t="shared" si="84"/>
        <v>0</v>
      </c>
      <c r="S305" s="10">
        <f t="shared" si="85"/>
        <v>0</v>
      </c>
      <c r="T305" s="10">
        <f t="shared" si="86"/>
        <v>0</v>
      </c>
      <c r="U305" s="10">
        <f t="shared" si="87"/>
        <v>0</v>
      </c>
      <c r="V305" s="10">
        <f t="shared" si="88"/>
        <v>0</v>
      </c>
    </row>
    <row r="306" spans="1:22" x14ac:dyDescent="0.2">
      <c r="A306" s="32">
        <v>13</v>
      </c>
      <c r="B306" s="33">
        <v>0.54166666666666696</v>
      </c>
      <c r="C306" s="32">
        <f>'1700z'!E22</f>
        <v>8</v>
      </c>
      <c r="D306" s="32">
        <f>'1700z'!F22</f>
        <v>16</v>
      </c>
      <c r="E306" s="32">
        <f t="shared" si="89"/>
        <v>80</v>
      </c>
      <c r="F306" s="10">
        <f t="shared" si="90"/>
        <v>0</v>
      </c>
      <c r="G306" s="10">
        <f t="shared" si="91"/>
        <v>0</v>
      </c>
      <c r="H306" s="10">
        <f t="shared" si="74"/>
        <v>0</v>
      </c>
      <c r="I306" s="10">
        <f t="shared" si="75"/>
        <v>0</v>
      </c>
      <c r="J306" s="10">
        <f t="shared" si="76"/>
        <v>1</v>
      </c>
      <c r="K306" s="10">
        <f t="shared" si="77"/>
        <v>0</v>
      </c>
      <c r="L306" s="10">
        <f t="shared" si="78"/>
        <v>0</v>
      </c>
      <c r="M306" s="10">
        <f t="shared" si="79"/>
        <v>0</v>
      </c>
      <c r="N306" s="10">
        <f t="shared" si="80"/>
        <v>0</v>
      </c>
      <c r="O306" s="10">
        <f t="shared" si="81"/>
        <v>0</v>
      </c>
      <c r="P306" s="10">
        <f t="shared" si="82"/>
        <v>0</v>
      </c>
      <c r="Q306" s="10">
        <f t="shared" si="83"/>
        <v>0</v>
      </c>
      <c r="R306" s="10">
        <f t="shared" si="84"/>
        <v>0</v>
      </c>
      <c r="S306" s="10">
        <f t="shared" si="85"/>
        <v>0</v>
      </c>
      <c r="T306" s="10">
        <f t="shared" si="86"/>
        <v>0</v>
      </c>
      <c r="U306" s="10">
        <f t="shared" si="87"/>
        <v>0</v>
      </c>
      <c r="V306" s="10">
        <f t="shared" si="88"/>
        <v>0</v>
      </c>
    </row>
    <row r="307" spans="1:22" x14ac:dyDescent="0.2">
      <c r="A307" s="32">
        <v>13</v>
      </c>
      <c r="B307" s="33">
        <v>0.58333333333333304</v>
      </c>
      <c r="C307" s="32">
        <f>'1800z'!E22</f>
        <v>12</v>
      </c>
      <c r="D307" s="32">
        <f>'1800z'!F22</f>
        <v>16</v>
      </c>
      <c r="E307" s="32">
        <f t="shared" si="89"/>
        <v>120</v>
      </c>
      <c r="F307" s="10">
        <f t="shared" si="90"/>
        <v>0</v>
      </c>
      <c r="G307" s="10">
        <f t="shared" si="91"/>
        <v>0</v>
      </c>
      <c r="H307" s="10">
        <f t="shared" si="74"/>
        <v>0</v>
      </c>
      <c r="I307" s="10">
        <f t="shared" si="75"/>
        <v>0</v>
      </c>
      <c r="J307" s="10">
        <f t="shared" si="76"/>
        <v>0</v>
      </c>
      <c r="K307" s="10">
        <f t="shared" si="77"/>
        <v>1</v>
      </c>
      <c r="L307" s="10">
        <f t="shared" si="78"/>
        <v>0</v>
      </c>
      <c r="M307" s="10">
        <f t="shared" si="79"/>
        <v>0</v>
      </c>
      <c r="N307" s="10">
        <f t="shared" si="80"/>
        <v>0</v>
      </c>
      <c r="O307" s="10">
        <f t="shared" si="81"/>
        <v>0</v>
      </c>
      <c r="P307" s="10">
        <f t="shared" si="82"/>
        <v>0</v>
      </c>
      <c r="Q307" s="10">
        <f t="shared" si="83"/>
        <v>0</v>
      </c>
      <c r="R307" s="10">
        <f t="shared" si="84"/>
        <v>0</v>
      </c>
      <c r="S307" s="10">
        <f t="shared" si="85"/>
        <v>0</v>
      </c>
      <c r="T307" s="10">
        <f t="shared" si="86"/>
        <v>0</v>
      </c>
      <c r="U307" s="10">
        <f t="shared" si="87"/>
        <v>0</v>
      </c>
      <c r="V307" s="10">
        <f t="shared" si="88"/>
        <v>0</v>
      </c>
    </row>
    <row r="308" spans="1:22" x14ac:dyDescent="0.2">
      <c r="A308" s="32">
        <v>13</v>
      </c>
      <c r="B308" s="33">
        <v>0.625</v>
      </c>
      <c r="C308" s="32">
        <f>'1900z'!E22</f>
        <v>10</v>
      </c>
      <c r="D308" s="32">
        <f>'1900z'!F22</f>
        <v>14</v>
      </c>
      <c r="E308" s="32">
        <f t="shared" si="89"/>
        <v>100</v>
      </c>
      <c r="F308" s="10">
        <f t="shared" si="90"/>
        <v>0</v>
      </c>
      <c r="G308" s="10">
        <f t="shared" si="91"/>
        <v>0</v>
      </c>
      <c r="H308" s="10">
        <f t="shared" si="74"/>
        <v>0</v>
      </c>
      <c r="I308" s="10">
        <f t="shared" si="75"/>
        <v>0</v>
      </c>
      <c r="J308" s="10">
        <f t="shared" si="76"/>
        <v>1</v>
      </c>
      <c r="K308" s="10">
        <f t="shared" si="77"/>
        <v>0</v>
      </c>
      <c r="L308" s="10">
        <f t="shared" si="78"/>
        <v>0</v>
      </c>
      <c r="M308" s="10">
        <f t="shared" si="79"/>
        <v>0</v>
      </c>
      <c r="N308" s="10">
        <f t="shared" si="80"/>
        <v>0</v>
      </c>
      <c r="O308" s="10">
        <f t="shared" si="81"/>
        <v>0</v>
      </c>
      <c r="P308" s="10">
        <f t="shared" si="82"/>
        <v>0</v>
      </c>
      <c r="Q308" s="10">
        <f t="shared" si="83"/>
        <v>0</v>
      </c>
      <c r="R308" s="10">
        <f t="shared" si="84"/>
        <v>0</v>
      </c>
      <c r="S308" s="10">
        <f t="shared" si="85"/>
        <v>0</v>
      </c>
      <c r="T308" s="10">
        <f t="shared" si="86"/>
        <v>0</v>
      </c>
      <c r="U308" s="10">
        <f t="shared" si="87"/>
        <v>0</v>
      </c>
      <c r="V308" s="10">
        <f t="shared" si="88"/>
        <v>0</v>
      </c>
    </row>
    <row r="309" spans="1:22" x14ac:dyDescent="0.2">
      <c r="A309" s="32">
        <v>13</v>
      </c>
      <c r="B309" s="33">
        <v>0.66666666666666696</v>
      </c>
      <c r="C309" s="32">
        <f>'2000z'!E22</f>
        <v>10</v>
      </c>
      <c r="D309" s="32">
        <f>'2000z'!F22</f>
        <v>13</v>
      </c>
      <c r="E309" s="32">
        <f t="shared" si="89"/>
        <v>100</v>
      </c>
      <c r="F309" s="10">
        <f t="shared" si="90"/>
        <v>0</v>
      </c>
      <c r="G309" s="10">
        <f t="shared" si="91"/>
        <v>0</v>
      </c>
      <c r="H309" s="10">
        <f t="shared" si="74"/>
        <v>0</v>
      </c>
      <c r="I309" s="10">
        <f t="shared" si="75"/>
        <v>0</v>
      </c>
      <c r="J309" s="10">
        <f t="shared" si="76"/>
        <v>1</v>
      </c>
      <c r="K309" s="10">
        <f t="shared" si="77"/>
        <v>0</v>
      </c>
      <c r="L309" s="10">
        <f t="shared" si="78"/>
        <v>0</v>
      </c>
      <c r="M309" s="10">
        <f t="shared" si="79"/>
        <v>0</v>
      </c>
      <c r="N309" s="10">
        <f t="shared" si="80"/>
        <v>0</v>
      </c>
      <c r="O309" s="10">
        <f t="shared" si="81"/>
        <v>0</v>
      </c>
      <c r="P309" s="10">
        <f t="shared" si="82"/>
        <v>0</v>
      </c>
      <c r="Q309" s="10">
        <f t="shared" si="83"/>
        <v>0</v>
      </c>
      <c r="R309" s="10">
        <f t="shared" si="84"/>
        <v>0</v>
      </c>
      <c r="S309" s="10">
        <f t="shared" si="85"/>
        <v>0</v>
      </c>
      <c r="T309" s="10">
        <f t="shared" si="86"/>
        <v>0</v>
      </c>
      <c r="U309" s="10">
        <f t="shared" si="87"/>
        <v>0</v>
      </c>
      <c r="V309" s="10">
        <f t="shared" si="88"/>
        <v>0</v>
      </c>
    </row>
    <row r="310" spans="1:22" x14ac:dyDescent="0.2">
      <c r="A310" s="32">
        <v>13</v>
      </c>
      <c r="B310" s="33">
        <v>0.70833333333333304</v>
      </c>
      <c r="C310" s="32">
        <f>'2100z'!E22</f>
        <v>7</v>
      </c>
      <c r="D310" s="32">
        <f>'2100z'!F22</f>
        <v>9</v>
      </c>
      <c r="E310" s="32">
        <f t="shared" si="89"/>
        <v>70</v>
      </c>
      <c r="F310" s="10">
        <f t="shared" si="90"/>
        <v>0</v>
      </c>
      <c r="G310" s="10">
        <f t="shared" si="91"/>
        <v>0</v>
      </c>
      <c r="H310" s="10">
        <f t="shared" si="74"/>
        <v>0</v>
      </c>
      <c r="I310" s="10">
        <f t="shared" si="75"/>
        <v>1</v>
      </c>
      <c r="J310" s="10">
        <f t="shared" si="76"/>
        <v>0</v>
      </c>
      <c r="K310" s="10">
        <f t="shared" si="77"/>
        <v>0</v>
      </c>
      <c r="L310" s="10">
        <f t="shared" si="78"/>
        <v>0</v>
      </c>
      <c r="M310" s="10">
        <f t="shared" si="79"/>
        <v>0</v>
      </c>
      <c r="N310" s="10">
        <f t="shared" si="80"/>
        <v>0</v>
      </c>
      <c r="O310" s="10">
        <f t="shared" si="81"/>
        <v>0</v>
      </c>
      <c r="P310" s="10">
        <f t="shared" si="82"/>
        <v>0</v>
      </c>
      <c r="Q310" s="10">
        <f t="shared" si="83"/>
        <v>0</v>
      </c>
      <c r="R310" s="10">
        <f t="shared" si="84"/>
        <v>0</v>
      </c>
      <c r="S310" s="10">
        <f t="shared" si="85"/>
        <v>0</v>
      </c>
      <c r="T310" s="10">
        <f t="shared" si="86"/>
        <v>0</v>
      </c>
      <c r="U310" s="10">
        <f t="shared" si="87"/>
        <v>0</v>
      </c>
      <c r="V310" s="10">
        <f t="shared" si="88"/>
        <v>0</v>
      </c>
    </row>
    <row r="311" spans="1:22" x14ac:dyDescent="0.2">
      <c r="A311" s="32">
        <v>13</v>
      </c>
      <c r="B311" s="33">
        <v>0.75</v>
      </c>
      <c r="C311" s="32">
        <f>'2200z'!E22</f>
        <v>6</v>
      </c>
      <c r="D311" s="32">
        <f>'2200z'!F22</f>
        <v>12</v>
      </c>
      <c r="E311" s="32">
        <f t="shared" si="89"/>
        <v>60</v>
      </c>
      <c r="F311" s="10">
        <f t="shared" si="90"/>
        <v>0</v>
      </c>
      <c r="G311" s="10">
        <f t="shared" si="91"/>
        <v>0</v>
      </c>
      <c r="H311" s="10">
        <f t="shared" si="74"/>
        <v>0</v>
      </c>
      <c r="I311" s="10">
        <f t="shared" si="75"/>
        <v>1</v>
      </c>
      <c r="J311" s="10">
        <f t="shared" si="76"/>
        <v>0</v>
      </c>
      <c r="K311" s="10">
        <f t="shared" si="77"/>
        <v>0</v>
      </c>
      <c r="L311" s="10">
        <f t="shared" si="78"/>
        <v>0</v>
      </c>
      <c r="M311" s="10">
        <f t="shared" si="79"/>
        <v>0</v>
      </c>
      <c r="N311" s="10">
        <f t="shared" si="80"/>
        <v>0</v>
      </c>
      <c r="O311" s="10">
        <f t="shared" si="81"/>
        <v>0</v>
      </c>
      <c r="P311" s="10">
        <f t="shared" si="82"/>
        <v>0</v>
      </c>
      <c r="Q311" s="10">
        <f t="shared" si="83"/>
        <v>0</v>
      </c>
      <c r="R311" s="10">
        <f t="shared" si="84"/>
        <v>0</v>
      </c>
      <c r="S311" s="10">
        <f t="shared" si="85"/>
        <v>0</v>
      </c>
      <c r="T311" s="10">
        <f t="shared" si="86"/>
        <v>0</v>
      </c>
      <c r="U311" s="10">
        <f t="shared" si="87"/>
        <v>0</v>
      </c>
      <c r="V311" s="10">
        <f t="shared" si="88"/>
        <v>0</v>
      </c>
    </row>
    <row r="312" spans="1:22" x14ac:dyDescent="0.2">
      <c r="A312" s="32">
        <v>13</v>
      </c>
      <c r="B312" s="33">
        <v>0.79166666666666696</v>
      </c>
      <c r="C312" s="32">
        <f>'2300z'!E22</f>
        <v>7</v>
      </c>
      <c r="D312" s="32">
        <f>'2300z'!F22</f>
        <v>10</v>
      </c>
      <c r="E312" s="32">
        <f t="shared" si="89"/>
        <v>70</v>
      </c>
      <c r="F312" s="10">
        <f t="shared" si="90"/>
        <v>0</v>
      </c>
      <c r="G312" s="10">
        <f t="shared" si="91"/>
        <v>0</v>
      </c>
      <c r="H312" s="10">
        <f t="shared" si="74"/>
        <v>0</v>
      </c>
      <c r="I312" s="10">
        <f t="shared" si="75"/>
        <v>1</v>
      </c>
      <c r="J312" s="10">
        <f t="shared" si="76"/>
        <v>0</v>
      </c>
      <c r="K312" s="10">
        <f t="shared" si="77"/>
        <v>0</v>
      </c>
      <c r="L312" s="10">
        <f t="shared" si="78"/>
        <v>0</v>
      </c>
      <c r="M312" s="10">
        <f t="shared" si="79"/>
        <v>0</v>
      </c>
      <c r="N312" s="10">
        <f t="shared" si="80"/>
        <v>0</v>
      </c>
      <c r="O312" s="10">
        <f t="shared" si="81"/>
        <v>0</v>
      </c>
      <c r="P312" s="10">
        <f t="shared" si="82"/>
        <v>0</v>
      </c>
      <c r="Q312" s="10">
        <f t="shared" si="83"/>
        <v>0</v>
      </c>
      <c r="R312" s="10">
        <f t="shared" si="84"/>
        <v>0</v>
      </c>
      <c r="S312" s="10">
        <f t="shared" si="85"/>
        <v>0</v>
      </c>
      <c r="T312" s="10">
        <f t="shared" si="86"/>
        <v>0</v>
      </c>
      <c r="U312" s="10">
        <f t="shared" si="87"/>
        <v>0</v>
      </c>
      <c r="V312" s="10">
        <f t="shared" si="88"/>
        <v>0</v>
      </c>
    </row>
    <row r="313" spans="1:22" x14ac:dyDescent="0.2">
      <c r="A313" s="32">
        <v>13</v>
      </c>
      <c r="B313" s="33">
        <v>0.83333333333333304</v>
      </c>
      <c r="C313" s="32">
        <f>'0000z'!E22</f>
        <v>6</v>
      </c>
      <c r="D313" s="32">
        <f>'0000z'!F22</f>
        <v>5</v>
      </c>
      <c r="E313" s="32">
        <f t="shared" si="89"/>
        <v>60</v>
      </c>
      <c r="F313" s="10">
        <f t="shared" si="90"/>
        <v>0</v>
      </c>
      <c r="G313" s="10">
        <f t="shared" si="91"/>
        <v>0</v>
      </c>
      <c r="H313" s="10">
        <f t="shared" si="74"/>
        <v>0</v>
      </c>
      <c r="I313" s="10">
        <f t="shared" si="75"/>
        <v>1</v>
      </c>
      <c r="J313" s="10">
        <f t="shared" si="76"/>
        <v>0</v>
      </c>
      <c r="K313" s="10">
        <f t="shared" si="77"/>
        <v>0</v>
      </c>
      <c r="L313" s="10">
        <f t="shared" si="78"/>
        <v>0</v>
      </c>
      <c r="M313" s="10">
        <f t="shared" si="79"/>
        <v>0</v>
      </c>
      <c r="N313" s="10">
        <f t="shared" si="80"/>
        <v>0</v>
      </c>
      <c r="O313" s="10">
        <f t="shared" si="81"/>
        <v>0</v>
      </c>
      <c r="P313" s="10">
        <f t="shared" si="82"/>
        <v>0</v>
      </c>
      <c r="Q313" s="10">
        <f t="shared" si="83"/>
        <v>0</v>
      </c>
      <c r="R313" s="10">
        <f t="shared" si="84"/>
        <v>0</v>
      </c>
      <c r="S313" s="10">
        <f t="shared" si="85"/>
        <v>0</v>
      </c>
      <c r="T313" s="10">
        <f t="shared" si="86"/>
        <v>0</v>
      </c>
      <c r="U313" s="10">
        <f t="shared" si="87"/>
        <v>0</v>
      </c>
      <c r="V313" s="10">
        <f t="shared" si="88"/>
        <v>0</v>
      </c>
    </row>
    <row r="314" spans="1:22" x14ac:dyDescent="0.2">
      <c r="A314" s="32">
        <v>13</v>
      </c>
      <c r="B314" s="33">
        <v>0.875</v>
      </c>
      <c r="C314" s="32">
        <f>'0100z'!E22</f>
        <v>6</v>
      </c>
      <c r="D314" s="32">
        <f>'0100z'!F22</f>
        <v>4</v>
      </c>
      <c r="E314" s="32">
        <f t="shared" si="89"/>
        <v>60</v>
      </c>
      <c r="F314" s="10">
        <f t="shared" si="90"/>
        <v>0</v>
      </c>
      <c r="G314" s="10">
        <f t="shared" si="91"/>
        <v>0</v>
      </c>
      <c r="H314" s="10">
        <f t="shared" si="74"/>
        <v>0</v>
      </c>
      <c r="I314" s="10">
        <f t="shared" si="75"/>
        <v>1</v>
      </c>
      <c r="J314" s="10">
        <f t="shared" si="76"/>
        <v>0</v>
      </c>
      <c r="K314" s="10">
        <f t="shared" si="77"/>
        <v>0</v>
      </c>
      <c r="L314" s="10">
        <f t="shared" si="78"/>
        <v>0</v>
      </c>
      <c r="M314" s="10">
        <f t="shared" si="79"/>
        <v>0</v>
      </c>
      <c r="N314" s="10">
        <f t="shared" si="80"/>
        <v>0</v>
      </c>
      <c r="O314" s="10">
        <f t="shared" si="81"/>
        <v>0</v>
      </c>
      <c r="P314" s="10">
        <f t="shared" si="82"/>
        <v>0</v>
      </c>
      <c r="Q314" s="10">
        <f t="shared" si="83"/>
        <v>0</v>
      </c>
      <c r="R314" s="10">
        <f t="shared" si="84"/>
        <v>0</v>
      </c>
      <c r="S314" s="10">
        <f t="shared" si="85"/>
        <v>0</v>
      </c>
      <c r="T314" s="10">
        <f t="shared" si="86"/>
        <v>0</v>
      </c>
      <c r="U314" s="10">
        <f t="shared" si="87"/>
        <v>0</v>
      </c>
      <c r="V314" s="10">
        <f t="shared" si="88"/>
        <v>0</v>
      </c>
    </row>
    <row r="315" spans="1:22" x14ac:dyDescent="0.2">
      <c r="A315" s="32">
        <v>13</v>
      </c>
      <c r="B315" s="33">
        <v>0.91666666666666696</v>
      </c>
      <c r="C315" s="32">
        <f>'0200z'!E22</f>
        <v>7</v>
      </c>
      <c r="D315" s="32">
        <f>'0200z'!F22</f>
        <v>7</v>
      </c>
      <c r="E315" s="32">
        <f t="shared" si="89"/>
        <v>70</v>
      </c>
      <c r="F315" s="10">
        <f t="shared" si="90"/>
        <v>0</v>
      </c>
      <c r="G315" s="10">
        <f t="shared" si="91"/>
        <v>0</v>
      </c>
      <c r="H315" s="10">
        <f t="shared" si="74"/>
        <v>0</v>
      </c>
      <c r="I315" s="10">
        <f t="shared" si="75"/>
        <v>1</v>
      </c>
      <c r="J315" s="10">
        <f t="shared" si="76"/>
        <v>0</v>
      </c>
      <c r="K315" s="10">
        <f t="shared" si="77"/>
        <v>0</v>
      </c>
      <c r="L315" s="10">
        <f t="shared" si="78"/>
        <v>0</v>
      </c>
      <c r="M315" s="10">
        <f t="shared" si="79"/>
        <v>0</v>
      </c>
      <c r="N315" s="10">
        <f t="shared" si="80"/>
        <v>0</v>
      </c>
      <c r="O315" s="10">
        <f t="shared" si="81"/>
        <v>0</v>
      </c>
      <c r="P315" s="10">
        <f t="shared" si="82"/>
        <v>0</v>
      </c>
      <c r="Q315" s="10">
        <f t="shared" si="83"/>
        <v>0</v>
      </c>
      <c r="R315" s="10">
        <f t="shared" si="84"/>
        <v>0</v>
      </c>
      <c r="S315" s="10">
        <f t="shared" si="85"/>
        <v>0</v>
      </c>
      <c r="T315" s="10">
        <f t="shared" si="86"/>
        <v>0</v>
      </c>
      <c r="U315" s="10">
        <f t="shared" si="87"/>
        <v>0</v>
      </c>
      <c r="V315" s="10">
        <f t="shared" si="88"/>
        <v>0</v>
      </c>
    </row>
    <row r="316" spans="1:22" x14ac:dyDescent="0.2">
      <c r="A316" s="32">
        <v>13</v>
      </c>
      <c r="B316" s="33">
        <v>0.95833333333333304</v>
      </c>
      <c r="C316" s="32">
        <f>'0300z'!E22</f>
        <v>6</v>
      </c>
      <c r="D316" s="32">
        <f>'0300z'!F22</f>
        <v>7</v>
      </c>
      <c r="E316" s="32">
        <f t="shared" si="89"/>
        <v>60</v>
      </c>
      <c r="F316" s="10">
        <f t="shared" si="90"/>
        <v>0</v>
      </c>
      <c r="G316" s="10">
        <f t="shared" si="91"/>
        <v>0</v>
      </c>
      <c r="H316" s="10">
        <f t="shared" si="74"/>
        <v>0</v>
      </c>
      <c r="I316" s="10">
        <f t="shared" si="75"/>
        <v>1</v>
      </c>
      <c r="J316" s="10">
        <f t="shared" si="76"/>
        <v>0</v>
      </c>
      <c r="K316" s="10">
        <f t="shared" si="77"/>
        <v>0</v>
      </c>
      <c r="L316" s="10">
        <f t="shared" si="78"/>
        <v>0</v>
      </c>
      <c r="M316" s="10">
        <f t="shared" si="79"/>
        <v>0</v>
      </c>
      <c r="N316" s="10">
        <f t="shared" si="80"/>
        <v>0</v>
      </c>
      <c r="O316" s="10">
        <f t="shared" si="81"/>
        <v>0</v>
      </c>
      <c r="P316" s="10">
        <f t="shared" si="82"/>
        <v>0</v>
      </c>
      <c r="Q316" s="10">
        <f t="shared" si="83"/>
        <v>0</v>
      </c>
      <c r="R316" s="10">
        <f t="shared" si="84"/>
        <v>0</v>
      </c>
      <c r="S316" s="10">
        <f t="shared" si="85"/>
        <v>0</v>
      </c>
      <c r="T316" s="10">
        <f t="shared" si="86"/>
        <v>0</v>
      </c>
      <c r="U316" s="10">
        <f t="shared" si="87"/>
        <v>0</v>
      </c>
      <c r="V316" s="10">
        <f t="shared" si="88"/>
        <v>0</v>
      </c>
    </row>
    <row r="317" spans="1:22" x14ac:dyDescent="0.2">
      <c r="A317" s="32">
        <v>14</v>
      </c>
      <c r="B317" s="33">
        <v>0</v>
      </c>
      <c r="C317" s="32">
        <f>'0400z'!E23</f>
        <v>8</v>
      </c>
      <c r="D317" s="32">
        <f>'0400z'!F23</f>
        <v>5</v>
      </c>
      <c r="E317" s="32">
        <f t="shared" si="89"/>
        <v>80</v>
      </c>
      <c r="F317" s="10">
        <f t="shared" si="90"/>
        <v>0</v>
      </c>
      <c r="G317" s="10">
        <f t="shared" si="91"/>
        <v>0</v>
      </c>
      <c r="H317" s="10">
        <f t="shared" si="74"/>
        <v>0</v>
      </c>
      <c r="I317" s="10">
        <f t="shared" si="75"/>
        <v>0</v>
      </c>
      <c r="J317" s="10">
        <f t="shared" si="76"/>
        <v>1</v>
      </c>
      <c r="K317" s="10">
        <f t="shared" si="77"/>
        <v>0</v>
      </c>
      <c r="L317" s="10">
        <f t="shared" si="78"/>
        <v>0</v>
      </c>
      <c r="M317" s="10">
        <f t="shared" si="79"/>
        <v>0</v>
      </c>
      <c r="N317" s="10">
        <f t="shared" si="80"/>
        <v>0</v>
      </c>
      <c r="O317" s="10">
        <f t="shared" si="81"/>
        <v>0</v>
      </c>
      <c r="P317" s="10">
        <f t="shared" si="82"/>
        <v>0</v>
      </c>
      <c r="Q317" s="10">
        <f t="shared" si="83"/>
        <v>0</v>
      </c>
      <c r="R317" s="10">
        <f t="shared" si="84"/>
        <v>0</v>
      </c>
      <c r="S317" s="10">
        <f t="shared" si="85"/>
        <v>0</v>
      </c>
      <c r="T317" s="10">
        <f t="shared" si="86"/>
        <v>0</v>
      </c>
      <c r="U317" s="10">
        <f t="shared" si="87"/>
        <v>0</v>
      </c>
      <c r="V317" s="10">
        <f t="shared" si="88"/>
        <v>0</v>
      </c>
    </row>
    <row r="318" spans="1:22" x14ac:dyDescent="0.2">
      <c r="A318" s="32">
        <v>14</v>
      </c>
      <c r="B318" s="33">
        <v>4.1666666666666664E-2</v>
      </c>
      <c r="C318" s="32">
        <f>'0500z'!E23</f>
        <v>10</v>
      </c>
      <c r="D318" s="32">
        <f>'0500z'!F23</f>
        <v>6</v>
      </c>
      <c r="E318" s="32">
        <f t="shared" si="89"/>
        <v>100</v>
      </c>
      <c r="F318" s="10">
        <f t="shared" si="90"/>
        <v>0</v>
      </c>
      <c r="G318" s="10">
        <f t="shared" si="91"/>
        <v>0</v>
      </c>
      <c r="H318" s="10">
        <f t="shared" si="74"/>
        <v>0</v>
      </c>
      <c r="I318" s="10">
        <f t="shared" si="75"/>
        <v>0</v>
      </c>
      <c r="J318" s="10">
        <f t="shared" si="76"/>
        <v>1</v>
      </c>
      <c r="K318" s="10">
        <f t="shared" si="77"/>
        <v>0</v>
      </c>
      <c r="L318" s="10">
        <f t="shared" si="78"/>
        <v>0</v>
      </c>
      <c r="M318" s="10">
        <f t="shared" si="79"/>
        <v>0</v>
      </c>
      <c r="N318" s="10">
        <f t="shared" si="80"/>
        <v>0</v>
      </c>
      <c r="O318" s="10">
        <f t="shared" si="81"/>
        <v>0</v>
      </c>
      <c r="P318" s="10">
        <f t="shared" si="82"/>
        <v>0</v>
      </c>
      <c r="Q318" s="10">
        <f t="shared" si="83"/>
        <v>0</v>
      </c>
      <c r="R318" s="10">
        <f t="shared" si="84"/>
        <v>0</v>
      </c>
      <c r="S318" s="10">
        <f t="shared" si="85"/>
        <v>0</v>
      </c>
      <c r="T318" s="10">
        <f t="shared" si="86"/>
        <v>0</v>
      </c>
      <c r="U318" s="10">
        <f t="shared" si="87"/>
        <v>0</v>
      </c>
      <c r="V318" s="10">
        <f t="shared" si="88"/>
        <v>0</v>
      </c>
    </row>
    <row r="319" spans="1:22" x14ac:dyDescent="0.2">
      <c r="A319" s="32">
        <v>14</v>
      </c>
      <c r="B319" s="33">
        <v>8.3333333333333329E-2</v>
      </c>
      <c r="C319" s="32">
        <f>'0600z'!E23</f>
        <v>9</v>
      </c>
      <c r="D319" s="32">
        <f>'0600z'!F23</f>
        <v>7</v>
      </c>
      <c r="E319" s="32">
        <f t="shared" si="89"/>
        <v>90</v>
      </c>
      <c r="F319" s="10">
        <f t="shared" si="90"/>
        <v>0</v>
      </c>
      <c r="G319" s="10">
        <f t="shared" si="91"/>
        <v>0</v>
      </c>
      <c r="H319" s="10">
        <f t="shared" si="74"/>
        <v>0</v>
      </c>
      <c r="I319" s="10">
        <f t="shared" si="75"/>
        <v>0</v>
      </c>
      <c r="J319" s="10">
        <f t="shared" si="76"/>
        <v>1</v>
      </c>
      <c r="K319" s="10">
        <f t="shared" si="77"/>
        <v>0</v>
      </c>
      <c r="L319" s="10">
        <f t="shared" si="78"/>
        <v>0</v>
      </c>
      <c r="M319" s="10">
        <f t="shared" si="79"/>
        <v>0</v>
      </c>
      <c r="N319" s="10">
        <f t="shared" si="80"/>
        <v>0</v>
      </c>
      <c r="O319" s="10">
        <f t="shared" si="81"/>
        <v>0</v>
      </c>
      <c r="P319" s="10">
        <f t="shared" si="82"/>
        <v>0</v>
      </c>
      <c r="Q319" s="10">
        <f t="shared" si="83"/>
        <v>0</v>
      </c>
      <c r="R319" s="10">
        <f t="shared" si="84"/>
        <v>0</v>
      </c>
      <c r="S319" s="10">
        <f t="shared" si="85"/>
        <v>0</v>
      </c>
      <c r="T319" s="10">
        <f t="shared" si="86"/>
        <v>0</v>
      </c>
      <c r="U319" s="10">
        <f t="shared" si="87"/>
        <v>0</v>
      </c>
      <c r="V319" s="10">
        <f t="shared" si="88"/>
        <v>0</v>
      </c>
    </row>
    <row r="320" spans="1:22" x14ac:dyDescent="0.2">
      <c r="A320" s="32">
        <v>14</v>
      </c>
      <c r="B320" s="33">
        <v>0.125</v>
      </c>
      <c r="C320" s="32">
        <f>'0700z'!E23</f>
        <v>7</v>
      </c>
      <c r="D320" s="32">
        <f>'0700z'!F23</f>
        <v>9</v>
      </c>
      <c r="E320" s="32">
        <f t="shared" si="89"/>
        <v>70</v>
      </c>
      <c r="F320" s="10">
        <f t="shared" si="90"/>
        <v>0</v>
      </c>
      <c r="G320" s="10">
        <f t="shared" si="91"/>
        <v>0</v>
      </c>
      <c r="H320" s="10">
        <f t="shared" si="74"/>
        <v>0</v>
      </c>
      <c r="I320" s="10">
        <f t="shared" si="75"/>
        <v>1</v>
      </c>
      <c r="J320" s="10">
        <f t="shared" si="76"/>
        <v>0</v>
      </c>
      <c r="K320" s="10">
        <f t="shared" si="77"/>
        <v>0</v>
      </c>
      <c r="L320" s="10">
        <f t="shared" si="78"/>
        <v>0</v>
      </c>
      <c r="M320" s="10">
        <f t="shared" si="79"/>
        <v>0</v>
      </c>
      <c r="N320" s="10">
        <f t="shared" si="80"/>
        <v>0</v>
      </c>
      <c r="O320" s="10">
        <f t="shared" si="81"/>
        <v>0</v>
      </c>
      <c r="P320" s="10">
        <f t="shared" si="82"/>
        <v>0</v>
      </c>
      <c r="Q320" s="10">
        <f t="shared" si="83"/>
        <v>0</v>
      </c>
      <c r="R320" s="10">
        <f t="shared" si="84"/>
        <v>0</v>
      </c>
      <c r="S320" s="10">
        <f t="shared" si="85"/>
        <v>0</v>
      </c>
      <c r="T320" s="10">
        <f t="shared" si="86"/>
        <v>0</v>
      </c>
      <c r="U320" s="10">
        <f t="shared" si="87"/>
        <v>0</v>
      </c>
      <c r="V320" s="10">
        <f t="shared" si="88"/>
        <v>0</v>
      </c>
    </row>
    <row r="321" spans="1:22" x14ac:dyDescent="0.2">
      <c r="A321" s="32">
        <v>14</v>
      </c>
      <c r="B321" s="33">
        <v>0.16666666666666699</v>
      </c>
      <c r="C321" s="32">
        <f>'0800z'!E23</f>
        <v>0</v>
      </c>
      <c r="D321" s="32">
        <f>'0800z'!F23</f>
        <v>0</v>
      </c>
      <c r="E321" s="32">
        <f t="shared" si="89"/>
        <v>0</v>
      </c>
      <c r="F321" s="10">
        <f t="shared" si="90"/>
        <v>0</v>
      </c>
      <c r="G321" s="10">
        <f t="shared" si="91"/>
        <v>0</v>
      </c>
      <c r="H321" s="10">
        <f t="shared" si="74"/>
        <v>0</v>
      </c>
      <c r="I321" s="10">
        <f t="shared" si="75"/>
        <v>0</v>
      </c>
      <c r="J321" s="10">
        <f t="shared" si="76"/>
        <v>0</v>
      </c>
      <c r="K321" s="10">
        <f t="shared" si="77"/>
        <v>0</v>
      </c>
      <c r="L321" s="10">
        <f t="shared" si="78"/>
        <v>0</v>
      </c>
      <c r="M321" s="10">
        <f t="shared" si="79"/>
        <v>0</v>
      </c>
      <c r="N321" s="10">
        <f t="shared" si="80"/>
        <v>0</v>
      </c>
      <c r="O321" s="10">
        <f t="shared" si="81"/>
        <v>0</v>
      </c>
      <c r="P321" s="10">
        <f t="shared" si="82"/>
        <v>0</v>
      </c>
      <c r="Q321" s="10">
        <f t="shared" si="83"/>
        <v>0</v>
      </c>
      <c r="R321" s="10">
        <f t="shared" si="84"/>
        <v>0</v>
      </c>
      <c r="S321" s="10">
        <f t="shared" si="85"/>
        <v>0</v>
      </c>
      <c r="T321" s="10">
        <f t="shared" si="86"/>
        <v>0</v>
      </c>
      <c r="U321" s="10">
        <f t="shared" si="87"/>
        <v>0</v>
      </c>
      <c r="V321" s="10">
        <f t="shared" si="88"/>
        <v>0</v>
      </c>
    </row>
    <row r="322" spans="1:22" x14ac:dyDescent="0.2">
      <c r="A322" s="32">
        <v>14</v>
      </c>
      <c r="B322" s="33">
        <v>0.20833333333333301</v>
      </c>
      <c r="C322" s="32">
        <f>'0900z'!E23</f>
        <v>0</v>
      </c>
      <c r="D322" s="32">
        <f>'0900z'!F23</f>
        <v>0</v>
      </c>
      <c r="E322" s="32">
        <f t="shared" si="89"/>
        <v>0</v>
      </c>
      <c r="F322" s="10">
        <f t="shared" si="90"/>
        <v>0</v>
      </c>
      <c r="G322" s="10">
        <f t="shared" si="91"/>
        <v>0</v>
      </c>
      <c r="H322" s="10">
        <f t="shared" si="74"/>
        <v>0</v>
      </c>
      <c r="I322" s="10">
        <f t="shared" si="75"/>
        <v>0</v>
      </c>
      <c r="J322" s="10">
        <f t="shared" si="76"/>
        <v>0</v>
      </c>
      <c r="K322" s="10">
        <f t="shared" si="77"/>
        <v>0</v>
      </c>
      <c r="L322" s="10">
        <f t="shared" si="78"/>
        <v>0</v>
      </c>
      <c r="M322" s="10">
        <f t="shared" si="79"/>
        <v>0</v>
      </c>
      <c r="N322" s="10">
        <f t="shared" si="80"/>
        <v>0</v>
      </c>
      <c r="O322" s="10">
        <f t="shared" si="81"/>
        <v>0</v>
      </c>
      <c r="P322" s="10">
        <f t="shared" si="82"/>
        <v>0</v>
      </c>
      <c r="Q322" s="10">
        <f t="shared" si="83"/>
        <v>0</v>
      </c>
      <c r="R322" s="10">
        <f t="shared" si="84"/>
        <v>0</v>
      </c>
      <c r="S322" s="10">
        <f t="shared" si="85"/>
        <v>0</v>
      </c>
      <c r="T322" s="10">
        <f t="shared" si="86"/>
        <v>0</v>
      </c>
      <c r="U322" s="10">
        <f t="shared" si="87"/>
        <v>0</v>
      </c>
      <c r="V322" s="10">
        <f t="shared" si="88"/>
        <v>0</v>
      </c>
    </row>
    <row r="323" spans="1:22" x14ac:dyDescent="0.2">
      <c r="A323" s="32">
        <v>14</v>
      </c>
      <c r="B323" s="33">
        <v>0.25</v>
      </c>
      <c r="C323" s="32">
        <f>'1000z'!E23</f>
        <v>6</v>
      </c>
      <c r="D323" s="32">
        <f>'1000z'!F23</f>
        <v>4</v>
      </c>
      <c r="E323" s="32">
        <f t="shared" si="89"/>
        <v>60</v>
      </c>
      <c r="F323" s="10">
        <f t="shared" si="90"/>
        <v>0</v>
      </c>
      <c r="G323" s="10">
        <f t="shared" si="91"/>
        <v>0</v>
      </c>
      <c r="H323" s="10">
        <f t="shared" si="74"/>
        <v>0</v>
      </c>
      <c r="I323" s="10">
        <f t="shared" si="75"/>
        <v>1</v>
      </c>
      <c r="J323" s="10">
        <f t="shared" si="76"/>
        <v>0</v>
      </c>
      <c r="K323" s="10">
        <f t="shared" si="77"/>
        <v>0</v>
      </c>
      <c r="L323" s="10">
        <f t="shared" si="78"/>
        <v>0</v>
      </c>
      <c r="M323" s="10">
        <f t="shared" si="79"/>
        <v>0</v>
      </c>
      <c r="N323" s="10">
        <f t="shared" si="80"/>
        <v>0</v>
      </c>
      <c r="O323" s="10">
        <f t="shared" si="81"/>
        <v>0</v>
      </c>
      <c r="P323" s="10">
        <f t="shared" si="82"/>
        <v>0</v>
      </c>
      <c r="Q323" s="10">
        <f t="shared" si="83"/>
        <v>0</v>
      </c>
      <c r="R323" s="10">
        <f t="shared" si="84"/>
        <v>0</v>
      </c>
      <c r="S323" s="10">
        <f t="shared" si="85"/>
        <v>0</v>
      </c>
      <c r="T323" s="10">
        <f t="shared" si="86"/>
        <v>0</v>
      </c>
      <c r="U323" s="10">
        <f t="shared" si="87"/>
        <v>0</v>
      </c>
      <c r="V323" s="10">
        <f t="shared" si="88"/>
        <v>0</v>
      </c>
    </row>
    <row r="324" spans="1:22" x14ac:dyDescent="0.2">
      <c r="A324" s="32">
        <v>14</v>
      </c>
      <c r="B324" s="33">
        <v>0.29166666666666702</v>
      </c>
      <c r="C324" s="32">
        <f>'1100z'!E23</f>
        <v>8</v>
      </c>
      <c r="D324" s="32">
        <f>'1100z'!F23</f>
        <v>5</v>
      </c>
      <c r="E324" s="32">
        <f t="shared" si="89"/>
        <v>80</v>
      </c>
      <c r="F324" s="10">
        <f t="shared" si="90"/>
        <v>0</v>
      </c>
      <c r="G324" s="10">
        <f t="shared" si="91"/>
        <v>0</v>
      </c>
      <c r="H324" s="10">
        <f t="shared" si="74"/>
        <v>0</v>
      </c>
      <c r="I324" s="10">
        <f t="shared" si="75"/>
        <v>0</v>
      </c>
      <c r="J324" s="10">
        <f t="shared" si="76"/>
        <v>1</v>
      </c>
      <c r="K324" s="10">
        <f t="shared" si="77"/>
        <v>0</v>
      </c>
      <c r="L324" s="10">
        <f t="shared" si="78"/>
        <v>0</v>
      </c>
      <c r="M324" s="10">
        <f t="shared" si="79"/>
        <v>0</v>
      </c>
      <c r="N324" s="10">
        <f t="shared" si="80"/>
        <v>0</v>
      </c>
      <c r="O324" s="10">
        <f t="shared" si="81"/>
        <v>0</v>
      </c>
      <c r="P324" s="10">
        <f t="shared" si="82"/>
        <v>0</v>
      </c>
      <c r="Q324" s="10">
        <f t="shared" si="83"/>
        <v>0</v>
      </c>
      <c r="R324" s="10">
        <f t="shared" si="84"/>
        <v>0</v>
      </c>
      <c r="S324" s="10">
        <f t="shared" si="85"/>
        <v>0</v>
      </c>
      <c r="T324" s="10">
        <f t="shared" si="86"/>
        <v>0</v>
      </c>
      <c r="U324" s="10">
        <f t="shared" si="87"/>
        <v>0</v>
      </c>
      <c r="V324" s="10">
        <f t="shared" si="88"/>
        <v>0</v>
      </c>
    </row>
    <row r="325" spans="1:22" x14ac:dyDescent="0.2">
      <c r="A325" s="32">
        <v>14</v>
      </c>
      <c r="B325" s="33">
        <v>0.33333333333333298</v>
      </c>
      <c r="C325" s="32">
        <f>'1200z'!E23</f>
        <v>8</v>
      </c>
      <c r="D325" s="32">
        <f>'1200z'!F23</f>
        <v>5</v>
      </c>
      <c r="E325" s="32">
        <f t="shared" si="89"/>
        <v>80</v>
      </c>
      <c r="F325" s="10">
        <f t="shared" si="90"/>
        <v>0</v>
      </c>
      <c r="G325" s="10">
        <f t="shared" si="91"/>
        <v>0</v>
      </c>
      <c r="H325" s="10">
        <f t="shared" si="74"/>
        <v>0</v>
      </c>
      <c r="I325" s="10">
        <f t="shared" si="75"/>
        <v>0</v>
      </c>
      <c r="J325" s="10">
        <f t="shared" si="76"/>
        <v>1</v>
      </c>
      <c r="K325" s="10">
        <f t="shared" si="77"/>
        <v>0</v>
      </c>
      <c r="L325" s="10">
        <f t="shared" si="78"/>
        <v>0</v>
      </c>
      <c r="M325" s="10">
        <f t="shared" si="79"/>
        <v>0</v>
      </c>
      <c r="N325" s="10">
        <f t="shared" si="80"/>
        <v>0</v>
      </c>
      <c r="O325" s="10">
        <f t="shared" si="81"/>
        <v>0</v>
      </c>
      <c r="P325" s="10">
        <f t="shared" si="82"/>
        <v>0</v>
      </c>
      <c r="Q325" s="10">
        <f t="shared" si="83"/>
        <v>0</v>
      </c>
      <c r="R325" s="10">
        <f t="shared" si="84"/>
        <v>0</v>
      </c>
      <c r="S325" s="10">
        <f t="shared" si="85"/>
        <v>0</v>
      </c>
      <c r="T325" s="10">
        <f t="shared" si="86"/>
        <v>0</v>
      </c>
      <c r="U325" s="10">
        <f t="shared" si="87"/>
        <v>0</v>
      </c>
      <c r="V325" s="10">
        <f t="shared" si="88"/>
        <v>0</v>
      </c>
    </row>
    <row r="326" spans="1:22" x14ac:dyDescent="0.2">
      <c r="A326" s="32">
        <v>14</v>
      </c>
      <c r="B326" s="33">
        <v>0.375</v>
      </c>
      <c r="C326" s="32">
        <f>'1300z'!E23</f>
        <v>9</v>
      </c>
      <c r="D326" s="32">
        <f>'1300z'!F23</f>
        <v>11</v>
      </c>
      <c r="E326" s="32">
        <f t="shared" si="89"/>
        <v>90</v>
      </c>
      <c r="F326" s="10">
        <f t="shared" si="90"/>
        <v>0</v>
      </c>
      <c r="G326" s="10">
        <f t="shared" si="91"/>
        <v>0</v>
      </c>
      <c r="H326" s="10">
        <f t="shared" ref="H326:H389" si="92">IF(E326&gt;33.75,IF(E326&lt;=56.25,1,0),0)</f>
        <v>0</v>
      </c>
      <c r="I326" s="10">
        <f t="shared" ref="I326:I389" si="93">IF(E326&gt;56.25,IF(E326&lt;=78.75,1,0),0)</f>
        <v>0</v>
      </c>
      <c r="J326" s="10">
        <f t="shared" ref="J326:J389" si="94">IF(E326&gt;78.75,IF(E326&lt;=101.25,1,0),0)</f>
        <v>1</v>
      </c>
      <c r="K326" s="10">
        <f t="shared" ref="K326:K389" si="95">IF(E326&gt;101.25,IF(E326&lt;=123.75,1,0),0)</f>
        <v>0</v>
      </c>
      <c r="L326" s="10">
        <f t="shared" ref="L326:L389" si="96">IF(E326&gt;123.75,IF(E326&lt;=146.25,1,0),0)</f>
        <v>0</v>
      </c>
      <c r="M326" s="10">
        <f t="shared" ref="M326:M389" si="97">IF(E326&gt;146.25,IF(E326&lt;=168.75,1,0),0)</f>
        <v>0</v>
      </c>
      <c r="N326" s="10">
        <f t="shared" ref="N326:N389" si="98">IF(E326&gt;168.75,IF(E326&lt;=191.25,1,0),0)</f>
        <v>0</v>
      </c>
      <c r="O326" s="10">
        <f t="shared" ref="O326:O389" si="99">IF(E326&gt;191.25,IF(E326&lt;=213.75,1,0),0)</f>
        <v>0</v>
      </c>
      <c r="P326" s="10">
        <f t="shared" ref="P326:P389" si="100">IF(E326&gt;213.75,IF(E326&lt;=236.25,1,0),0)</f>
        <v>0</v>
      </c>
      <c r="Q326" s="10">
        <f t="shared" ref="Q326:Q389" si="101">IF(E326&gt;236.25,IF(E326&lt;=258.75,1,0),0)</f>
        <v>0</v>
      </c>
      <c r="R326" s="10">
        <f t="shared" ref="R326:R389" si="102">IF(E326&gt;258.75,IF(E326&lt;=281.25,1,0),0)</f>
        <v>0</v>
      </c>
      <c r="S326" s="10">
        <f t="shared" ref="S326:S389" si="103">IF(E326&gt;281.25,IF(E326&lt;=303.75,1,0),0)</f>
        <v>0</v>
      </c>
      <c r="T326" s="10">
        <f t="shared" ref="T326:T389" si="104">IF(E326&gt;303.75,IF(E326&lt;=326.25,1,0),0)</f>
        <v>0</v>
      </c>
      <c r="U326" s="10">
        <f t="shared" ref="U326:U389" si="105">IF(E326&gt;326.25,IF(E326&lt;=348.75,1,0),0)</f>
        <v>0</v>
      </c>
      <c r="V326" s="10">
        <f t="shared" ref="V326:V389" si="106">IF(E326&gt;348.75,IF(E326&lt;=360,1,0),0)</f>
        <v>0</v>
      </c>
    </row>
    <row r="327" spans="1:22" x14ac:dyDescent="0.2">
      <c r="A327" s="32">
        <v>14</v>
      </c>
      <c r="B327" s="33">
        <v>0.41666666666666702</v>
      </c>
      <c r="C327" s="32">
        <f>'1400z'!E23</f>
        <v>3</v>
      </c>
      <c r="D327" s="32">
        <f>'1400z'!F23</f>
        <v>7</v>
      </c>
      <c r="E327" s="32">
        <f t="shared" ref="E327:E390" si="107">(C327*10)</f>
        <v>30</v>
      </c>
      <c r="F327" s="10">
        <f t="shared" ref="F327:F390" si="108">IF(E327&gt;0,IF(E327&lt;=11.25,1,0),0)</f>
        <v>0</v>
      </c>
      <c r="G327" s="10">
        <f t="shared" ref="G327:G390" si="109">IF(E327&gt;11.25,IF(E327&lt;=33.75,1,0),0)</f>
        <v>1</v>
      </c>
      <c r="H327" s="10">
        <f t="shared" si="92"/>
        <v>0</v>
      </c>
      <c r="I327" s="10">
        <f t="shared" si="93"/>
        <v>0</v>
      </c>
      <c r="J327" s="10">
        <f t="shared" si="94"/>
        <v>0</v>
      </c>
      <c r="K327" s="10">
        <f t="shared" si="95"/>
        <v>0</v>
      </c>
      <c r="L327" s="10">
        <f t="shared" si="96"/>
        <v>0</v>
      </c>
      <c r="M327" s="10">
        <f t="shared" si="97"/>
        <v>0</v>
      </c>
      <c r="N327" s="10">
        <f t="shared" si="98"/>
        <v>0</v>
      </c>
      <c r="O327" s="10">
        <f t="shared" si="99"/>
        <v>0</v>
      </c>
      <c r="P327" s="10">
        <f t="shared" si="100"/>
        <v>0</v>
      </c>
      <c r="Q327" s="10">
        <f t="shared" si="101"/>
        <v>0</v>
      </c>
      <c r="R327" s="10">
        <f t="shared" si="102"/>
        <v>0</v>
      </c>
      <c r="S327" s="10">
        <f t="shared" si="103"/>
        <v>0</v>
      </c>
      <c r="T327" s="10">
        <f t="shared" si="104"/>
        <v>0</v>
      </c>
      <c r="U327" s="10">
        <f t="shared" si="105"/>
        <v>0</v>
      </c>
      <c r="V327" s="10">
        <f t="shared" si="106"/>
        <v>0</v>
      </c>
    </row>
    <row r="328" spans="1:22" x14ac:dyDescent="0.2">
      <c r="A328" s="32">
        <v>14</v>
      </c>
      <c r="B328" s="33">
        <v>0.45833333333333298</v>
      </c>
      <c r="C328" s="32">
        <f>'1500z'!E23</f>
        <v>31</v>
      </c>
      <c r="D328" s="32">
        <f>'1500z'!F23</f>
        <v>5</v>
      </c>
      <c r="E328" s="32">
        <f t="shared" si="107"/>
        <v>310</v>
      </c>
      <c r="F328" s="10">
        <f t="shared" si="108"/>
        <v>0</v>
      </c>
      <c r="G328" s="10">
        <f t="shared" si="109"/>
        <v>0</v>
      </c>
      <c r="H328" s="10">
        <f t="shared" si="92"/>
        <v>0</v>
      </c>
      <c r="I328" s="10">
        <f t="shared" si="93"/>
        <v>0</v>
      </c>
      <c r="J328" s="10">
        <f t="shared" si="94"/>
        <v>0</v>
      </c>
      <c r="K328" s="10">
        <f t="shared" si="95"/>
        <v>0</v>
      </c>
      <c r="L328" s="10">
        <f t="shared" si="96"/>
        <v>0</v>
      </c>
      <c r="M328" s="10">
        <f t="shared" si="97"/>
        <v>0</v>
      </c>
      <c r="N328" s="10">
        <f t="shared" si="98"/>
        <v>0</v>
      </c>
      <c r="O328" s="10">
        <f t="shared" si="99"/>
        <v>0</v>
      </c>
      <c r="P328" s="10">
        <f t="shared" si="100"/>
        <v>0</v>
      </c>
      <c r="Q328" s="10">
        <f t="shared" si="101"/>
        <v>0</v>
      </c>
      <c r="R328" s="10">
        <f t="shared" si="102"/>
        <v>0</v>
      </c>
      <c r="S328" s="10">
        <f t="shared" si="103"/>
        <v>0</v>
      </c>
      <c r="T328" s="10">
        <f t="shared" si="104"/>
        <v>1</v>
      </c>
      <c r="U328" s="10">
        <f t="shared" si="105"/>
        <v>0</v>
      </c>
      <c r="V328" s="10">
        <f t="shared" si="106"/>
        <v>0</v>
      </c>
    </row>
    <row r="329" spans="1:22" x14ac:dyDescent="0.2">
      <c r="A329" s="32">
        <v>14</v>
      </c>
      <c r="B329" s="33">
        <v>0.5</v>
      </c>
      <c r="C329" s="32">
        <f>'1600z'!E23</f>
        <v>99</v>
      </c>
      <c r="D329" s="32">
        <f>'1600z'!F23</f>
        <v>5</v>
      </c>
      <c r="E329" s="32">
        <f t="shared" si="107"/>
        <v>990</v>
      </c>
      <c r="F329" s="10">
        <f t="shared" si="108"/>
        <v>0</v>
      </c>
      <c r="G329" s="10">
        <f t="shared" si="109"/>
        <v>0</v>
      </c>
      <c r="H329" s="10">
        <f t="shared" si="92"/>
        <v>0</v>
      </c>
      <c r="I329" s="10">
        <f t="shared" si="93"/>
        <v>0</v>
      </c>
      <c r="J329" s="10">
        <f t="shared" si="94"/>
        <v>0</v>
      </c>
      <c r="K329" s="10">
        <f t="shared" si="95"/>
        <v>0</v>
      </c>
      <c r="L329" s="10">
        <f t="shared" si="96"/>
        <v>0</v>
      </c>
      <c r="M329" s="10">
        <f t="shared" si="97"/>
        <v>0</v>
      </c>
      <c r="N329" s="10">
        <f t="shared" si="98"/>
        <v>0</v>
      </c>
      <c r="O329" s="10">
        <f t="shared" si="99"/>
        <v>0</v>
      </c>
      <c r="P329" s="10">
        <f t="shared" si="100"/>
        <v>0</v>
      </c>
      <c r="Q329" s="10">
        <f t="shared" si="101"/>
        <v>0</v>
      </c>
      <c r="R329" s="10">
        <f t="shared" si="102"/>
        <v>0</v>
      </c>
      <c r="S329" s="10">
        <f t="shared" si="103"/>
        <v>0</v>
      </c>
      <c r="T329" s="10">
        <f t="shared" si="104"/>
        <v>0</v>
      </c>
      <c r="U329" s="10">
        <f t="shared" si="105"/>
        <v>0</v>
      </c>
      <c r="V329" s="10">
        <f t="shared" si="106"/>
        <v>0</v>
      </c>
    </row>
    <row r="330" spans="1:22" x14ac:dyDescent="0.2">
      <c r="A330" s="32">
        <v>14</v>
      </c>
      <c r="B330" s="33">
        <v>0.54166666666666696</v>
      </c>
      <c r="C330" s="32">
        <f>'1700z'!E23</f>
        <v>12</v>
      </c>
      <c r="D330" s="32">
        <f>'1700z'!F23</f>
        <v>13</v>
      </c>
      <c r="E330" s="32">
        <f t="shared" si="107"/>
        <v>120</v>
      </c>
      <c r="F330" s="10">
        <f t="shared" si="108"/>
        <v>0</v>
      </c>
      <c r="G330" s="10">
        <f t="shared" si="109"/>
        <v>0</v>
      </c>
      <c r="H330" s="10">
        <f t="shared" si="92"/>
        <v>0</v>
      </c>
      <c r="I330" s="10">
        <f t="shared" si="93"/>
        <v>0</v>
      </c>
      <c r="J330" s="10">
        <f t="shared" si="94"/>
        <v>0</v>
      </c>
      <c r="K330" s="10">
        <f t="shared" si="95"/>
        <v>1</v>
      </c>
      <c r="L330" s="10">
        <f t="shared" si="96"/>
        <v>0</v>
      </c>
      <c r="M330" s="10">
        <f t="shared" si="97"/>
        <v>0</v>
      </c>
      <c r="N330" s="10">
        <f t="shared" si="98"/>
        <v>0</v>
      </c>
      <c r="O330" s="10">
        <f t="shared" si="99"/>
        <v>0</v>
      </c>
      <c r="P330" s="10">
        <f t="shared" si="100"/>
        <v>0</v>
      </c>
      <c r="Q330" s="10">
        <f t="shared" si="101"/>
        <v>0</v>
      </c>
      <c r="R330" s="10">
        <f t="shared" si="102"/>
        <v>0</v>
      </c>
      <c r="S330" s="10">
        <f t="shared" si="103"/>
        <v>0</v>
      </c>
      <c r="T330" s="10">
        <f t="shared" si="104"/>
        <v>0</v>
      </c>
      <c r="U330" s="10">
        <f t="shared" si="105"/>
        <v>0</v>
      </c>
      <c r="V330" s="10">
        <f t="shared" si="106"/>
        <v>0</v>
      </c>
    </row>
    <row r="331" spans="1:22" x14ac:dyDescent="0.2">
      <c r="A331" s="32">
        <v>14</v>
      </c>
      <c r="B331" s="33">
        <v>0.58333333333333304</v>
      </c>
      <c r="C331" s="32">
        <f>'1800z'!E23</f>
        <v>99</v>
      </c>
      <c r="D331" s="32">
        <f>'1800z'!F23</f>
        <v>6</v>
      </c>
      <c r="E331" s="32">
        <f t="shared" si="107"/>
        <v>990</v>
      </c>
      <c r="F331" s="10">
        <f t="shared" si="108"/>
        <v>0</v>
      </c>
      <c r="G331" s="10">
        <f t="shared" si="109"/>
        <v>0</v>
      </c>
      <c r="H331" s="10">
        <f t="shared" si="92"/>
        <v>0</v>
      </c>
      <c r="I331" s="10">
        <f t="shared" si="93"/>
        <v>0</v>
      </c>
      <c r="J331" s="10">
        <f t="shared" si="94"/>
        <v>0</v>
      </c>
      <c r="K331" s="10">
        <f t="shared" si="95"/>
        <v>0</v>
      </c>
      <c r="L331" s="10">
        <f t="shared" si="96"/>
        <v>0</v>
      </c>
      <c r="M331" s="10">
        <f t="shared" si="97"/>
        <v>0</v>
      </c>
      <c r="N331" s="10">
        <f t="shared" si="98"/>
        <v>0</v>
      </c>
      <c r="O331" s="10">
        <f t="shared" si="99"/>
        <v>0</v>
      </c>
      <c r="P331" s="10">
        <f t="shared" si="100"/>
        <v>0</v>
      </c>
      <c r="Q331" s="10">
        <f t="shared" si="101"/>
        <v>0</v>
      </c>
      <c r="R331" s="10">
        <f t="shared" si="102"/>
        <v>0</v>
      </c>
      <c r="S331" s="10">
        <f t="shared" si="103"/>
        <v>0</v>
      </c>
      <c r="T331" s="10">
        <f t="shared" si="104"/>
        <v>0</v>
      </c>
      <c r="U331" s="10">
        <f t="shared" si="105"/>
        <v>0</v>
      </c>
      <c r="V331" s="10">
        <f t="shared" si="106"/>
        <v>0</v>
      </c>
    </row>
    <row r="332" spans="1:22" x14ac:dyDescent="0.2">
      <c r="A332" s="32">
        <v>14</v>
      </c>
      <c r="B332" s="33">
        <v>0.625</v>
      </c>
      <c r="C332" s="32">
        <f>'1900z'!E23</f>
        <v>10</v>
      </c>
      <c r="D332" s="32">
        <f>'1900z'!F23</f>
        <v>14</v>
      </c>
      <c r="E332" s="32">
        <f t="shared" si="107"/>
        <v>100</v>
      </c>
      <c r="F332" s="10">
        <f t="shared" si="108"/>
        <v>0</v>
      </c>
      <c r="G332" s="10">
        <f t="shared" si="109"/>
        <v>0</v>
      </c>
      <c r="H332" s="10">
        <f t="shared" si="92"/>
        <v>0</v>
      </c>
      <c r="I332" s="10">
        <f t="shared" si="93"/>
        <v>0</v>
      </c>
      <c r="J332" s="10">
        <f t="shared" si="94"/>
        <v>1</v>
      </c>
      <c r="K332" s="10">
        <f t="shared" si="95"/>
        <v>0</v>
      </c>
      <c r="L332" s="10">
        <f t="shared" si="96"/>
        <v>0</v>
      </c>
      <c r="M332" s="10">
        <f t="shared" si="97"/>
        <v>0</v>
      </c>
      <c r="N332" s="10">
        <f t="shared" si="98"/>
        <v>0</v>
      </c>
      <c r="O332" s="10">
        <f t="shared" si="99"/>
        <v>0</v>
      </c>
      <c r="P332" s="10">
        <f t="shared" si="100"/>
        <v>0</v>
      </c>
      <c r="Q332" s="10">
        <f t="shared" si="101"/>
        <v>0</v>
      </c>
      <c r="R332" s="10">
        <f t="shared" si="102"/>
        <v>0</v>
      </c>
      <c r="S332" s="10">
        <f t="shared" si="103"/>
        <v>0</v>
      </c>
      <c r="T332" s="10">
        <f t="shared" si="104"/>
        <v>0</v>
      </c>
      <c r="U332" s="10">
        <f t="shared" si="105"/>
        <v>0</v>
      </c>
      <c r="V332" s="10">
        <f t="shared" si="106"/>
        <v>0</v>
      </c>
    </row>
    <row r="333" spans="1:22" x14ac:dyDescent="0.2">
      <c r="A333" s="32">
        <v>14</v>
      </c>
      <c r="B333" s="33">
        <v>0.66666666666666696</v>
      </c>
      <c r="C333" s="32">
        <f>'2000z'!E23</f>
        <v>11</v>
      </c>
      <c r="D333" s="32">
        <f>'2000z'!F23</f>
        <v>12</v>
      </c>
      <c r="E333" s="32">
        <f t="shared" si="107"/>
        <v>110</v>
      </c>
      <c r="F333" s="10">
        <f t="shared" si="108"/>
        <v>0</v>
      </c>
      <c r="G333" s="10">
        <f t="shared" si="109"/>
        <v>0</v>
      </c>
      <c r="H333" s="10">
        <f t="shared" si="92"/>
        <v>0</v>
      </c>
      <c r="I333" s="10">
        <f t="shared" si="93"/>
        <v>0</v>
      </c>
      <c r="J333" s="10">
        <f t="shared" si="94"/>
        <v>0</v>
      </c>
      <c r="K333" s="10">
        <f t="shared" si="95"/>
        <v>1</v>
      </c>
      <c r="L333" s="10">
        <f t="shared" si="96"/>
        <v>0</v>
      </c>
      <c r="M333" s="10">
        <f t="shared" si="97"/>
        <v>0</v>
      </c>
      <c r="N333" s="10">
        <f t="shared" si="98"/>
        <v>0</v>
      </c>
      <c r="O333" s="10">
        <f t="shared" si="99"/>
        <v>0</v>
      </c>
      <c r="P333" s="10">
        <f t="shared" si="100"/>
        <v>0</v>
      </c>
      <c r="Q333" s="10">
        <f t="shared" si="101"/>
        <v>0</v>
      </c>
      <c r="R333" s="10">
        <f t="shared" si="102"/>
        <v>0</v>
      </c>
      <c r="S333" s="10">
        <f t="shared" si="103"/>
        <v>0</v>
      </c>
      <c r="T333" s="10">
        <f t="shared" si="104"/>
        <v>0</v>
      </c>
      <c r="U333" s="10">
        <f t="shared" si="105"/>
        <v>0</v>
      </c>
      <c r="V333" s="10">
        <f t="shared" si="106"/>
        <v>0</v>
      </c>
    </row>
    <row r="334" spans="1:22" x14ac:dyDescent="0.2">
      <c r="A334" s="32">
        <v>14</v>
      </c>
      <c r="B334" s="33">
        <v>0.70833333333333304</v>
      </c>
      <c r="C334" s="32">
        <f>'2100z'!E23</f>
        <v>9</v>
      </c>
      <c r="D334" s="32">
        <f>'2100z'!F23</f>
        <v>12</v>
      </c>
      <c r="E334" s="32">
        <f t="shared" si="107"/>
        <v>90</v>
      </c>
      <c r="F334" s="10">
        <f t="shared" si="108"/>
        <v>0</v>
      </c>
      <c r="G334" s="10">
        <f t="shared" si="109"/>
        <v>0</v>
      </c>
      <c r="H334" s="10">
        <f t="shared" si="92"/>
        <v>0</v>
      </c>
      <c r="I334" s="10">
        <f t="shared" si="93"/>
        <v>0</v>
      </c>
      <c r="J334" s="10">
        <f t="shared" si="94"/>
        <v>1</v>
      </c>
      <c r="K334" s="10">
        <f t="shared" si="95"/>
        <v>0</v>
      </c>
      <c r="L334" s="10">
        <f t="shared" si="96"/>
        <v>0</v>
      </c>
      <c r="M334" s="10">
        <f t="shared" si="97"/>
        <v>0</v>
      </c>
      <c r="N334" s="10">
        <f t="shared" si="98"/>
        <v>0</v>
      </c>
      <c r="O334" s="10">
        <f t="shared" si="99"/>
        <v>0</v>
      </c>
      <c r="P334" s="10">
        <f t="shared" si="100"/>
        <v>0</v>
      </c>
      <c r="Q334" s="10">
        <f t="shared" si="101"/>
        <v>0</v>
      </c>
      <c r="R334" s="10">
        <f t="shared" si="102"/>
        <v>0</v>
      </c>
      <c r="S334" s="10">
        <f t="shared" si="103"/>
        <v>0</v>
      </c>
      <c r="T334" s="10">
        <f t="shared" si="104"/>
        <v>0</v>
      </c>
      <c r="U334" s="10">
        <f t="shared" si="105"/>
        <v>0</v>
      </c>
      <c r="V334" s="10">
        <f t="shared" si="106"/>
        <v>0</v>
      </c>
    </row>
    <row r="335" spans="1:22" x14ac:dyDescent="0.2">
      <c r="A335" s="32">
        <v>14</v>
      </c>
      <c r="B335" s="33">
        <v>0.75</v>
      </c>
      <c r="C335" s="32">
        <f>'2200z'!E23</f>
        <v>7</v>
      </c>
      <c r="D335" s="32">
        <f>'2200z'!F23</f>
        <v>12</v>
      </c>
      <c r="E335" s="32">
        <f t="shared" si="107"/>
        <v>70</v>
      </c>
      <c r="F335" s="10">
        <f t="shared" si="108"/>
        <v>0</v>
      </c>
      <c r="G335" s="10">
        <f t="shared" si="109"/>
        <v>0</v>
      </c>
      <c r="H335" s="10">
        <f t="shared" si="92"/>
        <v>0</v>
      </c>
      <c r="I335" s="10">
        <f t="shared" si="93"/>
        <v>1</v>
      </c>
      <c r="J335" s="10">
        <f t="shared" si="94"/>
        <v>0</v>
      </c>
      <c r="K335" s="10">
        <f t="shared" si="95"/>
        <v>0</v>
      </c>
      <c r="L335" s="10">
        <f t="shared" si="96"/>
        <v>0</v>
      </c>
      <c r="M335" s="10">
        <f t="shared" si="97"/>
        <v>0</v>
      </c>
      <c r="N335" s="10">
        <f t="shared" si="98"/>
        <v>0</v>
      </c>
      <c r="O335" s="10">
        <f t="shared" si="99"/>
        <v>0</v>
      </c>
      <c r="P335" s="10">
        <f t="shared" si="100"/>
        <v>0</v>
      </c>
      <c r="Q335" s="10">
        <f t="shared" si="101"/>
        <v>0</v>
      </c>
      <c r="R335" s="10">
        <f t="shared" si="102"/>
        <v>0</v>
      </c>
      <c r="S335" s="10">
        <f t="shared" si="103"/>
        <v>0</v>
      </c>
      <c r="T335" s="10">
        <f t="shared" si="104"/>
        <v>0</v>
      </c>
      <c r="U335" s="10">
        <f t="shared" si="105"/>
        <v>0</v>
      </c>
      <c r="V335" s="10">
        <f t="shared" si="106"/>
        <v>0</v>
      </c>
    </row>
    <row r="336" spans="1:22" x14ac:dyDescent="0.2">
      <c r="A336" s="32">
        <v>14</v>
      </c>
      <c r="B336" s="33">
        <v>0.79166666666666696</v>
      </c>
      <c r="C336" s="32">
        <f>'2300z'!E23</f>
        <v>6</v>
      </c>
      <c r="D336" s="32">
        <f>'2300z'!F23</f>
        <v>10</v>
      </c>
      <c r="E336" s="32">
        <f t="shared" si="107"/>
        <v>60</v>
      </c>
      <c r="F336" s="10">
        <f t="shared" si="108"/>
        <v>0</v>
      </c>
      <c r="G336" s="10">
        <f t="shared" si="109"/>
        <v>0</v>
      </c>
      <c r="H336" s="10">
        <f t="shared" si="92"/>
        <v>0</v>
      </c>
      <c r="I336" s="10">
        <f t="shared" si="93"/>
        <v>1</v>
      </c>
      <c r="J336" s="10">
        <f t="shared" si="94"/>
        <v>0</v>
      </c>
      <c r="K336" s="10">
        <f t="shared" si="95"/>
        <v>0</v>
      </c>
      <c r="L336" s="10">
        <f t="shared" si="96"/>
        <v>0</v>
      </c>
      <c r="M336" s="10">
        <f t="shared" si="97"/>
        <v>0</v>
      </c>
      <c r="N336" s="10">
        <f t="shared" si="98"/>
        <v>0</v>
      </c>
      <c r="O336" s="10">
        <f t="shared" si="99"/>
        <v>0</v>
      </c>
      <c r="P336" s="10">
        <f t="shared" si="100"/>
        <v>0</v>
      </c>
      <c r="Q336" s="10">
        <f t="shared" si="101"/>
        <v>0</v>
      </c>
      <c r="R336" s="10">
        <f t="shared" si="102"/>
        <v>0</v>
      </c>
      <c r="S336" s="10">
        <f t="shared" si="103"/>
        <v>0</v>
      </c>
      <c r="T336" s="10">
        <f t="shared" si="104"/>
        <v>0</v>
      </c>
      <c r="U336" s="10">
        <f t="shared" si="105"/>
        <v>0</v>
      </c>
      <c r="V336" s="10">
        <f t="shared" si="106"/>
        <v>0</v>
      </c>
    </row>
    <row r="337" spans="1:22" x14ac:dyDescent="0.2">
      <c r="A337" s="32">
        <v>14</v>
      </c>
      <c r="B337" s="33">
        <v>0.83333333333333304</v>
      </c>
      <c r="C337" s="32">
        <f>'0000z'!E23</f>
        <v>9</v>
      </c>
      <c r="D337" s="32">
        <f>'0000z'!F23</f>
        <v>5</v>
      </c>
      <c r="E337" s="32">
        <f t="shared" si="107"/>
        <v>90</v>
      </c>
      <c r="F337" s="10">
        <f t="shared" si="108"/>
        <v>0</v>
      </c>
      <c r="G337" s="10">
        <f t="shared" si="109"/>
        <v>0</v>
      </c>
      <c r="H337" s="10">
        <f t="shared" si="92"/>
        <v>0</v>
      </c>
      <c r="I337" s="10">
        <f t="shared" si="93"/>
        <v>0</v>
      </c>
      <c r="J337" s="10">
        <f t="shared" si="94"/>
        <v>1</v>
      </c>
      <c r="K337" s="10">
        <f t="shared" si="95"/>
        <v>0</v>
      </c>
      <c r="L337" s="10">
        <f t="shared" si="96"/>
        <v>0</v>
      </c>
      <c r="M337" s="10">
        <f t="shared" si="97"/>
        <v>0</v>
      </c>
      <c r="N337" s="10">
        <f t="shared" si="98"/>
        <v>0</v>
      </c>
      <c r="O337" s="10">
        <f t="shared" si="99"/>
        <v>0</v>
      </c>
      <c r="P337" s="10">
        <f t="shared" si="100"/>
        <v>0</v>
      </c>
      <c r="Q337" s="10">
        <f t="shared" si="101"/>
        <v>0</v>
      </c>
      <c r="R337" s="10">
        <f t="shared" si="102"/>
        <v>0</v>
      </c>
      <c r="S337" s="10">
        <f t="shared" si="103"/>
        <v>0</v>
      </c>
      <c r="T337" s="10">
        <f t="shared" si="104"/>
        <v>0</v>
      </c>
      <c r="U337" s="10">
        <f t="shared" si="105"/>
        <v>0</v>
      </c>
      <c r="V337" s="10">
        <f t="shared" si="106"/>
        <v>0</v>
      </c>
    </row>
    <row r="338" spans="1:22" x14ac:dyDescent="0.2">
      <c r="A338" s="32">
        <v>14</v>
      </c>
      <c r="B338" s="33">
        <v>0.875</v>
      </c>
      <c r="C338" s="32">
        <f>'0100z'!E23</f>
        <v>7</v>
      </c>
      <c r="D338" s="32">
        <f>'0100z'!F23</f>
        <v>6</v>
      </c>
      <c r="E338" s="32">
        <f t="shared" si="107"/>
        <v>70</v>
      </c>
      <c r="F338" s="10">
        <f t="shared" si="108"/>
        <v>0</v>
      </c>
      <c r="G338" s="10">
        <f t="shared" si="109"/>
        <v>0</v>
      </c>
      <c r="H338" s="10">
        <f t="shared" si="92"/>
        <v>0</v>
      </c>
      <c r="I338" s="10">
        <f t="shared" si="93"/>
        <v>1</v>
      </c>
      <c r="J338" s="10">
        <f t="shared" si="94"/>
        <v>0</v>
      </c>
      <c r="K338" s="10">
        <f t="shared" si="95"/>
        <v>0</v>
      </c>
      <c r="L338" s="10">
        <f t="shared" si="96"/>
        <v>0</v>
      </c>
      <c r="M338" s="10">
        <f t="shared" si="97"/>
        <v>0</v>
      </c>
      <c r="N338" s="10">
        <f t="shared" si="98"/>
        <v>0</v>
      </c>
      <c r="O338" s="10">
        <f t="shared" si="99"/>
        <v>0</v>
      </c>
      <c r="P338" s="10">
        <f t="shared" si="100"/>
        <v>0</v>
      </c>
      <c r="Q338" s="10">
        <f t="shared" si="101"/>
        <v>0</v>
      </c>
      <c r="R338" s="10">
        <f t="shared" si="102"/>
        <v>0</v>
      </c>
      <c r="S338" s="10">
        <f t="shared" si="103"/>
        <v>0</v>
      </c>
      <c r="T338" s="10">
        <f t="shared" si="104"/>
        <v>0</v>
      </c>
      <c r="U338" s="10">
        <f t="shared" si="105"/>
        <v>0</v>
      </c>
      <c r="V338" s="10">
        <f t="shared" si="106"/>
        <v>0</v>
      </c>
    </row>
    <row r="339" spans="1:22" x14ac:dyDescent="0.2">
      <c r="A339" s="32">
        <v>14</v>
      </c>
      <c r="B339" s="33">
        <v>0.91666666666666696</v>
      </c>
      <c r="C339" s="32">
        <f>'0200z'!E23</f>
        <v>8</v>
      </c>
      <c r="D339" s="32">
        <f>'0200z'!F23</f>
        <v>5</v>
      </c>
      <c r="E339" s="32">
        <f t="shared" si="107"/>
        <v>80</v>
      </c>
      <c r="F339" s="10">
        <f t="shared" si="108"/>
        <v>0</v>
      </c>
      <c r="G339" s="10">
        <f t="shared" si="109"/>
        <v>0</v>
      </c>
      <c r="H339" s="10">
        <f t="shared" si="92"/>
        <v>0</v>
      </c>
      <c r="I339" s="10">
        <f t="shared" si="93"/>
        <v>0</v>
      </c>
      <c r="J339" s="10">
        <f t="shared" si="94"/>
        <v>1</v>
      </c>
      <c r="K339" s="10">
        <f t="shared" si="95"/>
        <v>0</v>
      </c>
      <c r="L339" s="10">
        <f t="shared" si="96"/>
        <v>0</v>
      </c>
      <c r="M339" s="10">
        <f t="shared" si="97"/>
        <v>0</v>
      </c>
      <c r="N339" s="10">
        <f t="shared" si="98"/>
        <v>0</v>
      </c>
      <c r="O339" s="10">
        <f t="shared" si="99"/>
        <v>0</v>
      </c>
      <c r="P339" s="10">
        <f t="shared" si="100"/>
        <v>0</v>
      </c>
      <c r="Q339" s="10">
        <f t="shared" si="101"/>
        <v>0</v>
      </c>
      <c r="R339" s="10">
        <f t="shared" si="102"/>
        <v>0</v>
      </c>
      <c r="S339" s="10">
        <f t="shared" si="103"/>
        <v>0</v>
      </c>
      <c r="T339" s="10">
        <f t="shared" si="104"/>
        <v>0</v>
      </c>
      <c r="U339" s="10">
        <f t="shared" si="105"/>
        <v>0</v>
      </c>
      <c r="V339" s="10">
        <f t="shared" si="106"/>
        <v>0</v>
      </c>
    </row>
    <row r="340" spans="1:22" x14ac:dyDescent="0.2">
      <c r="A340" s="32">
        <v>14</v>
      </c>
      <c r="B340" s="33">
        <v>0.95833333333333304</v>
      </c>
      <c r="C340" s="32">
        <f>'0300z'!E23</f>
        <v>0</v>
      </c>
      <c r="D340" s="32">
        <f>'0300z'!F23</f>
        <v>0</v>
      </c>
      <c r="E340" s="32">
        <f t="shared" si="107"/>
        <v>0</v>
      </c>
      <c r="F340" s="10">
        <f t="shared" si="108"/>
        <v>0</v>
      </c>
      <c r="G340" s="10">
        <f t="shared" si="109"/>
        <v>0</v>
      </c>
      <c r="H340" s="10">
        <f t="shared" si="92"/>
        <v>0</v>
      </c>
      <c r="I340" s="10">
        <f t="shared" si="93"/>
        <v>0</v>
      </c>
      <c r="J340" s="10">
        <f t="shared" si="94"/>
        <v>0</v>
      </c>
      <c r="K340" s="10">
        <f t="shared" si="95"/>
        <v>0</v>
      </c>
      <c r="L340" s="10">
        <f t="shared" si="96"/>
        <v>0</v>
      </c>
      <c r="M340" s="10">
        <f t="shared" si="97"/>
        <v>0</v>
      </c>
      <c r="N340" s="10">
        <f t="shared" si="98"/>
        <v>0</v>
      </c>
      <c r="O340" s="10">
        <f t="shared" si="99"/>
        <v>0</v>
      </c>
      <c r="P340" s="10">
        <f t="shared" si="100"/>
        <v>0</v>
      </c>
      <c r="Q340" s="10">
        <f t="shared" si="101"/>
        <v>0</v>
      </c>
      <c r="R340" s="10">
        <f t="shared" si="102"/>
        <v>0</v>
      </c>
      <c r="S340" s="10">
        <f t="shared" si="103"/>
        <v>0</v>
      </c>
      <c r="T340" s="10">
        <f t="shared" si="104"/>
        <v>0</v>
      </c>
      <c r="U340" s="10">
        <f t="shared" si="105"/>
        <v>0</v>
      </c>
      <c r="V340" s="10">
        <f t="shared" si="106"/>
        <v>0</v>
      </c>
    </row>
    <row r="341" spans="1:22" x14ac:dyDescent="0.2">
      <c r="A341" s="32">
        <v>15</v>
      </c>
      <c r="B341" s="33">
        <v>0</v>
      </c>
      <c r="C341" s="32">
        <f>'0400z'!E24</f>
        <v>8</v>
      </c>
      <c r="D341" s="32">
        <f>'0400z'!F24</f>
        <v>7</v>
      </c>
      <c r="E341" s="32">
        <f t="shared" si="107"/>
        <v>80</v>
      </c>
      <c r="F341" s="10">
        <f t="shared" si="108"/>
        <v>0</v>
      </c>
      <c r="G341" s="10">
        <f t="shared" si="109"/>
        <v>0</v>
      </c>
      <c r="H341" s="10">
        <f t="shared" si="92"/>
        <v>0</v>
      </c>
      <c r="I341" s="10">
        <f t="shared" si="93"/>
        <v>0</v>
      </c>
      <c r="J341" s="10">
        <f t="shared" si="94"/>
        <v>1</v>
      </c>
      <c r="K341" s="10">
        <f t="shared" si="95"/>
        <v>0</v>
      </c>
      <c r="L341" s="10">
        <f t="shared" si="96"/>
        <v>0</v>
      </c>
      <c r="M341" s="10">
        <f t="shared" si="97"/>
        <v>0</v>
      </c>
      <c r="N341" s="10">
        <f t="shared" si="98"/>
        <v>0</v>
      </c>
      <c r="O341" s="10">
        <f t="shared" si="99"/>
        <v>0</v>
      </c>
      <c r="P341" s="10">
        <f t="shared" si="100"/>
        <v>0</v>
      </c>
      <c r="Q341" s="10">
        <f t="shared" si="101"/>
        <v>0</v>
      </c>
      <c r="R341" s="10">
        <f t="shared" si="102"/>
        <v>0</v>
      </c>
      <c r="S341" s="10">
        <f t="shared" si="103"/>
        <v>0</v>
      </c>
      <c r="T341" s="10">
        <f t="shared" si="104"/>
        <v>0</v>
      </c>
      <c r="U341" s="10">
        <f t="shared" si="105"/>
        <v>0</v>
      </c>
      <c r="V341" s="10">
        <f t="shared" si="106"/>
        <v>0</v>
      </c>
    </row>
    <row r="342" spans="1:22" x14ac:dyDescent="0.2">
      <c r="A342" s="32">
        <v>15</v>
      </c>
      <c r="B342" s="33">
        <v>4.1666666666666664E-2</v>
      </c>
      <c r="C342" s="32">
        <f>'0500z'!E24</f>
        <v>0</v>
      </c>
      <c r="D342" s="32">
        <f>'0500z'!F24</f>
        <v>0</v>
      </c>
      <c r="E342" s="32">
        <f t="shared" si="107"/>
        <v>0</v>
      </c>
      <c r="F342" s="10">
        <f t="shared" si="108"/>
        <v>0</v>
      </c>
      <c r="G342" s="10">
        <f t="shared" si="109"/>
        <v>0</v>
      </c>
      <c r="H342" s="10">
        <f t="shared" si="92"/>
        <v>0</v>
      </c>
      <c r="I342" s="10">
        <f t="shared" si="93"/>
        <v>0</v>
      </c>
      <c r="J342" s="10">
        <f t="shared" si="94"/>
        <v>0</v>
      </c>
      <c r="K342" s="10">
        <f t="shared" si="95"/>
        <v>0</v>
      </c>
      <c r="L342" s="10">
        <f t="shared" si="96"/>
        <v>0</v>
      </c>
      <c r="M342" s="10">
        <f t="shared" si="97"/>
        <v>0</v>
      </c>
      <c r="N342" s="10">
        <f t="shared" si="98"/>
        <v>0</v>
      </c>
      <c r="O342" s="10">
        <f t="shared" si="99"/>
        <v>0</v>
      </c>
      <c r="P342" s="10">
        <f t="shared" si="100"/>
        <v>0</v>
      </c>
      <c r="Q342" s="10">
        <f t="shared" si="101"/>
        <v>0</v>
      </c>
      <c r="R342" s="10">
        <f t="shared" si="102"/>
        <v>0</v>
      </c>
      <c r="S342" s="10">
        <f t="shared" si="103"/>
        <v>0</v>
      </c>
      <c r="T342" s="10">
        <f t="shared" si="104"/>
        <v>0</v>
      </c>
      <c r="U342" s="10">
        <f t="shared" si="105"/>
        <v>0</v>
      </c>
      <c r="V342" s="10">
        <f t="shared" si="106"/>
        <v>0</v>
      </c>
    </row>
    <row r="343" spans="1:22" x14ac:dyDescent="0.2">
      <c r="A343" s="32">
        <v>15</v>
      </c>
      <c r="B343" s="33">
        <v>8.3333333333333329E-2</v>
      </c>
      <c r="C343" s="32">
        <f>'0600z'!E24</f>
        <v>0</v>
      </c>
      <c r="D343" s="32">
        <f>'0600z'!F24</f>
        <v>0</v>
      </c>
      <c r="E343" s="32">
        <f t="shared" si="107"/>
        <v>0</v>
      </c>
      <c r="F343" s="10">
        <f t="shared" si="108"/>
        <v>0</v>
      </c>
      <c r="G343" s="10">
        <f t="shared" si="109"/>
        <v>0</v>
      </c>
      <c r="H343" s="10">
        <f t="shared" si="92"/>
        <v>0</v>
      </c>
      <c r="I343" s="10">
        <f t="shared" si="93"/>
        <v>0</v>
      </c>
      <c r="J343" s="10">
        <f t="shared" si="94"/>
        <v>0</v>
      </c>
      <c r="K343" s="10">
        <f t="shared" si="95"/>
        <v>0</v>
      </c>
      <c r="L343" s="10">
        <f t="shared" si="96"/>
        <v>0</v>
      </c>
      <c r="M343" s="10">
        <f t="shared" si="97"/>
        <v>0</v>
      </c>
      <c r="N343" s="10">
        <f t="shared" si="98"/>
        <v>0</v>
      </c>
      <c r="O343" s="10">
        <f t="shared" si="99"/>
        <v>0</v>
      </c>
      <c r="P343" s="10">
        <f t="shared" si="100"/>
        <v>0</v>
      </c>
      <c r="Q343" s="10">
        <f t="shared" si="101"/>
        <v>0</v>
      </c>
      <c r="R343" s="10">
        <f t="shared" si="102"/>
        <v>0</v>
      </c>
      <c r="S343" s="10">
        <f t="shared" si="103"/>
        <v>0</v>
      </c>
      <c r="T343" s="10">
        <f t="shared" si="104"/>
        <v>0</v>
      </c>
      <c r="U343" s="10">
        <f t="shared" si="105"/>
        <v>0</v>
      </c>
      <c r="V343" s="10">
        <f t="shared" si="106"/>
        <v>0</v>
      </c>
    </row>
    <row r="344" spans="1:22" x14ac:dyDescent="0.2">
      <c r="A344" s="32">
        <v>15</v>
      </c>
      <c r="B344" s="33">
        <v>0.125</v>
      </c>
      <c r="C344" s="32">
        <f>'0700z'!E24</f>
        <v>6</v>
      </c>
      <c r="D344" s="32">
        <f>'0700z'!F24</f>
        <v>5</v>
      </c>
      <c r="E344" s="32">
        <f t="shared" si="107"/>
        <v>60</v>
      </c>
      <c r="F344" s="10">
        <f t="shared" si="108"/>
        <v>0</v>
      </c>
      <c r="G344" s="10">
        <f t="shared" si="109"/>
        <v>0</v>
      </c>
      <c r="H344" s="10">
        <f t="shared" si="92"/>
        <v>0</v>
      </c>
      <c r="I344" s="10">
        <f t="shared" si="93"/>
        <v>1</v>
      </c>
      <c r="J344" s="10">
        <f t="shared" si="94"/>
        <v>0</v>
      </c>
      <c r="K344" s="10">
        <f t="shared" si="95"/>
        <v>0</v>
      </c>
      <c r="L344" s="10">
        <f t="shared" si="96"/>
        <v>0</v>
      </c>
      <c r="M344" s="10">
        <f t="shared" si="97"/>
        <v>0</v>
      </c>
      <c r="N344" s="10">
        <f t="shared" si="98"/>
        <v>0</v>
      </c>
      <c r="O344" s="10">
        <f t="shared" si="99"/>
        <v>0</v>
      </c>
      <c r="P344" s="10">
        <f t="shared" si="100"/>
        <v>0</v>
      </c>
      <c r="Q344" s="10">
        <f t="shared" si="101"/>
        <v>0</v>
      </c>
      <c r="R344" s="10">
        <f t="shared" si="102"/>
        <v>0</v>
      </c>
      <c r="S344" s="10">
        <f t="shared" si="103"/>
        <v>0</v>
      </c>
      <c r="T344" s="10">
        <f t="shared" si="104"/>
        <v>0</v>
      </c>
      <c r="U344" s="10">
        <f t="shared" si="105"/>
        <v>0</v>
      </c>
      <c r="V344" s="10">
        <f t="shared" si="106"/>
        <v>0</v>
      </c>
    </row>
    <row r="345" spans="1:22" x14ac:dyDescent="0.2">
      <c r="A345" s="32">
        <v>15</v>
      </c>
      <c r="B345" s="33">
        <v>0.16666666666666699</v>
      </c>
      <c r="C345" s="32">
        <f>'0800z'!E24</f>
        <v>5</v>
      </c>
      <c r="D345" s="32">
        <f>'0800z'!F24</f>
        <v>3</v>
      </c>
      <c r="E345" s="32">
        <f t="shared" si="107"/>
        <v>50</v>
      </c>
      <c r="F345" s="10">
        <f t="shared" si="108"/>
        <v>0</v>
      </c>
      <c r="G345" s="10">
        <f t="shared" si="109"/>
        <v>0</v>
      </c>
      <c r="H345" s="10">
        <f t="shared" si="92"/>
        <v>1</v>
      </c>
      <c r="I345" s="10">
        <f t="shared" si="93"/>
        <v>0</v>
      </c>
      <c r="J345" s="10">
        <f t="shared" si="94"/>
        <v>0</v>
      </c>
      <c r="K345" s="10">
        <f t="shared" si="95"/>
        <v>0</v>
      </c>
      <c r="L345" s="10">
        <f t="shared" si="96"/>
        <v>0</v>
      </c>
      <c r="M345" s="10">
        <f t="shared" si="97"/>
        <v>0</v>
      </c>
      <c r="N345" s="10">
        <f t="shared" si="98"/>
        <v>0</v>
      </c>
      <c r="O345" s="10">
        <f t="shared" si="99"/>
        <v>0</v>
      </c>
      <c r="P345" s="10">
        <f t="shared" si="100"/>
        <v>0</v>
      </c>
      <c r="Q345" s="10">
        <f t="shared" si="101"/>
        <v>0</v>
      </c>
      <c r="R345" s="10">
        <f t="shared" si="102"/>
        <v>0</v>
      </c>
      <c r="S345" s="10">
        <f t="shared" si="103"/>
        <v>0</v>
      </c>
      <c r="T345" s="10">
        <f t="shared" si="104"/>
        <v>0</v>
      </c>
      <c r="U345" s="10">
        <f t="shared" si="105"/>
        <v>0</v>
      </c>
      <c r="V345" s="10">
        <f t="shared" si="106"/>
        <v>0</v>
      </c>
    </row>
    <row r="346" spans="1:22" x14ac:dyDescent="0.2">
      <c r="A346" s="32">
        <v>15</v>
      </c>
      <c r="B346" s="33">
        <v>0.20833333333333301</v>
      </c>
      <c r="C346" s="32">
        <f>'0900z'!E24</f>
        <v>6</v>
      </c>
      <c r="D346" s="32">
        <f>'0900z'!F24</f>
        <v>6</v>
      </c>
      <c r="E346" s="32">
        <f t="shared" si="107"/>
        <v>60</v>
      </c>
      <c r="F346" s="10">
        <f t="shared" si="108"/>
        <v>0</v>
      </c>
      <c r="G346" s="10">
        <f t="shared" si="109"/>
        <v>0</v>
      </c>
      <c r="H346" s="10">
        <f t="shared" si="92"/>
        <v>0</v>
      </c>
      <c r="I346" s="10">
        <f t="shared" si="93"/>
        <v>1</v>
      </c>
      <c r="J346" s="10">
        <f t="shared" si="94"/>
        <v>0</v>
      </c>
      <c r="K346" s="10">
        <f t="shared" si="95"/>
        <v>0</v>
      </c>
      <c r="L346" s="10">
        <f t="shared" si="96"/>
        <v>0</v>
      </c>
      <c r="M346" s="10">
        <f t="shared" si="97"/>
        <v>0</v>
      </c>
      <c r="N346" s="10">
        <f t="shared" si="98"/>
        <v>0</v>
      </c>
      <c r="O346" s="10">
        <f t="shared" si="99"/>
        <v>0</v>
      </c>
      <c r="P346" s="10">
        <f t="shared" si="100"/>
        <v>0</v>
      </c>
      <c r="Q346" s="10">
        <f t="shared" si="101"/>
        <v>0</v>
      </c>
      <c r="R346" s="10">
        <f t="shared" si="102"/>
        <v>0</v>
      </c>
      <c r="S346" s="10">
        <f t="shared" si="103"/>
        <v>0</v>
      </c>
      <c r="T346" s="10">
        <f t="shared" si="104"/>
        <v>0</v>
      </c>
      <c r="U346" s="10">
        <f t="shared" si="105"/>
        <v>0</v>
      </c>
      <c r="V346" s="10">
        <f t="shared" si="106"/>
        <v>0</v>
      </c>
    </row>
    <row r="347" spans="1:22" x14ac:dyDescent="0.2">
      <c r="A347" s="32">
        <v>15</v>
      </c>
      <c r="B347" s="33">
        <v>0.25</v>
      </c>
      <c r="C347" s="32">
        <f>'1000z'!E24</f>
        <v>7</v>
      </c>
      <c r="D347" s="32">
        <f>'1000z'!F24</f>
        <v>5</v>
      </c>
      <c r="E347" s="32">
        <f t="shared" si="107"/>
        <v>70</v>
      </c>
      <c r="F347" s="10">
        <f t="shared" si="108"/>
        <v>0</v>
      </c>
      <c r="G347" s="10">
        <f t="shared" si="109"/>
        <v>0</v>
      </c>
      <c r="H347" s="10">
        <f t="shared" si="92"/>
        <v>0</v>
      </c>
      <c r="I347" s="10">
        <f t="shared" si="93"/>
        <v>1</v>
      </c>
      <c r="J347" s="10">
        <f t="shared" si="94"/>
        <v>0</v>
      </c>
      <c r="K347" s="10">
        <f t="shared" si="95"/>
        <v>0</v>
      </c>
      <c r="L347" s="10">
        <f t="shared" si="96"/>
        <v>0</v>
      </c>
      <c r="M347" s="10">
        <f t="shared" si="97"/>
        <v>0</v>
      </c>
      <c r="N347" s="10">
        <f t="shared" si="98"/>
        <v>0</v>
      </c>
      <c r="O347" s="10">
        <f t="shared" si="99"/>
        <v>0</v>
      </c>
      <c r="P347" s="10">
        <f t="shared" si="100"/>
        <v>0</v>
      </c>
      <c r="Q347" s="10">
        <f t="shared" si="101"/>
        <v>0</v>
      </c>
      <c r="R347" s="10">
        <f t="shared" si="102"/>
        <v>0</v>
      </c>
      <c r="S347" s="10">
        <f t="shared" si="103"/>
        <v>0</v>
      </c>
      <c r="T347" s="10">
        <f t="shared" si="104"/>
        <v>0</v>
      </c>
      <c r="U347" s="10">
        <f t="shared" si="105"/>
        <v>0</v>
      </c>
      <c r="V347" s="10">
        <f t="shared" si="106"/>
        <v>0</v>
      </c>
    </row>
    <row r="348" spans="1:22" x14ac:dyDescent="0.2">
      <c r="A348" s="32">
        <v>15</v>
      </c>
      <c r="B348" s="33">
        <v>0.29166666666666702</v>
      </c>
      <c r="C348" s="32">
        <f>'1100z'!E24</f>
        <v>7</v>
      </c>
      <c r="D348" s="32">
        <f>'1100z'!F24</f>
        <v>8</v>
      </c>
      <c r="E348" s="32">
        <f t="shared" si="107"/>
        <v>70</v>
      </c>
      <c r="F348" s="10">
        <f t="shared" si="108"/>
        <v>0</v>
      </c>
      <c r="G348" s="10">
        <f t="shared" si="109"/>
        <v>0</v>
      </c>
      <c r="H348" s="10">
        <f t="shared" si="92"/>
        <v>0</v>
      </c>
      <c r="I348" s="10">
        <f t="shared" si="93"/>
        <v>1</v>
      </c>
      <c r="J348" s="10">
        <f t="shared" si="94"/>
        <v>0</v>
      </c>
      <c r="K348" s="10">
        <f t="shared" si="95"/>
        <v>0</v>
      </c>
      <c r="L348" s="10">
        <f t="shared" si="96"/>
        <v>0</v>
      </c>
      <c r="M348" s="10">
        <f t="shared" si="97"/>
        <v>0</v>
      </c>
      <c r="N348" s="10">
        <f t="shared" si="98"/>
        <v>0</v>
      </c>
      <c r="O348" s="10">
        <f t="shared" si="99"/>
        <v>0</v>
      </c>
      <c r="P348" s="10">
        <f t="shared" si="100"/>
        <v>0</v>
      </c>
      <c r="Q348" s="10">
        <f t="shared" si="101"/>
        <v>0</v>
      </c>
      <c r="R348" s="10">
        <f t="shared" si="102"/>
        <v>0</v>
      </c>
      <c r="S348" s="10">
        <f t="shared" si="103"/>
        <v>0</v>
      </c>
      <c r="T348" s="10">
        <f t="shared" si="104"/>
        <v>0</v>
      </c>
      <c r="U348" s="10">
        <f t="shared" si="105"/>
        <v>0</v>
      </c>
      <c r="V348" s="10">
        <f t="shared" si="106"/>
        <v>0</v>
      </c>
    </row>
    <row r="349" spans="1:22" x14ac:dyDescent="0.2">
      <c r="A349" s="32">
        <v>15</v>
      </c>
      <c r="B349" s="33">
        <v>0.33333333333333298</v>
      </c>
      <c r="C349" s="32">
        <f>'1200z'!E24</f>
        <v>5</v>
      </c>
      <c r="D349" s="32">
        <f>'1200z'!F24</f>
        <v>10</v>
      </c>
      <c r="E349" s="32">
        <f t="shared" si="107"/>
        <v>50</v>
      </c>
      <c r="F349" s="10">
        <f t="shared" si="108"/>
        <v>0</v>
      </c>
      <c r="G349" s="10">
        <f t="shared" si="109"/>
        <v>0</v>
      </c>
      <c r="H349" s="10">
        <f t="shared" si="92"/>
        <v>1</v>
      </c>
      <c r="I349" s="10">
        <f t="shared" si="93"/>
        <v>0</v>
      </c>
      <c r="J349" s="10">
        <f t="shared" si="94"/>
        <v>0</v>
      </c>
      <c r="K349" s="10">
        <f t="shared" si="95"/>
        <v>0</v>
      </c>
      <c r="L349" s="10">
        <f t="shared" si="96"/>
        <v>0</v>
      </c>
      <c r="M349" s="10">
        <f t="shared" si="97"/>
        <v>0</v>
      </c>
      <c r="N349" s="10">
        <f t="shared" si="98"/>
        <v>0</v>
      </c>
      <c r="O349" s="10">
        <f t="shared" si="99"/>
        <v>0</v>
      </c>
      <c r="P349" s="10">
        <f t="shared" si="100"/>
        <v>0</v>
      </c>
      <c r="Q349" s="10">
        <f t="shared" si="101"/>
        <v>0</v>
      </c>
      <c r="R349" s="10">
        <f t="shared" si="102"/>
        <v>0</v>
      </c>
      <c r="S349" s="10">
        <f t="shared" si="103"/>
        <v>0</v>
      </c>
      <c r="T349" s="10">
        <f t="shared" si="104"/>
        <v>0</v>
      </c>
      <c r="U349" s="10">
        <f t="shared" si="105"/>
        <v>0</v>
      </c>
      <c r="V349" s="10">
        <f t="shared" si="106"/>
        <v>0</v>
      </c>
    </row>
    <row r="350" spans="1:22" x14ac:dyDescent="0.2">
      <c r="A350" s="32">
        <v>15</v>
      </c>
      <c r="B350" s="33">
        <v>0.375</v>
      </c>
      <c r="C350" s="32">
        <f>'1300z'!E24</f>
        <v>99</v>
      </c>
      <c r="D350" s="32">
        <f>'1300z'!F24</f>
        <v>2</v>
      </c>
      <c r="E350" s="32">
        <f t="shared" si="107"/>
        <v>990</v>
      </c>
      <c r="F350" s="10">
        <f t="shared" si="108"/>
        <v>0</v>
      </c>
      <c r="G350" s="10">
        <f t="shared" si="109"/>
        <v>0</v>
      </c>
      <c r="H350" s="10">
        <f t="shared" si="92"/>
        <v>0</v>
      </c>
      <c r="I350" s="10">
        <f t="shared" si="93"/>
        <v>0</v>
      </c>
      <c r="J350" s="10">
        <f t="shared" si="94"/>
        <v>0</v>
      </c>
      <c r="K350" s="10">
        <f t="shared" si="95"/>
        <v>0</v>
      </c>
      <c r="L350" s="10">
        <f t="shared" si="96"/>
        <v>0</v>
      </c>
      <c r="M350" s="10">
        <f t="shared" si="97"/>
        <v>0</v>
      </c>
      <c r="N350" s="10">
        <f t="shared" si="98"/>
        <v>0</v>
      </c>
      <c r="O350" s="10">
        <f t="shared" si="99"/>
        <v>0</v>
      </c>
      <c r="P350" s="10">
        <f t="shared" si="100"/>
        <v>0</v>
      </c>
      <c r="Q350" s="10">
        <f t="shared" si="101"/>
        <v>0</v>
      </c>
      <c r="R350" s="10">
        <f t="shared" si="102"/>
        <v>0</v>
      </c>
      <c r="S350" s="10">
        <f t="shared" si="103"/>
        <v>0</v>
      </c>
      <c r="T350" s="10">
        <f t="shared" si="104"/>
        <v>0</v>
      </c>
      <c r="U350" s="10">
        <f t="shared" si="105"/>
        <v>0</v>
      </c>
      <c r="V350" s="10">
        <f t="shared" si="106"/>
        <v>0</v>
      </c>
    </row>
    <row r="351" spans="1:22" x14ac:dyDescent="0.2">
      <c r="A351" s="32">
        <v>15</v>
      </c>
      <c r="B351" s="33">
        <v>0.41666666666666702</v>
      </c>
      <c r="C351" s="32">
        <f>'1400z'!E24</f>
        <v>26</v>
      </c>
      <c r="D351" s="32">
        <f>'1400z'!F24</f>
        <v>5</v>
      </c>
      <c r="E351" s="32">
        <f t="shared" si="107"/>
        <v>260</v>
      </c>
      <c r="F351" s="10">
        <f t="shared" si="108"/>
        <v>0</v>
      </c>
      <c r="G351" s="10">
        <f t="shared" si="109"/>
        <v>0</v>
      </c>
      <c r="H351" s="10">
        <f t="shared" si="92"/>
        <v>0</v>
      </c>
      <c r="I351" s="10">
        <f t="shared" si="93"/>
        <v>0</v>
      </c>
      <c r="J351" s="10">
        <f t="shared" si="94"/>
        <v>0</v>
      </c>
      <c r="K351" s="10">
        <f t="shared" si="95"/>
        <v>0</v>
      </c>
      <c r="L351" s="10">
        <f t="shared" si="96"/>
        <v>0</v>
      </c>
      <c r="M351" s="10">
        <f t="shared" si="97"/>
        <v>0</v>
      </c>
      <c r="N351" s="10">
        <f t="shared" si="98"/>
        <v>0</v>
      </c>
      <c r="O351" s="10">
        <f t="shared" si="99"/>
        <v>0</v>
      </c>
      <c r="P351" s="10">
        <f t="shared" si="100"/>
        <v>0</v>
      </c>
      <c r="Q351" s="10">
        <f t="shared" si="101"/>
        <v>0</v>
      </c>
      <c r="R351" s="10">
        <f t="shared" si="102"/>
        <v>1</v>
      </c>
      <c r="S351" s="10">
        <f t="shared" si="103"/>
        <v>0</v>
      </c>
      <c r="T351" s="10">
        <f t="shared" si="104"/>
        <v>0</v>
      </c>
      <c r="U351" s="10">
        <f t="shared" si="105"/>
        <v>0</v>
      </c>
      <c r="V351" s="10">
        <f t="shared" si="106"/>
        <v>0</v>
      </c>
    </row>
    <row r="352" spans="1:22" x14ac:dyDescent="0.2">
      <c r="A352" s="32">
        <v>15</v>
      </c>
      <c r="B352" s="33">
        <v>0.45833333333333298</v>
      </c>
      <c r="C352" s="32">
        <f>'1500z'!E24</f>
        <v>25</v>
      </c>
      <c r="D352" s="32">
        <f>'1500z'!F24</f>
        <v>5</v>
      </c>
      <c r="E352" s="32">
        <f t="shared" si="107"/>
        <v>250</v>
      </c>
      <c r="F352" s="10">
        <f t="shared" si="108"/>
        <v>0</v>
      </c>
      <c r="G352" s="10">
        <f t="shared" si="109"/>
        <v>0</v>
      </c>
      <c r="H352" s="10">
        <f t="shared" si="92"/>
        <v>0</v>
      </c>
      <c r="I352" s="10">
        <f t="shared" si="93"/>
        <v>0</v>
      </c>
      <c r="J352" s="10">
        <f t="shared" si="94"/>
        <v>0</v>
      </c>
      <c r="K352" s="10">
        <f t="shared" si="95"/>
        <v>0</v>
      </c>
      <c r="L352" s="10">
        <f t="shared" si="96"/>
        <v>0</v>
      </c>
      <c r="M352" s="10">
        <f t="shared" si="97"/>
        <v>0</v>
      </c>
      <c r="N352" s="10">
        <f t="shared" si="98"/>
        <v>0</v>
      </c>
      <c r="O352" s="10">
        <f t="shared" si="99"/>
        <v>0</v>
      </c>
      <c r="P352" s="10">
        <f t="shared" si="100"/>
        <v>0</v>
      </c>
      <c r="Q352" s="10">
        <f t="shared" si="101"/>
        <v>1</v>
      </c>
      <c r="R352" s="10">
        <f t="shared" si="102"/>
        <v>0</v>
      </c>
      <c r="S352" s="10">
        <f t="shared" si="103"/>
        <v>0</v>
      </c>
      <c r="T352" s="10">
        <f t="shared" si="104"/>
        <v>0</v>
      </c>
      <c r="U352" s="10">
        <f t="shared" si="105"/>
        <v>0</v>
      </c>
      <c r="V352" s="10">
        <f t="shared" si="106"/>
        <v>0</v>
      </c>
    </row>
    <row r="353" spans="1:22" x14ac:dyDescent="0.2">
      <c r="A353" s="32">
        <v>15</v>
      </c>
      <c r="B353" s="33">
        <v>0.5</v>
      </c>
      <c r="C353" s="32">
        <f>'1600z'!E24</f>
        <v>99</v>
      </c>
      <c r="D353" s="32">
        <f>'1600z'!F24</f>
        <v>2</v>
      </c>
      <c r="E353" s="32">
        <f t="shared" si="107"/>
        <v>990</v>
      </c>
      <c r="F353" s="10">
        <f t="shared" si="108"/>
        <v>0</v>
      </c>
      <c r="G353" s="10">
        <f t="shared" si="109"/>
        <v>0</v>
      </c>
      <c r="H353" s="10">
        <f t="shared" si="92"/>
        <v>0</v>
      </c>
      <c r="I353" s="10">
        <f t="shared" si="93"/>
        <v>0</v>
      </c>
      <c r="J353" s="10">
        <f t="shared" si="94"/>
        <v>0</v>
      </c>
      <c r="K353" s="10">
        <f t="shared" si="95"/>
        <v>0</v>
      </c>
      <c r="L353" s="10">
        <f t="shared" si="96"/>
        <v>0</v>
      </c>
      <c r="M353" s="10">
        <f t="shared" si="97"/>
        <v>0</v>
      </c>
      <c r="N353" s="10">
        <f t="shared" si="98"/>
        <v>0</v>
      </c>
      <c r="O353" s="10">
        <f t="shared" si="99"/>
        <v>0</v>
      </c>
      <c r="P353" s="10">
        <f t="shared" si="100"/>
        <v>0</v>
      </c>
      <c r="Q353" s="10">
        <f t="shared" si="101"/>
        <v>0</v>
      </c>
      <c r="R353" s="10">
        <f t="shared" si="102"/>
        <v>0</v>
      </c>
      <c r="S353" s="10">
        <f t="shared" si="103"/>
        <v>0</v>
      </c>
      <c r="T353" s="10">
        <f t="shared" si="104"/>
        <v>0</v>
      </c>
      <c r="U353" s="10">
        <f t="shared" si="105"/>
        <v>0</v>
      </c>
      <c r="V353" s="10">
        <f t="shared" si="106"/>
        <v>0</v>
      </c>
    </row>
    <row r="354" spans="1:22" x14ac:dyDescent="0.2">
      <c r="A354" s="32">
        <v>15</v>
      </c>
      <c r="B354" s="33">
        <v>0.54166666666666696</v>
      </c>
      <c r="C354" s="32">
        <f>'1700z'!E24</f>
        <v>13</v>
      </c>
      <c r="D354" s="32">
        <f>'1700z'!F24</f>
        <v>14</v>
      </c>
      <c r="E354" s="32">
        <f t="shared" si="107"/>
        <v>130</v>
      </c>
      <c r="F354" s="10">
        <f t="shared" si="108"/>
        <v>0</v>
      </c>
      <c r="G354" s="10">
        <f t="shared" si="109"/>
        <v>0</v>
      </c>
      <c r="H354" s="10">
        <f t="shared" si="92"/>
        <v>0</v>
      </c>
      <c r="I354" s="10">
        <f t="shared" si="93"/>
        <v>0</v>
      </c>
      <c r="J354" s="10">
        <f t="shared" si="94"/>
        <v>0</v>
      </c>
      <c r="K354" s="10">
        <f t="shared" si="95"/>
        <v>0</v>
      </c>
      <c r="L354" s="10">
        <f t="shared" si="96"/>
        <v>1</v>
      </c>
      <c r="M354" s="10">
        <f t="shared" si="97"/>
        <v>0</v>
      </c>
      <c r="N354" s="10">
        <f t="shared" si="98"/>
        <v>0</v>
      </c>
      <c r="O354" s="10">
        <f t="shared" si="99"/>
        <v>0</v>
      </c>
      <c r="P354" s="10">
        <f t="shared" si="100"/>
        <v>0</v>
      </c>
      <c r="Q354" s="10">
        <f t="shared" si="101"/>
        <v>0</v>
      </c>
      <c r="R354" s="10">
        <f t="shared" si="102"/>
        <v>0</v>
      </c>
      <c r="S354" s="10">
        <f t="shared" si="103"/>
        <v>0</v>
      </c>
      <c r="T354" s="10">
        <f t="shared" si="104"/>
        <v>0</v>
      </c>
      <c r="U354" s="10">
        <f t="shared" si="105"/>
        <v>0</v>
      </c>
      <c r="V354" s="10">
        <f t="shared" si="106"/>
        <v>0</v>
      </c>
    </row>
    <row r="355" spans="1:22" x14ac:dyDescent="0.2">
      <c r="A355" s="32">
        <v>15</v>
      </c>
      <c r="B355" s="33">
        <v>0.58333333333333304</v>
      </c>
      <c r="C355" s="32">
        <f>'1800z'!E24</f>
        <v>12</v>
      </c>
      <c r="D355" s="32">
        <f>'1800z'!F24</f>
        <v>15</v>
      </c>
      <c r="E355" s="32">
        <f t="shared" si="107"/>
        <v>120</v>
      </c>
      <c r="F355" s="10">
        <f t="shared" si="108"/>
        <v>0</v>
      </c>
      <c r="G355" s="10">
        <f t="shared" si="109"/>
        <v>0</v>
      </c>
      <c r="H355" s="10">
        <f t="shared" si="92"/>
        <v>0</v>
      </c>
      <c r="I355" s="10">
        <f t="shared" si="93"/>
        <v>0</v>
      </c>
      <c r="J355" s="10">
        <f t="shared" si="94"/>
        <v>0</v>
      </c>
      <c r="K355" s="10">
        <f t="shared" si="95"/>
        <v>1</v>
      </c>
      <c r="L355" s="10">
        <f t="shared" si="96"/>
        <v>0</v>
      </c>
      <c r="M355" s="10">
        <f t="shared" si="97"/>
        <v>0</v>
      </c>
      <c r="N355" s="10">
        <f t="shared" si="98"/>
        <v>0</v>
      </c>
      <c r="O355" s="10">
        <f t="shared" si="99"/>
        <v>0</v>
      </c>
      <c r="P355" s="10">
        <f t="shared" si="100"/>
        <v>0</v>
      </c>
      <c r="Q355" s="10">
        <f t="shared" si="101"/>
        <v>0</v>
      </c>
      <c r="R355" s="10">
        <f t="shared" si="102"/>
        <v>0</v>
      </c>
      <c r="S355" s="10">
        <f t="shared" si="103"/>
        <v>0</v>
      </c>
      <c r="T355" s="10">
        <f t="shared" si="104"/>
        <v>0</v>
      </c>
      <c r="U355" s="10">
        <f t="shared" si="105"/>
        <v>0</v>
      </c>
      <c r="V355" s="10">
        <f t="shared" si="106"/>
        <v>0</v>
      </c>
    </row>
    <row r="356" spans="1:22" x14ac:dyDescent="0.2">
      <c r="A356" s="32">
        <v>15</v>
      </c>
      <c r="B356" s="33">
        <v>0.625</v>
      </c>
      <c r="C356" s="32">
        <f>'1900z'!E24</f>
        <v>99</v>
      </c>
      <c r="D356" s="32">
        <f>'1900z'!F24</f>
        <v>10</v>
      </c>
      <c r="E356" s="32">
        <f t="shared" si="107"/>
        <v>990</v>
      </c>
      <c r="F356" s="10">
        <f t="shared" si="108"/>
        <v>0</v>
      </c>
      <c r="G356" s="10">
        <f t="shared" si="109"/>
        <v>0</v>
      </c>
      <c r="H356" s="10">
        <f t="shared" si="92"/>
        <v>0</v>
      </c>
      <c r="I356" s="10">
        <f t="shared" si="93"/>
        <v>0</v>
      </c>
      <c r="J356" s="10">
        <f t="shared" si="94"/>
        <v>0</v>
      </c>
      <c r="K356" s="10">
        <f t="shared" si="95"/>
        <v>0</v>
      </c>
      <c r="L356" s="10">
        <f t="shared" si="96"/>
        <v>0</v>
      </c>
      <c r="M356" s="10">
        <f t="shared" si="97"/>
        <v>0</v>
      </c>
      <c r="N356" s="10">
        <f t="shared" si="98"/>
        <v>0</v>
      </c>
      <c r="O356" s="10">
        <f t="shared" si="99"/>
        <v>0</v>
      </c>
      <c r="P356" s="10">
        <f t="shared" si="100"/>
        <v>0</v>
      </c>
      <c r="Q356" s="10">
        <f t="shared" si="101"/>
        <v>0</v>
      </c>
      <c r="R356" s="10">
        <f t="shared" si="102"/>
        <v>0</v>
      </c>
      <c r="S356" s="10">
        <f t="shared" si="103"/>
        <v>0</v>
      </c>
      <c r="T356" s="10">
        <f t="shared" si="104"/>
        <v>0</v>
      </c>
      <c r="U356" s="10">
        <f t="shared" si="105"/>
        <v>0</v>
      </c>
      <c r="V356" s="10">
        <f t="shared" si="106"/>
        <v>0</v>
      </c>
    </row>
    <row r="357" spans="1:22" x14ac:dyDescent="0.2">
      <c r="A357" s="32">
        <v>15</v>
      </c>
      <c r="B357" s="33">
        <v>0.66666666666666696</v>
      </c>
      <c r="C357" s="32">
        <f>'2000z'!E24</f>
        <v>11</v>
      </c>
      <c r="D357" s="32">
        <f>'2000z'!F24</f>
        <v>12</v>
      </c>
      <c r="E357" s="32">
        <f t="shared" si="107"/>
        <v>110</v>
      </c>
      <c r="F357" s="10">
        <f t="shared" si="108"/>
        <v>0</v>
      </c>
      <c r="G357" s="10">
        <f t="shared" si="109"/>
        <v>0</v>
      </c>
      <c r="H357" s="10">
        <f t="shared" si="92"/>
        <v>0</v>
      </c>
      <c r="I357" s="10">
        <f t="shared" si="93"/>
        <v>0</v>
      </c>
      <c r="J357" s="10">
        <f t="shared" si="94"/>
        <v>0</v>
      </c>
      <c r="K357" s="10">
        <f t="shared" si="95"/>
        <v>1</v>
      </c>
      <c r="L357" s="10">
        <f t="shared" si="96"/>
        <v>0</v>
      </c>
      <c r="M357" s="10">
        <f t="shared" si="97"/>
        <v>0</v>
      </c>
      <c r="N357" s="10">
        <f t="shared" si="98"/>
        <v>0</v>
      </c>
      <c r="O357" s="10">
        <f t="shared" si="99"/>
        <v>0</v>
      </c>
      <c r="P357" s="10">
        <f t="shared" si="100"/>
        <v>0</v>
      </c>
      <c r="Q357" s="10">
        <f t="shared" si="101"/>
        <v>0</v>
      </c>
      <c r="R357" s="10">
        <f t="shared" si="102"/>
        <v>0</v>
      </c>
      <c r="S357" s="10">
        <f t="shared" si="103"/>
        <v>0</v>
      </c>
      <c r="T357" s="10">
        <f t="shared" si="104"/>
        <v>0</v>
      </c>
      <c r="U357" s="10">
        <f t="shared" si="105"/>
        <v>0</v>
      </c>
      <c r="V357" s="10">
        <f t="shared" si="106"/>
        <v>0</v>
      </c>
    </row>
    <row r="358" spans="1:22" x14ac:dyDescent="0.2">
      <c r="A358" s="32">
        <v>15</v>
      </c>
      <c r="B358" s="33">
        <v>0.70833333333333304</v>
      </c>
      <c r="C358" s="32">
        <f>'2100z'!E24</f>
        <v>11</v>
      </c>
      <c r="D358" s="32">
        <f>'2100z'!F24</f>
        <v>12</v>
      </c>
      <c r="E358" s="32">
        <f t="shared" si="107"/>
        <v>110</v>
      </c>
      <c r="F358" s="10">
        <f t="shared" si="108"/>
        <v>0</v>
      </c>
      <c r="G358" s="10">
        <f t="shared" si="109"/>
        <v>0</v>
      </c>
      <c r="H358" s="10">
        <f t="shared" si="92"/>
        <v>0</v>
      </c>
      <c r="I358" s="10">
        <f t="shared" si="93"/>
        <v>0</v>
      </c>
      <c r="J358" s="10">
        <f t="shared" si="94"/>
        <v>0</v>
      </c>
      <c r="K358" s="10">
        <f t="shared" si="95"/>
        <v>1</v>
      </c>
      <c r="L358" s="10">
        <f t="shared" si="96"/>
        <v>0</v>
      </c>
      <c r="M358" s="10">
        <f t="shared" si="97"/>
        <v>0</v>
      </c>
      <c r="N358" s="10">
        <f t="shared" si="98"/>
        <v>0</v>
      </c>
      <c r="O358" s="10">
        <f t="shared" si="99"/>
        <v>0</v>
      </c>
      <c r="P358" s="10">
        <f t="shared" si="100"/>
        <v>0</v>
      </c>
      <c r="Q358" s="10">
        <f t="shared" si="101"/>
        <v>0</v>
      </c>
      <c r="R358" s="10">
        <f t="shared" si="102"/>
        <v>0</v>
      </c>
      <c r="S358" s="10">
        <f t="shared" si="103"/>
        <v>0</v>
      </c>
      <c r="T358" s="10">
        <f t="shared" si="104"/>
        <v>0</v>
      </c>
      <c r="U358" s="10">
        <f t="shared" si="105"/>
        <v>0</v>
      </c>
      <c r="V358" s="10">
        <f t="shared" si="106"/>
        <v>0</v>
      </c>
    </row>
    <row r="359" spans="1:22" x14ac:dyDescent="0.2">
      <c r="A359" s="32">
        <v>15</v>
      </c>
      <c r="B359" s="33">
        <v>0.75</v>
      </c>
      <c r="C359" s="32">
        <f>'2200z'!E24</f>
        <v>9</v>
      </c>
      <c r="D359" s="32">
        <f>'2200z'!F24</f>
        <v>12</v>
      </c>
      <c r="E359" s="32">
        <f t="shared" si="107"/>
        <v>90</v>
      </c>
      <c r="F359" s="10">
        <f t="shared" si="108"/>
        <v>0</v>
      </c>
      <c r="G359" s="10">
        <f t="shared" si="109"/>
        <v>0</v>
      </c>
      <c r="H359" s="10">
        <f t="shared" si="92"/>
        <v>0</v>
      </c>
      <c r="I359" s="10">
        <f t="shared" si="93"/>
        <v>0</v>
      </c>
      <c r="J359" s="10">
        <f t="shared" si="94"/>
        <v>1</v>
      </c>
      <c r="K359" s="10">
        <f t="shared" si="95"/>
        <v>0</v>
      </c>
      <c r="L359" s="10">
        <f t="shared" si="96"/>
        <v>0</v>
      </c>
      <c r="M359" s="10">
        <f t="shared" si="97"/>
        <v>0</v>
      </c>
      <c r="N359" s="10">
        <f t="shared" si="98"/>
        <v>0</v>
      </c>
      <c r="O359" s="10">
        <f t="shared" si="99"/>
        <v>0</v>
      </c>
      <c r="P359" s="10">
        <f t="shared" si="100"/>
        <v>0</v>
      </c>
      <c r="Q359" s="10">
        <f t="shared" si="101"/>
        <v>0</v>
      </c>
      <c r="R359" s="10">
        <f t="shared" si="102"/>
        <v>0</v>
      </c>
      <c r="S359" s="10">
        <f t="shared" si="103"/>
        <v>0</v>
      </c>
      <c r="T359" s="10">
        <f t="shared" si="104"/>
        <v>0</v>
      </c>
      <c r="U359" s="10">
        <f t="shared" si="105"/>
        <v>0</v>
      </c>
      <c r="V359" s="10">
        <f t="shared" si="106"/>
        <v>0</v>
      </c>
    </row>
    <row r="360" spans="1:22" x14ac:dyDescent="0.2">
      <c r="A360" s="32">
        <v>15</v>
      </c>
      <c r="B360" s="33">
        <v>0.79166666666666696</v>
      </c>
      <c r="C360" s="32">
        <f>'2300z'!E24</f>
        <v>7</v>
      </c>
      <c r="D360" s="32">
        <f>'2300z'!F24</f>
        <v>8</v>
      </c>
      <c r="E360" s="32">
        <f t="shared" si="107"/>
        <v>70</v>
      </c>
      <c r="F360" s="10">
        <f t="shared" si="108"/>
        <v>0</v>
      </c>
      <c r="G360" s="10">
        <f t="shared" si="109"/>
        <v>0</v>
      </c>
      <c r="H360" s="10">
        <f t="shared" si="92"/>
        <v>0</v>
      </c>
      <c r="I360" s="10">
        <f t="shared" si="93"/>
        <v>1</v>
      </c>
      <c r="J360" s="10">
        <f t="shared" si="94"/>
        <v>0</v>
      </c>
      <c r="K360" s="10">
        <f t="shared" si="95"/>
        <v>0</v>
      </c>
      <c r="L360" s="10">
        <f t="shared" si="96"/>
        <v>0</v>
      </c>
      <c r="M360" s="10">
        <f t="shared" si="97"/>
        <v>0</v>
      </c>
      <c r="N360" s="10">
        <f t="shared" si="98"/>
        <v>0</v>
      </c>
      <c r="O360" s="10">
        <f t="shared" si="99"/>
        <v>0</v>
      </c>
      <c r="P360" s="10">
        <f t="shared" si="100"/>
        <v>0</v>
      </c>
      <c r="Q360" s="10">
        <f t="shared" si="101"/>
        <v>0</v>
      </c>
      <c r="R360" s="10">
        <f t="shared" si="102"/>
        <v>0</v>
      </c>
      <c r="S360" s="10">
        <f t="shared" si="103"/>
        <v>0</v>
      </c>
      <c r="T360" s="10">
        <f t="shared" si="104"/>
        <v>0</v>
      </c>
      <c r="U360" s="10">
        <f t="shared" si="105"/>
        <v>0</v>
      </c>
      <c r="V360" s="10">
        <f t="shared" si="106"/>
        <v>0</v>
      </c>
    </row>
    <row r="361" spans="1:22" x14ac:dyDescent="0.2">
      <c r="A361" s="32">
        <v>15</v>
      </c>
      <c r="B361" s="33">
        <v>0.83333333333333304</v>
      </c>
      <c r="C361" s="32">
        <f>'0000z'!E24</f>
        <v>7</v>
      </c>
      <c r="D361" s="32">
        <f>'0000z'!F24</f>
        <v>5</v>
      </c>
      <c r="E361" s="32">
        <f t="shared" si="107"/>
        <v>70</v>
      </c>
      <c r="F361" s="10">
        <f t="shared" si="108"/>
        <v>0</v>
      </c>
      <c r="G361" s="10">
        <f t="shared" si="109"/>
        <v>0</v>
      </c>
      <c r="H361" s="10">
        <f t="shared" si="92"/>
        <v>0</v>
      </c>
      <c r="I361" s="10">
        <f t="shared" si="93"/>
        <v>1</v>
      </c>
      <c r="J361" s="10">
        <f t="shared" si="94"/>
        <v>0</v>
      </c>
      <c r="K361" s="10">
        <f t="shared" si="95"/>
        <v>0</v>
      </c>
      <c r="L361" s="10">
        <f t="shared" si="96"/>
        <v>0</v>
      </c>
      <c r="M361" s="10">
        <f t="shared" si="97"/>
        <v>0</v>
      </c>
      <c r="N361" s="10">
        <f t="shared" si="98"/>
        <v>0</v>
      </c>
      <c r="O361" s="10">
        <f t="shared" si="99"/>
        <v>0</v>
      </c>
      <c r="P361" s="10">
        <f t="shared" si="100"/>
        <v>0</v>
      </c>
      <c r="Q361" s="10">
        <f t="shared" si="101"/>
        <v>0</v>
      </c>
      <c r="R361" s="10">
        <f t="shared" si="102"/>
        <v>0</v>
      </c>
      <c r="S361" s="10">
        <f t="shared" si="103"/>
        <v>0</v>
      </c>
      <c r="T361" s="10">
        <f t="shared" si="104"/>
        <v>0</v>
      </c>
      <c r="U361" s="10">
        <f t="shared" si="105"/>
        <v>0</v>
      </c>
      <c r="V361" s="10">
        <f t="shared" si="106"/>
        <v>0</v>
      </c>
    </row>
    <row r="362" spans="1:22" x14ac:dyDescent="0.2">
      <c r="A362" s="32">
        <v>15</v>
      </c>
      <c r="B362" s="33">
        <v>0.875</v>
      </c>
      <c r="C362" s="32">
        <f>'0100z'!E24</f>
        <v>0</v>
      </c>
      <c r="D362" s="32">
        <f>'0100z'!F24</f>
        <v>0</v>
      </c>
      <c r="E362" s="32">
        <f t="shared" si="107"/>
        <v>0</v>
      </c>
      <c r="F362" s="10">
        <f t="shared" si="108"/>
        <v>0</v>
      </c>
      <c r="G362" s="10">
        <f t="shared" si="109"/>
        <v>0</v>
      </c>
      <c r="H362" s="10">
        <f t="shared" si="92"/>
        <v>0</v>
      </c>
      <c r="I362" s="10">
        <f t="shared" si="93"/>
        <v>0</v>
      </c>
      <c r="J362" s="10">
        <f t="shared" si="94"/>
        <v>0</v>
      </c>
      <c r="K362" s="10">
        <f t="shared" si="95"/>
        <v>0</v>
      </c>
      <c r="L362" s="10">
        <f t="shared" si="96"/>
        <v>0</v>
      </c>
      <c r="M362" s="10">
        <f t="shared" si="97"/>
        <v>0</v>
      </c>
      <c r="N362" s="10">
        <f t="shared" si="98"/>
        <v>0</v>
      </c>
      <c r="O362" s="10">
        <f t="shared" si="99"/>
        <v>0</v>
      </c>
      <c r="P362" s="10">
        <f t="shared" si="100"/>
        <v>0</v>
      </c>
      <c r="Q362" s="10">
        <f t="shared" si="101"/>
        <v>0</v>
      </c>
      <c r="R362" s="10">
        <f t="shared" si="102"/>
        <v>0</v>
      </c>
      <c r="S362" s="10">
        <f t="shared" si="103"/>
        <v>0</v>
      </c>
      <c r="T362" s="10">
        <f t="shared" si="104"/>
        <v>0</v>
      </c>
      <c r="U362" s="10">
        <f t="shared" si="105"/>
        <v>0</v>
      </c>
      <c r="V362" s="10">
        <f t="shared" si="106"/>
        <v>0</v>
      </c>
    </row>
    <row r="363" spans="1:22" x14ac:dyDescent="0.2">
      <c r="A363" s="32">
        <v>15</v>
      </c>
      <c r="B363" s="33">
        <v>0.91666666666666696</v>
      </c>
      <c r="C363" s="32">
        <f>'0200z'!E24</f>
        <v>0</v>
      </c>
      <c r="D363" s="32">
        <f>'0200z'!F24</f>
        <v>0</v>
      </c>
      <c r="E363" s="32">
        <f t="shared" si="107"/>
        <v>0</v>
      </c>
      <c r="F363" s="10">
        <f t="shared" si="108"/>
        <v>0</v>
      </c>
      <c r="G363" s="10">
        <f t="shared" si="109"/>
        <v>0</v>
      </c>
      <c r="H363" s="10">
        <f t="shared" si="92"/>
        <v>0</v>
      </c>
      <c r="I363" s="10">
        <f t="shared" si="93"/>
        <v>0</v>
      </c>
      <c r="J363" s="10">
        <f t="shared" si="94"/>
        <v>0</v>
      </c>
      <c r="K363" s="10">
        <f t="shared" si="95"/>
        <v>0</v>
      </c>
      <c r="L363" s="10">
        <f t="shared" si="96"/>
        <v>0</v>
      </c>
      <c r="M363" s="10">
        <f t="shared" si="97"/>
        <v>0</v>
      </c>
      <c r="N363" s="10">
        <f t="shared" si="98"/>
        <v>0</v>
      </c>
      <c r="O363" s="10">
        <f t="shared" si="99"/>
        <v>0</v>
      </c>
      <c r="P363" s="10">
        <f t="shared" si="100"/>
        <v>0</v>
      </c>
      <c r="Q363" s="10">
        <f t="shared" si="101"/>
        <v>0</v>
      </c>
      <c r="R363" s="10">
        <f t="shared" si="102"/>
        <v>0</v>
      </c>
      <c r="S363" s="10">
        <f t="shared" si="103"/>
        <v>0</v>
      </c>
      <c r="T363" s="10">
        <f t="shared" si="104"/>
        <v>0</v>
      </c>
      <c r="U363" s="10">
        <f t="shared" si="105"/>
        <v>0</v>
      </c>
      <c r="V363" s="10">
        <f t="shared" si="106"/>
        <v>0</v>
      </c>
    </row>
    <row r="364" spans="1:22" x14ac:dyDescent="0.2">
      <c r="A364" s="32">
        <v>15</v>
      </c>
      <c r="B364" s="33">
        <v>0.95833333333333304</v>
      </c>
      <c r="C364" s="32">
        <f>'0300z'!E24</f>
        <v>0</v>
      </c>
      <c r="D364" s="32">
        <f>'0300z'!F24</f>
        <v>0</v>
      </c>
      <c r="E364" s="32">
        <f t="shared" si="107"/>
        <v>0</v>
      </c>
      <c r="F364" s="10">
        <f t="shared" si="108"/>
        <v>0</v>
      </c>
      <c r="G364" s="10">
        <f t="shared" si="109"/>
        <v>0</v>
      </c>
      <c r="H364" s="10">
        <f t="shared" si="92"/>
        <v>0</v>
      </c>
      <c r="I364" s="10">
        <f t="shared" si="93"/>
        <v>0</v>
      </c>
      <c r="J364" s="10">
        <f t="shared" si="94"/>
        <v>0</v>
      </c>
      <c r="K364" s="10">
        <f t="shared" si="95"/>
        <v>0</v>
      </c>
      <c r="L364" s="10">
        <f t="shared" si="96"/>
        <v>0</v>
      </c>
      <c r="M364" s="10">
        <f t="shared" si="97"/>
        <v>0</v>
      </c>
      <c r="N364" s="10">
        <f t="shared" si="98"/>
        <v>0</v>
      </c>
      <c r="O364" s="10">
        <f t="shared" si="99"/>
        <v>0</v>
      </c>
      <c r="P364" s="10">
        <f t="shared" si="100"/>
        <v>0</v>
      </c>
      <c r="Q364" s="10">
        <f t="shared" si="101"/>
        <v>0</v>
      </c>
      <c r="R364" s="10">
        <f t="shared" si="102"/>
        <v>0</v>
      </c>
      <c r="S364" s="10">
        <f t="shared" si="103"/>
        <v>0</v>
      </c>
      <c r="T364" s="10">
        <f t="shared" si="104"/>
        <v>0</v>
      </c>
      <c r="U364" s="10">
        <f t="shared" si="105"/>
        <v>0</v>
      </c>
      <c r="V364" s="10">
        <f t="shared" si="106"/>
        <v>0</v>
      </c>
    </row>
    <row r="365" spans="1:22" x14ac:dyDescent="0.2">
      <c r="A365" s="32">
        <v>16</v>
      </c>
      <c r="B365" s="33">
        <v>0</v>
      </c>
      <c r="C365" s="32">
        <f>'0400z'!E25</f>
        <v>8</v>
      </c>
      <c r="D365" s="32">
        <f>'0400z'!F25</f>
        <v>2</v>
      </c>
      <c r="E365" s="32">
        <f t="shared" si="107"/>
        <v>80</v>
      </c>
      <c r="F365" s="10">
        <f t="shared" si="108"/>
        <v>0</v>
      </c>
      <c r="G365" s="10">
        <f t="shared" si="109"/>
        <v>0</v>
      </c>
      <c r="H365" s="10">
        <f t="shared" si="92"/>
        <v>0</v>
      </c>
      <c r="I365" s="10">
        <f t="shared" si="93"/>
        <v>0</v>
      </c>
      <c r="J365" s="10">
        <f t="shared" si="94"/>
        <v>1</v>
      </c>
      <c r="K365" s="10">
        <f t="shared" si="95"/>
        <v>0</v>
      </c>
      <c r="L365" s="10">
        <f t="shared" si="96"/>
        <v>0</v>
      </c>
      <c r="M365" s="10">
        <f t="shared" si="97"/>
        <v>0</v>
      </c>
      <c r="N365" s="10">
        <f t="shared" si="98"/>
        <v>0</v>
      </c>
      <c r="O365" s="10">
        <f t="shared" si="99"/>
        <v>0</v>
      </c>
      <c r="P365" s="10">
        <f t="shared" si="100"/>
        <v>0</v>
      </c>
      <c r="Q365" s="10">
        <f t="shared" si="101"/>
        <v>0</v>
      </c>
      <c r="R365" s="10">
        <f t="shared" si="102"/>
        <v>0</v>
      </c>
      <c r="S365" s="10">
        <f t="shared" si="103"/>
        <v>0</v>
      </c>
      <c r="T365" s="10">
        <f t="shared" si="104"/>
        <v>0</v>
      </c>
      <c r="U365" s="10">
        <f t="shared" si="105"/>
        <v>0</v>
      </c>
      <c r="V365" s="10">
        <f t="shared" si="106"/>
        <v>0</v>
      </c>
    </row>
    <row r="366" spans="1:22" x14ac:dyDescent="0.2">
      <c r="A366" s="32">
        <v>16</v>
      </c>
      <c r="B366" s="33">
        <v>4.1666666666666664E-2</v>
      </c>
      <c r="C366" s="32">
        <f>'0500z'!E25</f>
        <v>0</v>
      </c>
      <c r="D366" s="32">
        <f>'0500z'!F25</f>
        <v>0</v>
      </c>
      <c r="E366" s="32">
        <f t="shared" si="107"/>
        <v>0</v>
      </c>
      <c r="F366" s="10">
        <f t="shared" si="108"/>
        <v>0</v>
      </c>
      <c r="G366" s="10">
        <f t="shared" si="109"/>
        <v>0</v>
      </c>
      <c r="H366" s="10">
        <f t="shared" si="92"/>
        <v>0</v>
      </c>
      <c r="I366" s="10">
        <f t="shared" si="93"/>
        <v>0</v>
      </c>
      <c r="J366" s="10">
        <f t="shared" si="94"/>
        <v>0</v>
      </c>
      <c r="K366" s="10">
        <f t="shared" si="95"/>
        <v>0</v>
      </c>
      <c r="L366" s="10">
        <f t="shared" si="96"/>
        <v>0</v>
      </c>
      <c r="M366" s="10">
        <f t="shared" si="97"/>
        <v>0</v>
      </c>
      <c r="N366" s="10">
        <f t="shared" si="98"/>
        <v>0</v>
      </c>
      <c r="O366" s="10">
        <f t="shared" si="99"/>
        <v>0</v>
      </c>
      <c r="P366" s="10">
        <f t="shared" si="100"/>
        <v>0</v>
      </c>
      <c r="Q366" s="10">
        <f t="shared" si="101"/>
        <v>0</v>
      </c>
      <c r="R366" s="10">
        <f t="shared" si="102"/>
        <v>0</v>
      </c>
      <c r="S366" s="10">
        <f t="shared" si="103"/>
        <v>0</v>
      </c>
      <c r="T366" s="10">
        <f t="shared" si="104"/>
        <v>0</v>
      </c>
      <c r="U366" s="10">
        <f t="shared" si="105"/>
        <v>0</v>
      </c>
      <c r="V366" s="10">
        <f t="shared" si="106"/>
        <v>0</v>
      </c>
    </row>
    <row r="367" spans="1:22" x14ac:dyDescent="0.2">
      <c r="A367" s="32">
        <v>16</v>
      </c>
      <c r="B367" s="33">
        <v>8.3333333333333329E-2</v>
      </c>
      <c r="C367" s="32">
        <f>'0600z'!E25</f>
        <v>0</v>
      </c>
      <c r="D367" s="32">
        <f>'0600z'!F25</f>
        <v>0</v>
      </c>
      <c r="E367" s="32">
        <f t="shared" si="107"/>
        <v>0</v>
      </c>
      <c r="F367" s="10">
        <f t="shared" si="108"/>
        <v>0</v>
      </c>
      <c r="G367" s="10">
        <f t="shared" si="109"/>
        <v>0</v>
      </c>
      <c r="H367" s="10">
        <f t="shared" si="92"/>
        <v>0</v>
      </c>
      <c r="I367" s="10">
        <f t="shared" si="93"/>
        <v>0</v>
      </c>
      <c r="J367" s="10">
        <f t="shared" si="94"/>
        <v>0</v>
      </c>
      <c r="K367" s="10">
        <f t="shared" si="95"/>
        <v>0</v>
      </c>
      <c r="L367" s="10">
        <f t="shared" si="96"/>
        <v>0</v>
      </c>
      <c r="M367" s="10">
        <f t="shared" si="97"/>
        <v>0</v>
      </c>
      <c r="N367" s="10">
        <f t="shared" si="98"/>
        <v>0</v>
      </c>
      <c r="O367" s="10">
        <f t="shared" si="99"/>
        <v>0</v>
      </c>
      <c r="P367" s="10">
        <f t="shared" si="100"/>
        <v>0</v>
      </c>
      <c r="Q367" s="10">
        <f t="shared" si="101"/>
        <v>0</v>
      </c>
      <c r="R367" s="10">
        <f t="shared" si="102"/>
        <v>0</v>
      </c>
      <c r="S367" s="10">
        <f t="shared" si="103"/>
        <v>0</v>
      </c>
      <c r="T367" s="10">
        <f t="shared" si="104"/>
        <v>0</v>
      </c>
      <c r="U367" s="10">
        <f t="shared" si="105"/>
        <v>0</v>
      </c>
      <c r="V367" s="10">
        <f t="shared" si="106"/>
        <v>0</v>
      </c>
    </row>
    <row r="368" spans="1:22" x14ac:dyDescent="0.2">
      <c r="A368" s="32">
        <v>16</v>
      </c>
      <c r="B368" s="33">
        <v>0.125</v>
      </c>
      <c r="C368" s="32">
        <f>'0700z'!E25</f>
        <v>0</v>
      </c>
      <c r="D368" s="32">
        <f>'0700z'!F25</f>
        <v>0</v>
      </c>
      <c r="E368" s="32">
        <f t="shared" si="107"/>
        <v>0</v>
      </c>
      <c r="F368" s="10">
        <f t="shared" si="108"/>
        <v>0</v>
      </c>
      <c r="G368" s="10">
        <f t="shared" si="109"/>
        <v>0</v>
      </c>
      <c r="H368" s="10">
        <f t="shared" si="92"/>
        <v>0</v>
      </c>
      <c r="I368" s="10">
        <f t="shared" si="93"/>
        <v>0</v>
      </c>
      <c r="J368" s="10">
        <f t="shared" si="94"/>
        <v>0</v>
      </c>
      <c r="K368" s="10">
        <f t="shared" si="95"/>
        <v>0</v>
      </c>
      <c r="L368" s="10">
        <f t="shared" si="96"/>
        <v>0</v>
      </c>
      <c r="M368" s="10">
        <f t="shared" si="97"/>
        <v>0</v>
      </c>
      <c r="N368" s="10">
        <f t="shared" si="98"/>
        <v>0</v>
      </c>
      <c r="O368" s="10">
        <f t="shared" si="99"/>
        <v>0</v>
      </c>
      <c r="P368" s="10">
        <f t="shared" si="100"/>
        <v>0</v>
      </c>
      <c r="Q368" s="10">
        <f t="shared" si="101"/>
        <v>0</v>
      </c>
      <c r="R368" s="10">
        <f t="shared" si="102"/>
        <v>0</v>
      </c>
      <c r="S368" s="10">
        <f t="shared" si="103"/>
        <v>0</v>
      </c>
      <c r="T368" s="10">
        <f t="shared" si="104"/>
        <v>0</v>
      </c>
      <c r="U368" s="10">
        <f t="shared" si="105"/>
        <v>0</v>
      </c>
      <c r="V368" s="10">
        <f t="shared" si="106"/>
        <v>0</v>
      </c>
    </row>
    <row r="369" spans="1:22" x14ac:dyDescent="0.2">
      <c r="A369" s="32">
        <v>16</v>
      </c>
      <c r="B369" s="33">
        <v>0.16666666666666699</v>
      </c>
      <c r="C369" s="32">
        <f>'0800z'!E25</f>
        <v>0</v>
      </c>
      <c r="D369" s="32">
        <f>'0800z'!F25</f>
        <v>0</v>
      </c>
      <c r="E369" s="32">
        <f t="shared" si="107"/>
        <v>0</v>
      </c>
      <c r="F369" s="10">
        <f t="shared" si="108"/>
        <v>0</v>
      </c>
      <c r="G369" s="10">
        <f t="shared" si="109"/>
        <v>0</v>
      </c>
      <c r="H369" s="10">
        <f t="shared" si="92"/>
        <v>0</v>
      </c>
      <c r="I369" s="10">
        <f t="shared" si="93"/>
        <v>0</v>
      </c>
      <c r="J369" s="10">
        <f t="shared" si="94"/>
        <v>0</v>
      </c>
      <c r="K369" s="10">
        <f t="shared" si="95"/>
        <v>0</v>
      </c>
      <c r="L369" s="10">
        <f t="shared" si="96"/>
        <v>0</v>
      </c>
      <c r="M369" s="10">
        <f t="shared" si="97"/>
        <v>0</v>
      </c>
      <c r="N369" s="10">
        <f t="shared" si="98"/>
        <v>0</v>
      </c>
      <c r="O369" s="10">
        <f t="shared" si="99"/>
        <v>0</v>
      </c>
      <c r="P369" s="10">
        <f t="shared" si="100"/>
        <v>0</v>
      </c>
      <c r="Q369" s="10">
        <f t="shared" si="101"/>
        <v>0</v>
      </c>
      <c r="R369" s="10">
        <f t="shared" si="102"/>
        <v>0</v>
      </c>
      <c r="S369" s="10">
        <f t="shared" si="103"/>
        <v>0</v>
      </c>
      <c r="T369" s="10">
        <f t="shared" si="104"/>
        <v>0</v>
      </c>
      <c r="U369" s="10">
        <f t="shared" si="105"/>
        <v>0</v>
      </c>
      <c r="V369" s="10">
        <f t="shared" si="106"/>
        <v>0</v>
      </c>
    </row>
    <row r="370" spans="1:22" x14ac:dyDescent="0.2">
      <c r="A370" s="32">
        <v>16</v>
      </c>
      <c r="B370" s="33">
        <v>0.20833333333333301</v>
      </c>
      <c r="C370" s="32">
        <f>'0900z'!E25</f>
        <v>7</v>
      </c>
      <c r="D370" s="32">
        <f>'0900z'!F25</f>
        <v>8</v>
      </c>
      <c r="E370" s="32">
        <f t="shared" si="107"/>
        <v>70</v>
      </c>
      <c r="F370" s="10">
        <f t="shared" si="108"/>
        <v>0</v>
      </c>
      <c r="G370" s="10">
        <f t="shared" si="109"/>
        <v>0</v>
      </c>
      <c r="H370" s="10">
        <f t="shared" si="92"/>
        <v>0</v>
      </c>
      <c r="I370" s="10">
        <f t="shared" si="93"/>
        <v>1</v>
      </c>
      <c r="J370" s="10">
        <f t="shared" si="94"/>
        <v>0</v>
      </c>
      <c r="K370" s="10">
        <f t="shared" si="95"/>
        <v>0</v>
      </c>
      <c r="L370" s="10">
        <f t="shared" si="96"/>
        <v>0</v>
      </c>
      <c r="M370" s="10">
        <f t="shared" si="97"/>
        <v>0</v>
      </c>
      <c r="N370" s="10">
        <f t="shared" si="98"/>
        <v>0</v>
      </c>
      <c r="O370" s="10">
        <f t="shared" si="99"/>
        <v>0</v>
      </c>
      <c r="P370" s="10">
        <f t="shared" si="100"/>
        <v>0</v>
      </c>
      <c r="Q370" s="10">
        <f t="shared" si="101"/>
        <v>0</v>
      </c>
      <c r="R370" s="10">
        <f t="shared" si="102"/>
        <v>0</v>
      </c>
      <c r="S370" s="10">
        <f t="shared" si="103"/>
        <v>0</v>
      </c>
      <c r="T370" s="10">
        <f t="shared" si="104"/>
        <v>0</v>
      </c>
      <c r="U370" s="10">
        <f t="shared" si="105"/>
        <v>0</v>
      </c>
      <c r="V370" s="10">
        <f t="shared" si="106"/>
        <v>0</v>
      </c>
    </row>
    <row r="371" spans="1:22" x14ac:dyDescent="0.2">
      <c r="A371" s="32">
        <v>16</v>
      </c>
      <c r="B371" s="33">
        <v>0.25</v>
      </c>
      <c r="C371" s="32">
        <f>'1000z'!E25</f>
        <v>7</v>
      </c>
      <c r="D371" s="32">
        <f>'1000z'!F25</f>
        <v>3</v>
      </c>
      <c r="E371" s="32">
        <f t="shared" si="107"/>
        <v>70</v>
      </c>
      <c r="F371" s="10">
        <f t="shared" si="108"/>
        <v>0</v>
      </c>
      <c r="G371" s="10">
        <f t="shared" si="109"/>
        <v>0</v>
      </c>
      <c r="H371" s="10">
        <f t="shared" si="92"/>
        <v>0</v>
      </c>
      <c r="I371" s="10">
        <f t="shared" si="93"/>
        <v>1</v>
      </c>
      <c r="J371" s="10">
        <f t="shared" si="94"/>
        <v>0</v>
      </c>
      <c r="K371" s="10">
        <f t="shared" si="95"/>
        <v>0</v>
      </c>
      <c r="L371" s="10">
        <f t="shared" si="96"/>
        <v>0</v>
      </c>
      <c r="M371" s="10">
        <f t="shared" si="97"/>
        <v>0</v>
      </c>
      <c r="N371" s="10">
        <f t="shared" si="98"/>
        <v>0</v>
      </c>
      <c r="O371" s="10">
        <f t="shared" si="99"/>
        <v>0</v>
      </c>
      <c r="P371" s="10">
        <f t="shared" si="100"/>
        <v>0</v>
      </c>
      <c r="Q371" s="10">
        <f t="shared" si="101"/>
        <v>0</v>
      </c>
      <c r="R371" s="10">
        <f t="shared" si="102"/>
        <v>0</v>
      </c>
      <c r="S371" s="10">
        <f t="shared" si="103"/>
        <v>0</v>
      </c>
      <c r="T371" s="10">
        <f t="shared" si="104"/>
        <v>0</v>
      </c>
      <c r="U371" s="10">
        <f t="shared" si="105"/>
        <v>0</v>
      </c>
      <c r="V371" s="10">
        <f t="shared" si="106"/>
        <v>0</v>
      </c>
    </row>
    <row r="372" spans="1:22" x14ac:dyDescent="0.2">
      <c r="A372" s="32">
        <v>16</v>
      </c>
      <c r="B372" s="33">
        <v>0.29166666666666702</v>
      </c>
      <c r="C372" s="32">
        <f>'1100z'!E25</f>
        <v>0</v>
      </c>
      <c r="D372" s="32">
        <f>'1100z'!F25</f>
        <v>0</v>
      </c>
      <c r="E372" s="32">
        <f t="shared" si="107"/>
        <v>0</v>
      </c>
      <c r="F372" s="10">
        <f t="shared" si="108"/>
        <v>0</v>
      </c>
      <c r="G372" s="10">
        <f t="shared" si="109"/>
        <v>0</v>
      </c>
      <c r="H372" s="10">
        <f t="shared" si="92"/>
        <v>0</v>
      </c>
      <c r="I372" s="10">
        <f t="shared" si="93"/>
        <v>0</v>
      </c>
      <c r="J372" s="10">
        <f t="shared" si="94"/>
        <v>0</v>
      </c>
      <c r="K372" s="10">
        <f t="shared" si="95"/>
        <v>0</v>
      </c>
      <c r="L372" s="10">
        <f t="shared" si="96"/>
        <v>0</v>
      </c>
      <c r="M372" s="10">
        <f t="shared" si="97"/>
        <v>0</v>
      </c>
      <c r="N372" s="10">
        <f t="shared" si="98"/>
        <v>0</v>
      </c>
      <c r="O372" s="10">
        <f t="shared" si="99"/>
        <v>0</v>
      </c>
      <c r="P372" s="10">
        <f t="shared" si="100"/>
        <v>0</v>
      </c>
      <c r="Q372" s="10">
        <f t="shared" si="101"/>
        <v>0</v>
      </c>
      <c r="R372" s="10">
        <f t="shared" si="102"/>
        <v>0</v>
      </c>
      <c r="S372" s="10">
        <f t="shared" si="103"/>
        <v>0</v>
      </c>
      <c r="T372" s="10">
        <f t="shared" si="104"/>
        <v>0</v>
      </c>
      <c r="U372" s="10">
        <f t="shared" si="105"/>
        <v>0</v>
      </c>
      <c r="V372" s="10">
        <f t="shared" si="106"/>
        <v>0</v>
      </c>
    </row>
    <row r="373" spans="1:22" x14ac:dyDescent="0.2">
      <c r="A373" s="32">
        <v>16</v>
      </c>
      <c r="B373" s="33">
        <v>0.33333333333333298</v>
      </c>
      <c r="C373" s="32">
        <f>'1200z'!E25</f>
        <v>7</v>
      </c>
      <c r="D373" s="32">
        <f>'1200z'!F25</f>
        <v>10</v>
      </c>
      <c r="E373" s="32">
        <f t="shared" si="107"/>
        <v>70</v>
      </c>
      <c r="F373" s="10">
        <f t="shared" si="108"/>
        <v>0</v>
      </c>
      <c r="G373" s="10">
        <f t="shared" si="109"/>
        <v>0</v>
      </c>
      <c r="H373" s="10">
        <f t="shared" si="92"/>
        <v>0</v>
      </c>
      <c r="I373" s="10">
        <f t="shared" si="93"/>
        <v>1</v>
      </c>
      <c r="J373" s="10">
        <f t="shared" si="94"/>
        <v>0</v>
      </c>
      <c r="K373" s="10">
        <f t="shared" si="95"/>
        <v>0</v>
      </c>
      <c r="L373" s="10">
        <f t="shared" si="96"/>
        <v>0</v>
      </c>
      <c r="M373" s="10">
        <f t="shared" si="97"/>
        <v>0</v>
      </c>
      <c r="N373" s="10">
        <f t="shared" si="98"/>
        <v>0</v>
      </c>
      <c r="O373" s="10">
        <f t="shared" si="99"/>
        <v>0</v>
      </c>
      <c r="P373" s="10">
        <f t="shared" si="100"/>
        <v>0</v>
      </c>
      <c r="Q373" s="10">
        <f t="shared" si="101"/>
        <v>0</v>
      </c>
      <c r="R373" s="10">
        <f t="shared" si="102"/>
        <v>0</v>
      </c>
      <c r="S373" s="10">
        <f t="shared" si="103"/>
        <v>0</v>
      </c>
      <c r="T373" s="10">
        <f t="shared" si="104"/>
        <v>0</v>
      </c>
      <c r="U373" s="10">
        <f t="shared" si="105"/>
        <v>0</v>
      </c>
      <c r="V373" s="10">
        <f t="shared" si="106"/>
        <v>0</v>
      </c>
    </row>
    <row r="374" spans="1:22" x14ac:dyDescent="0.2">
      <c r="A374" s="32">
        <v>16</v>
      </c>
      <c r="B374" s="33">
        <v>0.375</v>
      </c>
      <c r="C374" s="32">
        <f>'1300z'!E25</f>
        <v>5</v>
      </c>
      <c r="D374" s="32">
        <f>'1300z'!F25</f>
        <v>8</v>
      </c>
      <c r="E374" s="32">
        <f t="shared" si="107"/>
        <v>50</v>
      </c>
      <c r="F374" s="10">
        <f t="shared" si="108"/>
        <v>0</v>
      </c>
      <c r="G374" s="10">
        <f t="shared" si="109"/>
        <v>0</v>
      </c>
      <c r="H374" s="10">
        <f t="shared" si="92"/>
        <v>1</v>
      </c>
      <c r="I374" s="10">
        <f t="shared" si="93"/>
        <v>0</v>
      </c>
      <c r="J374" s="10">
        <f t="shared" si="94"/>
        <v>0</v>
      </c>
      <c r="K374" s="10">
        <f t="shared" si="95"/>
        <v>0</v>
      </c>
      <c r="L374" s="10">
        <f t="shared" si="96"/>
        <v>0</v>
      </c>
      <c r="M374" s="10">
        <f t="shared" si="97"/>
        <v>0</v>
      </c>
      <c r="N374" s="10">
        <f t="shared" si="98"/>
        <v>0</v>
      </c>
      <c r="O374" s="10">
        <f t="shared" si="99"/>
        <v>0</v>
      </c>
      <c r="P374" s="10">
        <f t="shared" si="100"/>
        <v>0</v>
      </c>
      <c r="Q374" s="10">
        <f t="shared" si="101"/>
        <v>0</v>
      </c>
      <c r="R374" s="10">
        <f t="shared" si="102"/>
        <v>0</v>
      </c>
      <c r="S374" s="10">
        <f t="shared" si="103"/>
        <v>0</v>
      </c>
      <c r="T374" s="10">
        <f t="shared" si="104"/>
        <v>0</v>
      </c>
      <c r="U374" s="10">
        <f t="shared" si="105"/>
        <v>0</v>
      </c>
      <c r="V374" s="10">
        <f t="shared" si="106"/>
        <v>0</v>
      </c>
    </row>
    <row r="375" spans="1:22" x14ac:dyDescent="0.2">
      <c r="A375" s="32">
        <v>16</v>
      </c>
      <c r="B375" s="33">
        <v>0.41666666666666702</v>
      </c>
      <c r="C375" s="32">
        <f>'1400z'!E25</f>
        <v>8</v>
      </c>
      <c r="D375" s="32">
        <f>'1400z'!F25</f>
        <v>12</v>
      </c>
      <c r="E375" s="32">
        <f t="shared" si="107"/>
        <v>80</v>
      </c>
      <c r="F375" s="10">
        <f t="shared" si="108"/>
        <v>0</v>
      </c>
      <c r="G375" s="10">
        <f t="shared" si="109"/>
        <v>0</v>
      </c>
      <c r="H375" s="10">
        <f t="shared" si="92"/>
        <v>0</v>
      </c>
      <c r="I375" s="10">
        <f t="shared" si="93"/>
        <v>0</v>
      </c>
      <c r="J375" s="10">
        <f t="shared" si="94"/>
        <v>1</v>
      </c>
      <c r="K375" s="10">
        <f t="shared" si="95"/>
        <v>0</v>
      </c>
      <c r="L375" s="10">
        <f t="shared" si="96"/>
        <v>0</v>
      </c>
      <c r="M375" s="10">
        <f t="shared" si="97"/>
        <v>0</v>
      </c>
      <c r="N375" s="10">
        <f t="shared" si="98"/>
        <v>0</v>
      </c>
      <c r="O375" s="10">
        <f t="shared" si="99"/>
        <v>0</v>
      </c>
      <c r="P375" s="10">
        <f t="shared" si="100"/>
        <v>0</v>
      </c>
      <c r="Q375" s="10">
        <f t="shared" si="101"/>
        <v>0</v>
      </c>
      <c r="R375" s="10">
        <f t="shared" si="102"/>
        <v>0</v>
      </c>
      <c r="S375" s="10">
        <f t="shared" si="103"/>
        <v>0</v>
      </c>
      <c r="T375" s="10">
        <f t="shared" si="104"/>
        <v>0</v>
      </c>
      <c r="U375" s="10">
        <f t="shared" si="105"/>
        <v>0</v>
      </c>
      <c r="V375" s="10">
        <f t="shared" si="106"/>
        <v>0</v>
      </c>
    </row>
    <row r="376" spans="1:22" x14ac:dyDescent="0.2">
      <c r="A376" s="32">
        <v>16</v>
      </c>
      <c r="B376" s="33">
        <v>0.45833333333333298</v>
      </c>
      <c r="C376" s="32">
        <f>'1500z'!E25</f>
        <v>11</v>
      </c>
      <c r="D376" s="32">
        <f>'1500z'!F25</f>
        <v>10</v>
      </c>
      <c r="E376" s="32">
        <f t="shared" si="107"/>
        <v>110</v>
      </c>
      <c r="F376" s="10">
        <f t="shared" si="108"/>
        <v>0</v>
      </c>
      <c r="G376" s="10">
        <f t="shared" si="109"/>
        <v>0</v>
      </c>
      <c r="H376" s="10">
        <f t="shared" si="92"/>
        <v>0</v>
      </c>
      <c r="I376" s="10">
        <f t="shared" si="93"/>
        <v>0</v>
      </c>
      <c r="J376" s="10">
        <f t="shared" si="94"/>
        <v>0</v>
      </c>
      <c r="K376" s="10">
        <f t="shared" si="95"/>
        <v>1</v>
      </c>
      <c r="L376" s="10">
        <f t="shared" si="96"/>
        <v>0</v>
      </c>
      <c r="M376" s="10">
        <f t="shared" si="97"/>
        <v>0</v>
      </c>
      <c r="N376" s="10">
        <f t="shared" si="98"/>
        <v>0</v>
      </c>
      <c r="O376" s="10">
        <f t="shared" si="99"/>
        <v>0</v>
      </c>
      <c r="P376" s="10">
        <f t="shared" si="100"/>
        <v>0</v>
      </c>
      <c r="Q376" s="10">
        <f t="shared" si="101"/>
        <v>0</v>
      </c>
      <c r="R376" s="10">
        <f t="shared" si="102"/>
        <v>0</v>
      </c>
      <c r="S376" s="10">
        <f t="shared" si="103"/>
        <v>0</v>
      </c>
      <c r="T376" s="10">
        <f t="shared" si="104"/>
        <v>0</v>
      </c>
      <c r="U376" s="10">
        <f t="shared" si="105"/>
        <v>0</v>
      </c>
      <c r="V376" s="10">
        <f t="shared" si="106"/>
        <v>0</v>
      </c>
    </row>
    <row r="377" spans="1:22" x14ac:dyDescent="0.2">
      <c r="A377" s="32">
        <v>16</v>
      </c>
      <c r="B377" s="33">
        <v>0.5</v>
      </c>
      <c r="C377" s="32">
        <f>'1600z'!E25</f>
        <v>12</v>
      </c>
      <c r="D377" s="32">
        <f>'1600z'!F25</f>
        <v>10</v>
      </c>
      <c r="E377" s="32">
        <f t="shared" si="107"/>
        <v>120</v>
      </c>
      <c r="F377" s="10">
        <f t="shared" si="108"/>
        <v>0</v>
      </c>
      <c r="G377" s="10">
        <f t="shared" si="109"/>
        <v>0</v>
      </c>
      <c r="H377" s="10">
        <f t="shared" si="92"/>
        <v>0</v>
      </c>
      <c r="I377" s="10">
        <f t="shared" si="93"/>
        <v>0</v>
      </c>
      <c r="J377" s="10">
        <f t="shared" si="94"/>
        <v>0</v>
      </c>
      <c r="K377" s="10">
        <f t="shared" si="95"/>
        <v>1</v>
      </c>
      <c r="L377" s="10">
        <f t="shared" si="96"/>
        <v>0</v>
      </c>
      <c r="M377" s="10">
        <f t="shared" si="97"/>
        <v>0</v>
      </c>
      <c r="N377" s="10">
        <f t="shared" si="98"/>
        <v>0</v>
      </c>
      <c r="O377" s="10">
        <f t="shared" si="99"/>
        <v>0</v>
      </c>
      <c r="P377" s="10">
        <f t="shared" si="100"/>
        <v>0</v>
      </c>
      <c r="Q377" s="10">
        <f t="shared" si="101"/>
        <v>0</v>
      </c>
      <c r="R377" s="10">
        <f t="shared" si="102"/>
        <v>0</v>
      </c>
      <c r="S377" s="10">
        <f t="shared" si="103"/>
        <v>0</v>
      </c>
      <c r="T377" s="10">
        <f t="shared" si="104"/>
        <v>0</v>
      </c>
      <c r="U377" s="10">
        <f t="shared" si="105"/>
        <v>0</v>
      </c>
      <c r="V377" s="10">
        <f t="shared" si="106"/>
        <v>0</v>
      </c>
    </row>
    <row r="378" spans="1:22" x14ac:dyDescent="0.2">
      <c r="A378" s="32">
        <v>16</v>
      </c>
      <c r="B378" s="33">
        <v>0.54166666666666696</v>
      </c>
      <c r="C378" s="32">
        <f>'1700z'!E25</f>
        <v>10</v>
      </c>
      <c r="D378" s="32">
        <f>'1700z'!F25</f>
        <v>8</v>
      </c>
      <c r="E378" s="32">
        <f t="shared" si="107"/>
        <v>100</v>
      </c>
      <c r="F378" s="10">
        <f t="shared" si="108"/>
        <v>0</v>
      </c>
      <c r="G378" s="10">
        <f t="shared" si="109"/>
        <v>0</v>
      </c>
      <c r="H378" s="10">
        <f t="shared" si="92"/>
        <v>0</v>
      </c>
      <c r="I378" s="10">
        <f t="shared" si="93"/>
        <v>0</v>
      </c>
      <c r="J378" s="10">
        <f t="shared" si="94"/>
        <v>1</v>
      </c>
      <c r="K378" s="10">
        <f t="shared" si="95"/>
        <v>0</v>
      </c>
      <c r="L378" s="10">
        <f t="shared" si="96"/>
        <v>0</v>
      </c>
      <c r="M378" s="10">
        <f t="shared" si="97"/>
        <v>0</v>
      </c>
      <c r="N378" s="10">
        <f t="shared" si="98"/>
        <v>0</v>
      </c>
      <c r="O378" s="10">
        <f t="shared" si="99"/>
        <v>0</v>
      </c>
      <c r="P378" s="10">
        <f t="shared" si="100"/>
        <v>0</v>
      </c>
      <c r="Q378" s="10">
        <f t="shared" si="101"/>
        <v>0</v>
      </c>
      <c r="R378" s="10">
        <f t="shared" si="102"/>
        <v>0</v>
      </c>
      <c r="S378" s="10">
        <f t="shared" si="103"/>
        <v>0</v>
      </c>
      <c r="T378" s="10">
        <f t="shared" si="104"/>
        <v>0</v>
      </c>
      <c r="U378" s="10">
        <f t="shared" si="105"/>
        <v>0</v>
      </c>
      <c r="V378" s="10">
        <f t="shared" si="106"/>
        <v>0</v>
      </c>
    </row>
    <row r="379" spans="1:22" x14ac:dyDescent="0.2">
      <c r="A379" s="32">
        <v>16</v>
      </c>
      <c r="B379" s="33">
        <v>0.58333333333333304</v>
      </c>
      <c r="C379" s="32">
        <f>'1800z'!E25</f>
        <v>0</v>
      </c>
      <c r="D379" s="32">
        <f>'1800z'!F25</f>
        <v>0</v>
      </c>
      <c r="E379" s="32">
        <f t="shared" si="107"/>
        <v>0</v>
      </c>
      <c r="F379" s="10">
        <f t="shared" si="108"/>
        <v>0</v>
      </c>
      <c r="G379" s="10">
        <f t="shared" si="109"/>
        <v>0</v>
      </c>
      <c r="H379" s="10">
        <f t="shared" si="92"/>
        <v>0</v>
      </c>
      <c r="I379" s="10">
        <f t="shared" si="93"/>
        <v>0</v>
      </c>
      <c r="J379" s="10">
        <f t="shared" si="94"/>
        <v>0</v>
      </c>
      <c r="K379" s="10">
        <f t="shared" si="95"/>
        <v>0</v>
      </c>
      <c r="L379" s="10">
        <f t="shared" si="96"/>
        <v>0</v>
      </c>
      <c r="M379" s="10">
        <f t="shared" si="97"/>
        <v>0</v>
      </c>
      <c r="N379" s="10">
        <f t="shared" si="98"/>
        <v>0</v>
      </c>
      <c r="O379" s="10">
        <f t="shared" si="99"/>
        <v>0</v>
      </c>
      <c r="P379" s="10">
        <f t="shared" si="100"/>
        <v>0</v>
      </c>
      <c r="Q379" s="10">
        <f t="shared" si="101"/>
        <v>0</v>
      </c>
      <c r="R379" s="10">
        <f t="shared" si="102"/>
        <v>0</v>
      </c>
      <c r="S379" s="10">
        <f t="shared" si="103"/>
        <v>0</v>
      </c>
      <c r="T379" s="10">
        <f t="shared" si="104"/>
        <v>0</v>
      </c>
      <c r="U379" s="10">
        <f t="shared" si="105"/>
        <v>0</v>
      </c>
      <c r="V379" s="10">
        <f t="shared" si="106"/>
        <v>0</v>
      </c>
    </row>
    <row r="380" spans="1:22" x14ac:dyDescent="0.2">
      <c r="A380" s="32">
        <v>16</v>
      </c>
      <c r="B380" s="33">
        <v>0.625</v>
      </c>
      <c r="C380" s="32">
        <f>'1900z'!E25</f>
        <v>99</v>
      </c>
      <c r="D380" s="32">
        <f>'1900z'!F25</f>
        <v>12</v>
      </c>
      <c r="E380" s="32">
        <f t="shared" si="107"/>
        <v>990</v>
      </c>
      <c r="F380" s="10">
        <f t="shared" si="108"/>
        <v>0</v>
      </c>
      <c r="G380" s="10">
        <f t="shared" si="109"/>
        <v>0</v>
      </c>
      <c r="H380" s="10">
        <f t="shared" si="92"/>
        <v>0</v>
      </c>
      <c r="I380" s="10">
        <f t="shared" si="93"/>
        <v>0</v>
      </c>
      <c r="J380" s="10">
        <f t="shared" si="94"/>
        <v>0</v>
      </c>
      <c r="K380" s="10">
        <f t="shared" si="95"/>
        <v>0</v>
      </c>
      <c r="L380" s="10">
        <f t="shared" si="96"/>
        <v>0</v>
      </c>
      <c r="M380" s="10">
        <f t="shared" si="97"/>
        <v>0</v>
      </c>
      <c r="N380" s="10">
        <f t="shared" si="98"/>
        <v>0</v>
      </c>
      <c r="O380" s="10">
        <f t="shared" si="99"/>
        <v>0</v>
      </c>
      <c r="P380" s="10">
        <f t="shared" si="100"/>
        <v>0</v>
      </c>
      <c r="Q380" s="10">
        <f t="shared" si="101"/>
        <v>0</v>
      </c>
      <c r="R380" s="10">
        <f t="shared" si="102"/>
        <v>0</v>
      </c>
      <c r="S380" s="10">
        <f t="shared" si="103"/>
        <v>0</v>
      </c>
      <c r="T380" s="10">
        <f t="shared" si="104"/>
        <v>0</v>
      </c>
      <c r="U380" s="10">
        <f t="shared" si="105"/>
        <v>0</v>
      </c>
      <c r="V380" s="10">
        <f t="shared" si="106"/>
        <v>0</v>
      </c>
    </row>
    <row r="381" spans="1:22" x14ac:dyDescent="0.2">
      <c r="A381" s="32">
        <v>16</v>
      </c>
      <c r="B381" s="33">
        <v>0.66666666666666696</v>
      </c>
      <c r="C381" s="32">
        <f>'2000z'!E25</f>
        <v>3</v>
      </c>
      <c r="D381" s="32">
        <f>'2000z'!F25</f>
        <v>13</v>
      </c>
      <c r="E381" s="32">
        <f t="shared" si="107"/>
        <v>30</v>
      </c>
      <c r="F381" s="10">
        <f t="shared" si="108"/>
        <v>0</v>
      </c>
      <c r="G381" s="10">
        <f t="shared" si="109"/>
        <v>1</v>
      </c>
      <c r="H381" s="10">
        <f t="shared" si="92"/>
        <v>0</v>
      </c>
      <c r="I381" s="10">
        <f t="shared" si="93"/>
        <v>0</v>
      </c>
      <c r="J381" s="10">
        <f t="shared" si="94"/>
        <v>0</v>
      </c>
      <c r="K381" s="10">
        <f t="shared" si="95"/>
        <v>0</v>
      </c>
      <c r="L381" s="10">
        <f t="shared" si="96"/>
        <v>0</v>
      </c>
      <c r="M381" s="10">
        <f t="shared" si="97"/>
        <v>0</v>
      </c>
      <c r="N381" s="10">
        <f t="shared" si="98"/>
        <v>0</v>
      </c>
      <c r="O381" s="10">
        <f t="shared" si="99"/>
        <v>0</v>
      </c>
      <c r="P381" s="10">
        <f t="shared" si="100"/>
        <v>0</v>
      </c>
      <c r="Q381" s="10">
        <f t="shared" si="101"/>
        <v>0</v>
      </c>
      <c r="R381" s="10">
        <f t="shared" si="102"/>
        <v>0</v>
      </c>
      <c r="S381" s="10">
        <f t="shared" si="103"/>
        <v>0</v>
      </c>
      <c r="T381" s="10">
        <f t="shared" si="104"/>
        <v>0</v>
      </c>
      <c r="U381" s="10">
        <f t="shared" si="105"/>
        <v>0</v>
      </c>
      <c r="V381" s="10">
        <f t="shared" si="106"/>
        <v>0</v>
      </c>
    </row>
    <row r="382" spans="1:22" x14ac:dyDescent="0.2">
      <c r="A382" s="32">
        <v>16</v>
      </c>
      <c r="B382" s="33">
        <v>0.70833333333333304</v>
      </c>
      <c r="C382" s="32">
        <f>'2100z'!E25</f>
        <v>8</v>
      </c>
      <c r="D382" s="32">
        <f>'2100z'!F25</f>
        <v>12</v>
      </c>
      <c r="E382" s="32">
        <f t="shared" si="107"/>
        <v>80</v>
      </c>
      <c r="F382" s="10">
        <f t="shared" si="108"/>
        <v>0</v>
      </c>
      <c r="G382" s="10">
        <f t="shared" si="109"/>
        <v>0</v>
      </c>
      <c r="H382" s="10">
        <f t="shared" si="92"/>
        <v>0</v>
      </c>
      <c r="I382" s="10">
        <f t="shared" si="93"/>
        <v>0</v>
      </c>
      <c r="J382" s="10">
        <f t="shared" si="94"/>
        <v>1</v>
      </c>
      <c r="K382" s="10">
        <f t="shared" si="95"/>
        <v>0</v>
      </c>
      <c r="L382" s="10">
        <f t="shared" si="96"/>
        <v>0</v>
      </c>
      <c r="M382" s="10">
        <f t="shared" si="97"/>
        <v>0</v>
      </c>
      <c r="N382" s="10">
        <f t="shared" si="98"/>
        <v>0</v>
      </c>
      <c r="O382" s="10">
        <f t="shared" si="99"/>
        <v>0</v>
      </c>
      <c r="P382" s="10">
        <f t="shared" si="100"/>
        <v>0</v>
      </c>
      <c r="Q382" s="10">
        <f t="shared" si="101"/>
        <v>0</v>
      </c>
      <c r="R382" s="10">
        <f t="shared" si="102"/>
        <v>0</v>
      </c>
      <c r="S382" s="10">
        <f t="shared" si="103"/>
        <v>0</v>
      </c>
      <c r="T382" s="10">
        <f t="shared" si="104"/>
        <v>0</v>
      </c>
      <c r="U382" s="10">
        <f t="shared" si="105"/>
        <v>0</v>
      </c>
      <c r="V382" s="10">
        <f t="shared" si="106"/>
        <v>0</v>
      </c>
    </row>
    <row r="383" spans="1:22" x14ac:dyDescent="0.2">
      <c r="A383" s="32">
        <v>16</v>
      </c>
      <c r="B383" s="33">
        <v>0.75</v>
      </c>
      <c r="C383" s="32">
        <f>'2200z'!E25</f>
        <v>9</v>
      </c>
      <c r="D383" s="32">
        <f>'2200z'!F25</f>
        <v>11</v>
      </c>
      <c r="E383" s="32">
        <f t="shared" si="107"/>
        <v>90</v>
      </c>
      <c r="F383" s="10">
        <f t="shared" si="108"/>
        <v>0</v>
      </c>
      <c r="G383" s="10">
        <f t="shared" si="109"/>
        <v>0</v>
      </c>
      <c r="H383" s="10">
        <f t="shared" si="92"/>
        <v>0</v>
      </c>
      <c r="I383" s="10">
        <f t="shared" si="93"/>
        <v>0</v>
      </c>
      <c r="J383" s="10">
        <f t="shared" si="94"/>
        <v>1</v>
      </c>
      <c r="K383" s="10">
        <f t="shared" si="95"/>
        <v>0</v>
      </c>
      <c r="L383" s="10">
        <f t="shared" si="96"/>
        <v>0</v>
      </c>
      <c r="M383" s="10">
        <f t="shared" si="97"/>
        <v>0</v>
      </c>
      <c r="N383" s="10">
        <f t="shared" si="98"/>
        <v>0</v>
      </c>
      <c r="O383" s="10">
        <f t="shared" si="99"/>
        <v>0</v>
      </c>
      <c r="P383" s="10">
        <f t="shared" si="100"/>
        <v>0</v>
      </c>
      <c r="Q383" s="10">
        <f t="shared" si="101"/>
        <v>0</v>
      </c>
      <c r="R383" s="10">
        <f t="shared" si="102"/>
        <v>0</v>
      </c>
      <c r="S383" s="10">
        <f t="shared" si="103"/>
        <v>0</v>
      </c>
      <c r="T383" s="10">
        <f t="shared" si="104"/>
        <v>0</v>
      </c>
      <c r="U383" s="10">
        <f t="shared" si="105"/>
        <v>0</v>
      </c>
      <c r="V383" s="10">
        <f t="shared" si="106"/>
        <v>0</v>
      </c>
    </row>
    <row r="384" spans="1:22" x14ac:dyDescent="0.2">
      <c r="A384" s="32">
        <v>16</v>
      </c>
      <c r="B384" s="33">
        <v>0.79166666666666696</v>
      </c>
      <c r="C384" s="32">
        <f>'2300z'!E25</f>
        <v>10</v>
      </c>
      <c r="D384" s="32">
        <f>'2300z'!F25</f>
        <v>10</v>
      </c>
      <c r="E384" s="32">
        <f t="shared" si="107"/>
        <v>100</v>
      </c>
      <c r="F384" s="10">
        <f t="shared" si="108"/>
        <v>0</v>
      </c>
      <c r="G384" s="10">
        <f t="shared" si="109"/>
        <v>0</v>
      </c>
      <c r="H384" s="10">
        <f t="shared" si="92"/>
        <v>0</v>
      </c>
      <c r="I384" s="10">
        <f t="shared" si="93"/>
        <v>0</v>
      </c>
      <c r="J384" s="10">
        <f t="shared" si="94"/>
        <v>1</v>
      </c>
      <c r="K384" s="10">
        <f t="shared" si="95"/>
        <v>0</v>
      </c>
      <c r="L384" s="10">
        <f t="shared" si="96"/>
        <v>0</v>
      </c>
      <c r="M384" s="10">
        <f t="shared" si="97"/>
        <v>0</v>
      </c>
      <c r="N384" s="10">
        <f t="shared" si="98"/>
        <v>0</v>
      </c>
      <c r="O384" s="10">
        <f t="shared" si="99"/>
        <v>0</v>
      </c>
      <c r="P384" s="10">
        <f t="shared" si="100"/>
        <v>0</v>
      </c>
      <c r="Q384" s="10">
        <f t="shared" si="101"/>
        <v>0</v>
      </c>
      <c r="R384" s="10">
        <f t="shared" si="102"/>
        <v>0</v>
      </c>
      <c r="S384" s="10">
        <f t="shared" si="103"/>
        <v>0</v>
      </c>
      <c r="T384" s="10">
        <f t="shared" si="104"/>
        <v>0</v>
      </c>
      <c r="U384" s="10">
        <f t="shared" si="105"/>
        <v>0</v>
      </c>
      <c r="V384" s="10">
        <f t="shared" si="106"/>
        <v>0</v>
      </c>
    </row>
    <row r="385" spans="1:22" x14ac:dyDescent="0.2">
      <c r="A385" s="32">
        <v>16</v>
      </c>
      <c r="B385" s="33">
        <v>0.83333333333333304</v>
      </c>
      <c r="C385" s="32">
        <f>'0000z'!E25</f>
        <v>9</v>
      </c>
      <c r="D385" s="32">
        <f>'0000z'!F25</f>
        <v>12</v>
      </c>
      <c r="E385" s="32">
        <f t="shared" si="107"/>
        <v>90</v>
      </c>
      <c r="F385" s="10">
        <f t="shared" si="108"/>
        <v>0</v>
      </c>
      <c r="G385" s="10">
        <f t="shared" si="109"/>
        <v>0</v>
      </c>
      <c r="H385" s="10">
        <f t="shared" si="92"/>
        <v>0</v>
      </c>
      <c r="I385" s="10">
        <f t="shared" si="93"/>
        <v>0</v>
      </c>
      <c r="J385" s="10">
        <f t="shared" si="94"/>
        <v>1</v>
      </c>
      <c r="K385" s="10">
        <f t="shared" si="95"/>
        <v>0</v>
      </c>
      <c r="L385" s="10">
        <f t="shared" si="96"/>
        <v>0</v>
      </c>
      <c r="M385" s="10">
        <f t="shared" si="97"/>
        <v>0</v>
      </c>
      <c r="N385" s="10">
        <f t="shared" si="98"/>
        <v>0</v>
      </c>
      <c r="O385" s="10">
        <f t="shared" si="99"/>
        <v>0</v>
      </c>
      <c r="P385" s="10">
        <f t="shared" si="100"/>
        <v>0</v>
      </c>
      <c r="Q385" s="10">
        <f t="shared" si="101"/>
        <v>0</v>
      </c>
      <c r="R385" s="10">
        <f t="shared" si="102"/>
        <v>0</v>
      </c>
      <c r="S385" s="10">
        <f t="shared" si="103"/>
        <v>0</v>
      </c>
      <c r="T385" s="10">
        <f t="shared" si="104"/>
        <v>0</v>
      </c>
      <c r="U385" s="10">
        <f t="shared" si="105"/>
        <v>0</v>
      </c>
      <c r="V385" s="10">
        <f t="shared" si="106"/>
        <v>0</v>
      </c>
    </row>
    <row r="386" spans="1:22" x14ac:dyDescent="0.2">
      <c r="A386" s="32">
        <v>16</v>
      </c>
      <c r="B386" s="33">
        <v>0.875</v>
      </c>
      <c r="C386" s="32">
        <f>'0100z'!E25</f>
        <v>7</v>
      </c>
      <c r="D386" s="32">
        <f>'0100z'!F25</f>
        <v>6</v>
      </c>
      <c r="E386" s="32">
        <f t="shared" si="107"/>
        <v>70</v>
      </c>
      <c r="F386" s="10">
        <f t="shared" si="108"/>
        <v>0</v>
      </c>
      <c r="G386" s="10">
        <f t="shared" si="109"/>
        <v>0</v>
      </c>
      <c r="H386" s="10">
        <f t="shared" si="92"/>
        <v>0</v>
      </c>
      <c r="I386" s="10">
        <f t="shared" si="93"/>
        <v>1</v>
      </c>
      <c r="J386" s="10">
        <f t="shared" si="94"/>
        <v>0</v>
      </c>
      <c r="K386" s="10">
        <f t="shared" si="95"/>
        <v>0</v>
      </c>
      <c r="L386" s="10">
        <f t="shared" si="96"/>
        <v>0</v>
      </c>
      <c r="M386" s="10">
        <f t="shared" si="97"/>
        <v>0</v>
      </c>
      <c r="N386" s="10">
        <f t="shared" si="98"/>
        <v>0</v>
      </c>
      <c r="O386" s="10">
        <f t="shared" si="99"/>
        <v>0</v>
      </c>
      <c r="P386" s="10">
        <f t="shared" si="100"/>
        <v>0</v>
      </c>
      <c r="Q386" s="10">
        <f t="shared" si="101"/>
        <v>0</v>
      </c>
      <c r="R386" s="10">
        <f t="shared" si="102"/>
        <v>0</v>
      </c>
      <c r="S386" s="10">
        <f t="shared" si="103"/>
        <v>0</v>
      </c>
      <c r="T386" s="10">
        <f t="shared" si="104"/>
        <v>0</v>
      </c>
      <c r="U386" s="10">
        <f t="shared" si="105"/>
        <v>0</v>
      </c>
      <c r="V386" s="10">
        <f t="shared" si="106"/>
        <v>0</v>
      </c>
    </row>
    <row r="387" spans="1:22" x14ac:dyDescent="0.2">
      <c r="A387" s="32">
        <v>16</v>
      </c>
      <c r="B387" s="33">
        <v>0.91666666666666696</v>
      </c>
      <c r="C387" s="32">
        <f>'0200z'!E25</f>
        <v>8</v>
      </c>
      <c r="D387" s="32">
        <f>'0200z'!F25</f>
        <v>7</v>
      </c>
      <c r="E387" s="32">
        <f t="shared" si="107"/>
        <v>80</v>
      </c>
      <c r="F387" s="10">
        <f t="shared" si="108"/>
        <v>0</v>
      </c>
      <c r="G387" s="10">
        <f t="shared" si="109"/>
        <v>0</v>
      </c>
      <c r="H387" s="10">
        <f t="shared" si="92"/>
        <v>0</v>
      </c>
      <c r="I387" s="10">
        <f t="shared" si="93"/>
        <v>0</v>
      </c>
      <c r="J387" s="10">
        <f t="shared" si="94"/>
        <v>1</v>
      </c>
      <c r="K387" s="10">
        <f t="shared" si="95"/>
        <v>0</v>
      </c>
      <c r="L387" s="10">
        <f t="shared" si="96"/>
        <v>0</v>
      </c>
      <c r="M387" s="10">
        <f t="shared" si="97"/>
        <v>0</v>
      </c>
      <c r="N387" s="10">
        <f t="shared" si="98"/>
        <v>0</v>
      </c>
      <c r="O387" s="10">
        <f t="shared" si="99"/>
        <v>0</v>
      </c>
      <c r="P387" s="10">
        <f t="shared" si="100"/>
        <v>0</v>
      </c>
      <c r="Q387" s="10">
        <f t="shared" si="101"/>
        <v>0</v>
      </c>
      <c r="R387" s="10">
        <f t="shared" si="102"/>
        <v>0</v>
      </c>
      <c r="S387" s="10">
        <f t="shared" si="103"/>
        <v>0</v>
      </c>
      <c r="T387" s="10">
        <f t="shared" si="104"/>
        <v>0</v>
      </c>
      <c r="U387" s="10">
        <f t="shared" si="105"/>
        <v>0</v>
      </c>
      <c r="V387" s="10">
        <f t="shared" si="106"/>
        <v>0</v>
      </c>
    </row>
    <row r="388" spans="1:22" x14ac:dyDescent="0.2">
      <c r="A388" s="32">
        <v>16</v>
      </c>
      <c r="B388" s="33">
        <v>0.95833333333333304</v>
      </c>
      <c r="C388" s="32">
        <f>'0300z'!E25</f>
        <v>9</v>
      </c>
      <c r="D388" s="32">
        <f>'0300z'!F25</f>
        <v>10</v>
      </c>
      <c r="E388" s="32">
        <f t="shared" si="107"/>
        <v>90</v>
      </c>
      <c r="F388" s="10">
        <f t="shared" si="108"/>
        <v>0</v>
      </c>
      <c r="G388" s="10">
        <f t="shared" si="109"/>
        <v>0</v>
      </c>
      <c r="H388" s="10">
        <f t="shared" si="92"/>
        <v>0</v>
      </c>
      <c r="I388" s="10">
        <f t="shared" si="93"/>
        <v>0</v>
      </c>
      <c r="J388" s="10">
        <f t="shared" si="94"/>
        <v>1</v>
      </c>
      <c r="K388" s="10">
        <f t="shared" si="95"/>
        <v>0</v>
      </c>
      <c r="L388" s="10">
        <f t="shared" si="96"/>
        <v>0</v>
      </c>
      <c r="M388" s="10">
        <f t="shared" si="97"/>
        <v>0</v>
      </c>
      <c r="N388" s="10">
        <f t="shared" si="98"/>
        <v>0</v>
      </c>
      <c r="O388" s="10">
        <f t="shared" si="99"/>
        <v>0</v>
      </c>
      <c r="P388" s="10">
        <f t="shared" si="100"/>
        <v>0</v>
      </c>
      <c r="Q388" s="10">
        <f t="shared" si="101"/>
        <v>0</v>
      </c>
      <c r="R388" s="10">
        <f t="shared" si="102"/>
        <v>0</v>
      </c>
      <c r="S388" s="10">
        <f t="shared" si="103"/>
        <v>0</v>
      </c>
      <c r="T388" s="10">
        <f t="shared" si="104"/>
        <v>0</v>
      </c>
      <c r="U388" s="10">
        <f t="shared" si="105"/>
        <v>0</v>
      </c>
      <c r="V388" s="10">
        <f t="shared" si="106"/>
        <v>0</v>
      </c>
    </row>
    <row r="389" spans="1:22" x14ac:dyDescent="0.2">
      <c r="A389" s="32">
        <v>17</v>
      </c>
      <c r="B389" s="33">
        <v>0</v>
      </c>
      <c r="C389" s="32">
        <f>'0400z'!E26</f>
        <v>8</v>
      </c>
      <c r="D389" s="32">
        <f>'0400z'!F26</f>
        <v>12</v>
      </c>
      <c r="E389" s="32">
        <f t="shared" si="107"/>
        <v>80</v>
      </c>
      <c r="F389" s="10">
        <f t="shared" si="108"/>
        <v>0</v>
      </c>
      <c r="G389" s="10">
        <f t="shared" si="109"/>
        <v>0</v>
      </c>
      <c r="H389" s="10">
        <f t="shared" si="92"/>
        <v>0</v>
      </c>
      <c r="I389" s="10">
        <f t="shared" si="93"/>
        <v>0</v>
      </c>
      <c r="J389" s="10">
        <f t="shared" si="94"/>
        <v>1</v>
      </c>
      <c r="K389" s="10">
        <f t="shared" si="95"/>
        <v>0</v>
      </c>
      <c r="L389" s="10">
        <f t="shared" si="96"/>
        <v>0</v>
      </c>
      <c r="M389" s="10">
        <f t="shared" si="97"/>
        <v>0</v>
      </c>
      <c r="N389" s="10">
        <f t="shared" si="98"/>
        <v>0</v>
      </c>
      <c r="O389" s="10">
        <f t="shared" si="99"/>
        <v>0</v>
      </c>
      <c r="P389" s="10">
        <f t="shared" si="100"/>
        <v>0</v>
      </c>
      <c r="Q389" s="10">
        <f t="shared" si="101"/>
        <v>0</v>
      </c>
      <c r="R389" s="10">
        <f t="shared" si="102"/>
        <v>0</v>
      </c>
      <c r="S389" s="10">
        <f t="shared" si="103"/>
        <v>0</v>
      </c>
      <c r="T389" s="10">
        <f t="shared" si="104"/>
        <v>0</v>
      </c>
      <c r="U389" s="10">
        <f t="shared" si="105"/>
        <v>0</v>
      </c>
      <c r="V389" s="10">
        <f t="shared" si="106"/>
        <v>0</v>
      </c>
    </row>
    <row r="390" spans="1:22" x14ac:dyDescent="0.2">
      <c r="A390" s="32">
        <v>17</v>
      </c>
      <c r="B390" s="33">
        <v>4.1666666666666664E-2</v>
      </c>
      <c r="C390" s="32">
        <f>'0500z'!E26</f>
        <v>9</v>
      </c>
      <c r="D390" s="32">
        <f>'0500z'!F26</f>
        <v>8</v>
      </c>
      <c r="E390" s="32">
        <f t="shared" si="107"/>
        <v>90</v>
      </c>
      <c r="F390" s="10">
        <f t="shared" si="108"/>
        <v>0</v>
      </c>
      <c r="G390" s="10">
        <f t="shared" si="109"/>
        <v>0</v>
      </c>
      <c r="H390" s="10">
        <f t="shared" ref="H390:H453" si="110">IF(E390&gt;33.75,IF(E390&lt;=56.25,1,0),0)</f>
        <v>0</v>
      </c>
      <c r="I390" s="10">
        <f t="shared" ref="I390:I453" si="111">IF(E390&gt;56.25,IF(E390&lt;=78.75,1,0),0)</f>
        <v>0</v>
      </c>
      <c r="J390" s="10">
        <f t="shared" ref="J390:J453" si="112">IF(E390&gt;78.75,IF(E390&lt;=101.25,1,0),0)</f>
        <v>1</v>
      </c>
      <c r="K390" s="10">
        <f t="shared" ref="K390:K453" si="113">IF(E390&gt;101.25,IF(E390&lt;=123.75,1,0),0)</f>
        <v>0</v>
      </c>
      <c r="L390" s="10">
        <f t="shared" ref="L390:L453" si="114">IF(E390&gt;123.75,IF(E390&lt;=146.25,1,0),0)</f>
        <v>0</v>
      </c>
      <c r="M390" s="10">
        <f t="shared" ref="M390:M453" si="115">IF(E390&gt;146.25,IF(E390&lt;=168.75,1,0),0)</f>
        <v>0</v>
      </c>
      <c r="N390" s="10">
        <f t="shared" ref="N390:N453" si="116">IF(E390&gt;168.75,IF(E390&lt;=191.25,1,0),0)</f>
        <v>0</v>
      </c>
      <c r="O390" s="10">
        <f t="shared" ref="O390:O453" si="117">IF(E390&gt;191.25,IF(E390&lt;=213.75,1,0),0)</f>
        <v>0</v>
      </c>
      <c r="P390" s="10">
        <f t="shared" ref="P390:P453" si="118">IF(E390&gt;213.75,IF(E390&lt;=236.25,1,0),0)</f>
        <v>0</v>
      </c>
      <c r="Q390" s="10">
        <f t="shared" ref="Q390:Q453" si="119">IF(E390&gt;236.25,IF(E390&lt;=258.75,1,0),0)</f>
        <v>0</v>
      </c>
      <c r="R390" s="10">
        <f t="shared" ref="R390:R453" si="120">IF(E390&gt;258.75,IF(E390&lt;=281.25,1,0),0)</f>
        <v>0</v>
      </c>
      <c r="S390" s="10">
        <f t="shared" ref="S390:S453" si="121">IF(E390&gt;281.25,IF(E390&lt;=303.75,1,0),0)</f>
        <v>0</v>
      </c>
      <c r="T390" s="10">
        <f t="shared" ref="T390:T453" si="122">IF(E390&gt;303.75,IF(E390&lt;=326.25,1,0),0)</f>
        <v>0</v>
      </c>
      <c r="U390" s="10">
        <f t="shared" ref="U390:U453" si="123">IF(E390&gt;326.25,IF(E390&lt;=348.75,1,0),0)</f>
        <v>0</v>
      </c>
      <c r="V390" s="10">
        <f t="shared" ref="V390:V453" si="124">IF(E390&gt;348.75,IF(E390&lt;=360,1,0),0)</f>
        <v>0</v>
      </c>
    </row>
    <row r="391" spans="1:22" x14ac:dyDescent="0.2">
      <c r="A391" s="32">
        <v>17</v>
      </c>
      <c r="B391" s="33">
        <v>8.3333333333333329E-2</v>
      </c>
      <c r="C391" s="32">
        <f>'0600z'!E26</f>
        <v>8</v>
      </c>
      <c r="D391" s="32">
        <f>'0600z'!F26</f>
        <v>8</v>
      </c>
      <c r="E391" s="32">
        <f t="shared" ref="E391:E454" si="125">(C391*10)</f>
        <v>80</v>
      </c>
      <c r="F391" s="10">
        <f t="shared" ref="F391:F454" si="126">IF(E391&gt;0,IF(E391&lt;=11.25,1,0),0)</f>
        <v>0</v>
      </c>
      <c r="G391" s="10">
        <f t="shared" ref="G391:G454" si="127">IF(E391&gt;11.25,IF(E391&lt;=33.75,1,0),0)</f>
        <v>0</v>
      </c>
      <c r="H391" s="10">
        <f t="shared" si="110"/>
        <v>0</v>
      </c>
      <c r="I391" s="10">
        <f t="shared" si="111"/>
        <v>0</v>
      </c>
      <c r="J391" s="10">
        <f t="shared" si="112"/>
        <v>1</v>
      </c>
      <c r="K391" s="10">
        <f t="shared" si="113"/>
        <v>0</v>
      </c>
      <c r="L391" s="10">
        <f t="shared" si="114"/>
        <v>0</v>
      </c>
      <c r="M391" s="10">
        <f t="shared" si="115"/>
        <v>0</v>
      </c>
      <c r="N391" s="10">
        <f t="shared" si="116"/>
        <v>0</v>
      </c>
      <c r="O391" s="10">
        <f t="shared" si="117"/>
        <v>0</v>
      </c>
      <c r="P391" s="10">
        <f t="shared" si="118"/>
        <v>0</v>
      </c>
      <c r="Q391" s="10">
        <f t="shared" si="119"/>
        <v>0</v>
      </c>
      <c r="R391" s="10">
        <f t="shared" si="120"/>
        <v>0</v>
      </c>
      <c r="S391" s="10">
        <f t="shared" si="121"/>
        <v>0</v>
      </c>
      <c r="T391" s="10">
        <f t="shared" si="122"/>
        <v>0</v>
      </c>
      <c r="U391" s="10">
        <f t="shared" si="123"/>
        <v>0</v>
      </c>
      <c r="V391" s="10">
        <f t="shared" si="124"/>
        <v>0</v>
      </c>
    </row>
    <row r="392" spans="1:22" x14ac:dyDescent="0.2">
      <c r="A392" s="32">
        <v>17</v>
      </c>
      <c r="B392" s="33">
        <v>0.125</v>
      </c>
      <c r="C392" s="32">
        <f>'0700z'!E26</f>
        <v>10</v>
      </c>
      <c r="D392" s="32">
        <f>'0700z'!F26</f>
        <v>13</v>
      </c>
      <c r="E392" s="32">
        <f t="shared" si="125"/>
        <v>100</v>
      </c>
      <c r="F392" s="10">
        <f t="shared" si="126"/>
        <v>0</v>
      </c>
      <c r="G392" s="10">
        <f t="shared" si="127"/>
        <v>0</v>
      </c>
      <c r="H392" s="10">
        <f t="shared" si="110"/>
        <v>0</v>
      </c>
      <c r="I392" s="10">
        <f t="shared" si="111"/>
        <v>0</v>
      </c>
      <c r="J392" s="10">
        <f t="shared" si="112"/>
        <v>1</v>
      </c>
      <c r="K392" s="10">
        <f t="shared" si="113"/>
        <v>0</v>
      </c>
      <c r="L392" s="10">
        <f t="shared" si="114"/>
        <v>0</v>
      </c>
      <c r="M392" s="10">
        <f t="shared" si="115"/>
        <v>0</v>
      </c>
      <c r="N392" s="10">
        <f t="shared" si="116"/>
        <v>0</v>
      </c>
      <c r="O392" s="10">
        <f t="shared" si="117"/>
        <v>0</v>
      </c>
      <c r="P392" s="10">
        <f t="shared" si="118"/>
        <v>0</v>
      </c>
      <c r="Q392" s="10">
        <f t="shared" si="119"/>
        <v>0</v>
      </c>
      <c r="R392" s="10">
        <f t="shared" si="120"/>
        <v>0</v>
      </c>
      <c r="S392" s="10">
        <f t="shared" si="121"/>
        <v>0</v>
      </c>
      <c r="T392" s="10">
        <f t="shared" si="122"/>
        <v>0</v>
      </c>
      <c r="U392" s="10">
        <f t="shared" si="123"/>
        <v>0</v>
      </c>
      <c r="V392" s="10">
        <f t="shared" si="124"/>
        <v>0</v>
      </c>
    </row>
    <row r="393" spans="1:22" x14ac:dyDescent="0.2">
      <c r="A393" s="32">
        <v>17</v>
      </c>
      <c r="B393" s="33">
        <v>0.16666666666666699</v>
      </c>
      <c r="C393" s="32">
        <f>'0800z'!E26</f>
        <v>8</v>
      </c>
      <c r="D393" s="32">
        <f>'0800z'!F26</f>
        <v>11</v>
      </c>
      <c r="E393" s="32">
        <f t="shared" si="125"/>
        <v>80</v>
      </c>
      <c r="F393" s="10">
        <f t="shared" si="126"/>
        <v>0</v>
      </c>
      <c r="G393" s="10">
        <f t="shared" si="127"/>
        <v>0</v>
      </c>
      <c r="H393" s="10">
        <f t="shared" si="110"/>
        <v>0</v>
      </c>
      <c r="I393" s="10">
        <f t="shared" si="111"/>
        <v>0</v>
      </c>
      <c r="J393" s="10">
        <f t="shared" si="112"/>
        <v>1</v>
      </c>
      <c r="K393" s="10">
        <f t="shared" si="113"/>
        <v>0</v>
      </c>
      <c r="L393" s="10">
        <f t="shared" si="114"/>
        <v>0</v>
      </c>
      <c r="M393" s="10">
        <f t="shared" si="115"/>
        <v>0</v>
      </c>
      <c r="N393" s="10">
        <f t="shared" si="116"/>
        <v>0</v>
      </c>
      <c r="O393" s="10">
        <f t="shared" si="117"/>
        <v>0</v>
      </c>
      <c r="P393" s="10">
        <f t="shared" si="118"/>
        <v>0</v>
      </c>
      <c r="Q393" s="10">
        <f t="shared" si="119"/>
        <v>0</v>
      </c>
      <c r="R393" s="10">
        <f t="shared" si="120"/>
        <v>0</v>
      </c>
      <c r="S393" s="10">
        <f t="shared" si="121"/>
        <v>0</v>
      </c>
      <c r="T393" s="10">
        <f t="shared" si="122"/>
        <v>0</v>
      </c>
      <c r="U393" s="10">
        <f t="shared" si="123"/>
        <v>0</v>
      </c>
      <c r="V393" s="10">
        <f t="shared" si="124"/>
        <v>0</v>
      </c>
    </row>
    <row r="394" spans="1:22" x14ac:dyDescent="0.2">
      <c r="A394" s="32">
        <v>17</v>
      </c>
      <c r="B394" s="33">
        <v>0.20833333333333301</v>
      </c>
      <c r="C394" s="32">
        <f>'0900z'!E26</f>
        <v>9</v>
      </c>
      <c r="D394" s="32">
        <f>'0900z'!F26</f>
        <v>5</v>
      </c>
      <c r="E394" s="32">
        <f t="shared" si="125"/>
        <v>90</v>
      </c>
      <c r="F394" s="10">
        <f t="shared" si="126"/>
        <v>0</v>
      </c>
      <c r="G394" s="10">
        <f t="shared" si="127"/>
        <v>0</v>
      </c>
      <c r="H394" s="10">
        <f t="shared" si="110"/>
        <v>0</v>
      </c>
      <c r="I394" s="10">
        <f t="shared" si="111"/>
        <v>0</v>
      </c>
      <c r="J394" s="10">
        <f t="shared" si="112"/>
        <v>1</v>
      </c>
      <c r="K394" s="10">
        <f t="shared" si="113"/>
        <v>0</v>
      </c>
      <c r="L394" s="10">
        <f t="shared" si="114"/>
        <v>0</v>
      </c>
      <c r="M394" s="10">
        <f t="shared" si="115"/>
        <v>0</v>
      </c>
      <c r="N394" s="10">
        <f t="shared" si="116"/>
        <v>0</v>
      </c>
      <c r="O394" s="10">
        <f t="shared" si="117"/>
        <v>0</v>
      </c>
      <c r="P394" s="10">
        <f t="shared" si="118"/>
        <v>0</v>
      </c>
      <c r="Q394" s="10">
        <f t="shared" si="119"/>
        <v>0</v>
      </c>
      <c r="R394" s="10">
        <f t="shared" si="120"/>
        <v>0</v>
      </c>
      <c r="S394" s="10">
        <f t="shared" si="121"/>
        <v>0</v>
      </c>
      <c r="T394" s="10">
        <f t="shared" si="122"/>
        <v>0</v>
      </c>
      <c r="U394" s="10">
        <f t="shared" si="123"/>
        <v>0</v>
      </c>
      <c r="V394" s="10">
        <f t="shared" si="124"/>
        <v>0</v>
      </c>
    </row>
    <row r="395" spans="1:22" x14ac:dyDescent="0.2">
      <c r="A395" s="32">
        <v>17</v>
      </c>
      <c r="B395" s="33">
        <v>0.25</v>
      </c>
      <c r="C395" s="32">
        <f>'1000z'!E26</f>
        <v>9</v>
      </c>
      <c r="D395" s="32">
        <f>'1000z'!F26</f>
        <v>12</v>
      </c>
      <c r="E395" s="32">
        <f t="shared" si="125"/>
        <v>90</v>
      </c>
      <c r="F395" s="10">
        <f t="shared" si="126"/>
        <v>0</v>
      </c>
      <c r="G395" s="10">
        <f t="shared" si="127"/>
        <v>0</v>
      </c>
      <c r="H395" s="10">
        <f t="shared" si="110"/>
        <v>0</v>
      </c>
      <c r="I395" s="10">
        <f t="shared" si="111"/>
        <v>0</v>
      </c>
      <c r="J395" s="10">
        <f t="shared" si="112"/>
        <v>1</v>
      </c>
      <c r="K395" s="10">
        <f t="shared" si="113"/>
        <v>0</v>
      </c>
      <c r="L395" s="10">
        <f t="shared" si="114"/>
        <v>0</v>
      </c>
      <c r="M395" s="10">
        <f t="shared" si="115"/>
        <v>0</v>
      </c>
      <c r="N395" s="10">
        <f t="shared" si="116"/>
        <v>0</v>
      </c>
      <c r="O395" s="10">
        <f t="shared" si="117"/>
        <v>0</v>
      </c>
      <c r="P395" s="10">
        <f t="shared" si="118"/>
        <v>0</v>
      </c>
      <c r="Q395" s="10">
        <f t="shared" si="119"/>
        <v>0</v>
      </c>
      <c r="R395" s="10">
        <f t="shared" si="120"/>
        <v>0</v>
      </c>
      <c r="S395" s="10">
        <f t="shared" si="121"/>
        <v>0</v>
      </c>
      <c r="T395" s="10">
        <f t="shared" si="122"/>
        <v>0</v>
      </c>
      <c r="U395" s="10">
        <f t="shared" si="123"/>
        <v>0</v>
      </c>
      <c r="V395" s="10">
        <f t="shared" si="124"/>
        <v>0</v>
      </c>
    </row>
    <row r="396" spans="1:22" x14ac:dyDescent="0.2">
      <c r="A396" s="32">
        <v>17</v>
      </c>
      <c r="B396" s="33">
        <v>0.29166666666666702</v>
      </c>
      <c r="C396" s="32">
        <f>'1100z'!E26</f>
        <v>9</v>
      </c>
      <c r="D396" s="32">
        <f>'1100z'!F26</f>
        <v>6</v>
      </c>
      <c r="E396" s="32">
        <f t="shared" si="125"/>
        <v>90</v>
      </c>
      <c r="F396" s="10">
        <f t="shared" si="126"/>
        <v>0</v>
      </c>
      <c r="G396" s="10">
        <f t="shared" si="127"/>
        <v>0</v>
      </c>
      <c r="H396" s="10">
        <f t="shared" si="110"/>
        <v>0</v>
      </c>
      <c r="I396" s="10">
        <f t="shared" si="111"/>
        <v>0</v>
      </c>
      <c r="J396" s="10">
        <f t="shared" si="112"/>
        <v>1</v>
      </c>
      <c r="K396" s="10">
        <f t="shared" si="113"/>
        <v>0</v>
      </c>
      <c r="L396" s="10">
        <f t="shared" si="114"/>
        <v>0</v>
      </c>
      <c r="M396" s="10">
        <f t="shared" si="115"/>
        <v>0</v>
      </c>
      <c r="N396" s="10">
        <f t="shared" si="116"/>
        <v>0</v>
      </c>
      <c r="O396" s="10">
        <f t="shared" si="117"/>
        <v>0</v>
      </c>
      <c r="P396" s="10">
        <f t="shared" si="118"/>
        <v>0</v>
      </c>
      <c r="Q396" s="10">
        <f t="shared" si="119"/>
        <v>0</v>
      </c>
      <c r="R396" s="10">
        <f t="shared" si="120"/>
        <v>0</v>
      </c>
      <c r="S396" s="10">
        <f t="shared" si="121"/>
        <v>0</v>
      </c>
      <c r="T396" s="10">
        <f t="shared" si="122"/>
        <v>0</v>
      </c>
      <c r="U396" s="10">
        <f t="shared" si="123"/>
        <v>0</v>
      </c>
      <c r="V396" s="10">
        <f t="shared" si="124"/>
        <v>0</v>
      </c>
    </row>
    <row r="397" spans="1:22" x14ac:dyDescent="0.2">
      <c r="A397" s="32">
        <v>17</v>
      </c>
      <c r="B397" s="33">
        <v>0.33333333333333298</v>
      </c>
      <c r="C397" s="32">
        <f>'1200z'!E26</f>
        <v>9</v>
      </c>
      <c r="D397" s="32">
        <f>'1200z'!F26</f>
        <v>5</v>
      </c>
      <c r="E397" s="32">
        <f t="shared" si="125"/>
        <v>90</v>
      </c>
      <c r="F397" s="10">
        <f t="shared" si="126"/>
        <v>0</v>
      </c>
      <c r="G397" s="10">
        <f t="shared" si="127"/>
        <v>0</v>
      </c>
      <c r="H397" s="10">
        <f t="shared" si="110"/>
        <v>0</v>
      </c>
      <c r="I397" s="10">
        <f t="shared" si="111"/>
        <v>0</v>
      </c>
      <c r="J397" s="10">
        <f t="shared" si="112"/>
        <v>1</v>
      </c>
      <c r="K397" s="10">
        <f t="shared" si="113"/>
        <v>0</v>
      </c>
      <c r="L397" s="10">
        <f t="shared" si="114"/>
        <v>0</v>
      </c>
      <c r="M397" s="10">
        <f t="shared" si="115"/>
        <v>0</v>
      </c>
      <c r="N397" s="10">
        <f t="shared" si="116"/>
        <v>0</v>
      </c>
      <c r="O397" s="10">
        <f t="shared" si="117"/>
        <v>0</v>
      </c>
      <c r="P397" s="10">
        <f t="shared" si="118"/>
        <v>0</v>
      </c>
      <c r="Q397" s="10">
        <f t="shared" si="119"/>
        <v>0</v>
      </c>
      <c r="R397" s="10">
        <f t="shared" si="120"/>
        <v>0</v>
      </c>
      <c r="S397" s="10">
        <f t="shared" si="121"/>
        <v>0</v>
      </c>
      <c r="T397" s="10">
        <f t="shared" si="122"/>
        <v>0</v>
      </c>
      <c r="U397" s="10">
        <f t="shared" si="123"/>
        <v>0</v>
      </c>
      <c r="V397" s="10">
        <f t="shared" si="124"/>
        <v>0</v>
      </c>
    </row>
    <row r="398" spans="1:22" x14ac:dyDescent="0.2">
      <c r="A398" s="32">
        <v>17</v>
      </c>
      <c r="B398" s="33">
        <v>0.375</v>
      </c>
      <c r="C398" s="32">
        <f>'1300z'!E26</f>
        <v>10</v>
      </c>
      <c r="D398" s="32">
        <f>'1300z'!F26</f>
        <v>8</v>
      </c>
      <c r="E398" s="32">
        <f t="shared" si="125"/>
        <v>100</v>
      </c>
      <c r="F398" s="10">
        <f t="shared" si="126"/>
        <v>0</v>
      </c>
      <c r="G398" s="10">
        <f t="shared" si="127"/>
        <v>0</v>
      </c>
      <c r="H398" s="10">
        <f t="shared" si="110"/>
        <v>0</v>
      </c>
      <c r="I398" s="10">
        <f t="shared" si="111"/>
        <v>0</v>
      </c>
      <c r="J398" s="10">
        <f t="shared" si="112"/>
        <v>1</v>
      </c>
      <c r="K398" s="10">
        <f t="shared" si="113"/>
        <v>0</v>
      </c>
      <c r="L398" s="10">
        <f t="shared" si="114"/>
        <v>0</v>
      </c>
      <c r="M398" s="10">
        <f t="shared" si="115"/>
        <v>0</v>
      </c>
      <c r="N398" s="10">
        <f t="shared" si="116"/>
        <v>0</v>
      </c>
      <c r="O398" s="10">
        <f t="shared" si="117"/>
        <v>0</v>
      </c>
      <c r="P398" s="10">
        <f t="shared" si="118"/>
        <v>0</v>
      </c>
      <c r="Q398" s="10">
        <f t="shared" si="119"/>
        <v>0</v>
      </c>
      <c r="R398" s="10">
        <f t="shared" si="120"/>
        <v>0</v>
      </c>
      <c r="S398" s="10">
        <f t="shared" si="121"/>
        <v>0</v>
      </c>
      <c r="T398" s="10">
        <f t="shared" si="122"/>
        <v>0</v>
      </c>
      <c r="U398" s="10">
        <f t="shared" si="123"/>
        <v>0</v>
      </c>
      <c r="V398" s="10">
        <f t="shared" si="124"/>
        <v>0</v>
      </c>
    </row>
    <row r="399" spans="1:22" x14ac:dyDescent="0.2">
      <c r="A399" s="32">
        <v>17</v>
      </c>
      <c r="B399" s="33">
        <v>0.41666666666666702</v>
      </c>
      <c r="C399" s="32">
        <f>'1400z'!E26</f>
        <v>10</v>
      </c>
      <c r="D399" s="32">
        <f>'1400z'!F26</f>
        <v>12</v>
      </c>
      <c r="E399" s="32">
        <f t="shared" si="125"/>
        <v>100</v>
      </c>
      <c r="F399" s="10">
        <f t="shared" si="126"/>
        <v>0</v>
      </c>
      <c r="G399" s="10">
        <f t="shared" si="127"/>
        <v>0</v>
      </c>
      <c r="H399" s="10">
        <f t="shared" si="110"/>
        <v>0</v>
      </c>
      <c r="I399" s="10">
        <f t="shared" si="111"/>
        <v>0</v>
      </c>
      <c r="J399" s="10">
        <f t="shared" si="112"/>
        <v>1</v>
      </c>
      <c r="K399" s="10">
        <f t="shared" si="113"/>
        <v>0</v>
      </c>
      <c r="L399" s="10">
        <f t="shared" si="114"/>
        <v>0</v>
      </c>
      <c r="M399" s="10">
        <f t="shared" si="115"/>
        <v>0</v>
      </c>
      <c r="N399" s="10">
        <f t="shared" si="116"/>
        <v>0</v>
      </c>
      <c r="O399" s="10">
        <f t="shared" si="117"/>
        <v>0</v>
      </c>
      <c r="P399" s="10">
        <f t="shared" si="118"/>
        <v>0</v>
      </c>
      <c r="Q399" s="10">
        <f t="shared" si="119"/>
        <v>0</v>
      </c>
      <c r="R399" s="10">
        <f t="shared" si="120"/>
        <v>0</v>
      </c>
      <c r="S399" s="10">
        <f t="shared" si="121"/>
        <v>0</v>
      </c>
      <c r="T399" s="10">
        <f t="shared" si="122"/>
        <v>0</v>
      </c>
      <c r="U399" s="10">
        <f t="shared" si="123"/>
        <v>0</v>
      </c>
      <c r="V399" s="10">
        <f t="shared" si="124"/>
        <v>0</v>
      </c>
    </row>
    <row r="400" spans="1:22" x14ac:dyDescent="0.2">
      <c r="A400" s="32">
        <v>17</v>
      </c>
      <c r="B400" s="33">
        <v>0.45833333333333298</v>
      </c>
      <c r="C400" s="32">
        <f>'1500z'!E26</f>
        <v>12</v>
      </c>
      <c r="D400" s="32">
        <f>'1500z'!F26</f>
        <v>11</v>
      </c>
      <c r="E400" s="32">
        <f t="shared" si="125"/>
        <v>120</v>
      </c>
      <c r="F400" s="10">
        <f t="shared" si="126"/>
        <v>0</v>
      </c>
      <c r="G400" s="10">
        <f t="shared" si="127"/>
        <v>0</v>
      </c>
      <c r="H400" s="10">
        <f t="shared" si="110"/>
        <v>0</v>
      </c>
      <c r="I400" s="10">
        <f t="shared" si="111"/>
        <v>0</v>
      </c>
      <c r="J400" s="10">
        <f t="shared" si="112"/>
        <v>0</v>
      </c>
      <c r="K400" s="10">
        <f t="shared" si="113"/>
        <v>1</v>
      </c>
      <c r="L400" s="10">
        <f t="shared" si="114"/>
        <v>0</v>
      </c>
      <c r="M400" s="10">
        <f t="shared" si="115"/>
        <v>0</v>
      </c>
      <c r="N400" s="10">
        <f t="shared" si="116"/>
        <v>0</v>
      </c>
      <c r="O400" s="10">
        <f t="shared" si="117"/>
        <v>0</v>
      </c>
      <c r="P400" s="10">
        <f t="shared" si="118"/>
        <v>0</v>
      </c>
      <c r="Q400" s="10">
        <f t="shared" si="119"/>
        <v>0</v>
      </c>
      <c r="R400" s="10">
        <f t="shared" si="120"/>
        <v>0</v>
      </c>
      <c r="S400" s="10">
        <f t="shared" si="121"/>
        <v>0</v>
      </c>
      <c r="T400" s="10">
        <f t="shared" si="122"/>
        <v>0</v>
      </c>
      <c r="U400" s="10">
        <f t="shared" si="123"/>
        <v>0</v>
      </c>
      <c r="V400" s="10">
        <f t="shared" si="124"/>
        <v>0</v>
      </c>
    </row>
    <row r="401" spans="1:22" x14ac:dyDescent="0.2">
      <c r="A401" s="32">
        <v>17</v>
      </c>
      <c r="B401" s="33">
        <v>0.5</v>
      </c>
      <c r="C401" s="32">
        <f>'1600z'!E26</f>
        <v>12</v>
      </c>
      <c r="D401" s="32">
        <f>'1600z'!F26</f>
        <v>7</v>
      </c>
      <c r="E401" s="32">
        <f t="shared" si="125"/>
        <v>120</v>
      </c>
      <c r="F401" s="10">
        <f t="shared" si="126"/>
        <v>0</v>
      </c>
      <c r="G401" s="10">
        <f t="shared" si="127"/>
        <v>0</v>
      </c>
      <c r="H401" s="10">
        <f t="shared" si="110"/>
        <v>0</v>
      </c>
      <c r="I401" s="10">
        <f t="shared" si="111"/>
        <v>0</v>
      </c>
      <c r="J401" s="10">
        <f t="shared" si="112"/>
        <v>0</v>
      </c>
      <c r="K401" s="10">
        <f t="shared" si="113"/>
        <v>1</v>
      </c>
      <c r="L401" s="10">
        <f t="shared" si="114"/>
        <v>0</v>
      </c>
      <c r="M401" s="10">
        <f t="shared" si="115"/>
        <v>0</v>
      </c>
      <c r="N401" s="10">
        <f t="shared" si="116"/>
        <v>0</v>
      </c>
      <c r="O401" s="10">
        <f t="shared" si="117"/>
        <v>0</v>
      </c>
      <c r="P401" s="10">
        <f t="shared" si="118"/>
        <v>0</v>
      </c>
      <c r="Q401" s="10">
        <f t="shared" si="119"/>
        <v>0</v>
      </c>
      <c r="R401" s="10">
        <f t="shared" si="120"/>
        <v>0</v>
      </c>
      <c r="S401" s="10">
        <f t="shared" si="121"/>
        <v>0</v>
      </c>
      <c r="T401" s="10">
        <f t="shared" si="122"/>
        <v>0</v>
      </c>
      <c r="U401" s="10">
        <f t="shared" si="123"/>
        <v>0</v>
      </c>
      <c r="V401" s="10">
        <f t="shared" si="124"/>
        <v>0</v>
      </c>
    </row>
    <row r="402" spans="1:22" x14ac:dyDescent="0.2">
      <c r="A402" s="32">
        <v>17</v>
      </c>
      <c r="B402" s="33">
        <v>0.54166666666666696</v>
      </c>
      <c r="C402" s="32">
        <f>'1700z'!E26</f>
        <v>13</v>
      </c>
      <c r="D402" s="32">
        <f>'1700z'!F26</f>
        <v>7</v>
      </c>
      <c r="E402" s="32">
        <f t="shared" si="125"/>
        <v>130</v>
      </c>
      <c r="F402" s="10">
        <f t="shared" si="126"/>
        <v>0</v>
      </c>
      <c r="G402" s="10">
        <f t="shared" si="127"/>
        <v>0</v>
      </c>
      <c r="H402" s="10">
        <f t="shared" si="110"/>
        <v>0</v>
      </c>
      <c r="I402" s="10">
        <f t="shared" si="111"/>
        <v>0</v>
      </c>
      <c r="J402" s="10">
        <f t="shared" si="112"/>
        <v>0</v>
      </c>
      <c r="K402" s="10">
        <f t="shared" si="113"/>
        <v>0</v>
      </c>
      <c r="L402" s="10">
        <f t="shared" si="114"/>
        <v>1</v>
      </c>
      <c r="M402" s="10">
        <f t="shared" si="115"/>
        <v>0</v>
      </c>
      <c r="N402" s="10">
        <f t="shared" si="116"/>
        <v>0</v>
      </c>
      <c r="O402" s="10">
        <f t="shared" si="117"/>
        <v>0</v>
      </c>
      <c r="P402" s="10">
        <f t="shared" si="118"/>
        <v>0</v>
      </c>
      <c r="Q402" s="10">
        <f t="shared" si="119"/>
        <v>0</v>
      </c>
      <c r="R402" s="10">
        <f t="shared" si="120"/>
        <v>0</v>
      </c>
      <c r="S402" s="10">
        <f t="shared" si="121"/>
        <v>0</v>
      </c>
      <c r="T402" s="10">
        <f t="shared" si="122"/>
        <v>0</v>
      </c>
      <c r="U402" s="10">
        <f t="shared" si="123"/>
        <v>0</v>
      </c>
      <c r="V402" s="10">
        <f t="shared" si="124"/>
        <v>0</v>
      </c>
    </row>
    <row r="403" spans="1:22" x14ac:dyDescent="0.2">
      <c r="A403" s="32">
        <v>17</v>
      </c>
      <c r="B403" s="33">
        <v>0.58333333333333304</v>
      </c>
      <c r="C403" s="32">
        <f>'1800z'!E26</f>
        <v>10</v>
      </c>
      <c r="D403" s="32">
        <f>'1800z'!F26</f>
        <v>13</v>
      </c>
      <c r="E403" s="32">
        <f t="shared" si="125"/>
        <v>100</v>
      </c>
      <c r="F403" s="10">
        <f t="shared" si="126"/>
        <v>0</v>
      </c>
      <c r="G403" s="10">
        <f t="shared" si="127"/>
        <v>0</v>
      </c>
      <c r="H403" s="10">
        <f t="shared" si="110"/>
        <v>0</v>
      </c>
      <c r="I403" s="10">
        <f t="shared" si="111"/>
        <v>0</v>
      </c>
      <c r="J403" s="10">
        <f t="shared" si="112"/>
        <v>1</v>
      </c>
      <c r="K403" s="10">
        <f t="shared" si="113"/>
        <v>0</v>
      </c>
      <c r="L403" s="10">
        <f t="shared" si="114"/>
        <v>0</v>
      </c>
      <c r="M403" s="10">
        <f t="shared" si="115"/>
        <v>0</v>
      </c>
      <c r="N403" s="10">
        <f t="shared" si="116"/>
        <v>0</v>
      </c>
      <c r="O403" s="10">
        <f t="shared" si="117"/>
        <v>0</v>
      </c>
      <c r="P403" s="10">
        <f t="shared" si="118"/>
        <v>0</v>
      </c>
      <c r="Q403" s="10">
        <f t="shared" si="119"/>
        <v>0</v>
      </c>
      <c r="R403" s="10">
        <f t="shared" si="120"/>
        <v>0</v>
      </c>
      <c r="S403" s="10">
        <f t="shared" si="121"/>
        <v>0</v>
      </c>
      <c r="T403" s="10">
        <f t="shared" si="122"/>
        <v>0</v>
      </c>
      <c r="U403" s="10">
        <f t="shared" si="123"/>
        <v>0</v>
      </c>
      <c r="V403" s="10">
        <f t="shared" si="124"/>
        <v>0</v>
      </c>
    </row>
    <row r="404" spans="1:22" x14ac:dyDescent="0.2">
      <c r="A404" s="32">
        <v>17</v>
      </c>
      <c r="B404" s="33">
        <v>0.625</v>
      </c>
      <c r="C404" s="32">
        <f>'1900z'!E26</f>
        <v>13</v>
      </c>
      <c r="D404" s="32">
        <f>'1900z'!F26</f>
        <v>17</v>
      </c>
      <c r="E404" s="32">
        <f t="shared" si="125"/>
        <v>130</v>
      </c>
      <c r="F404" s="10">
        <f t="shared" si="126"/>
        <v>0</v>
      </c>
      <c r="G404" s="10">
        <f t="shared" si="127"/>
        <v>0</v>
      </c>
      <c r="H404" s="10">
        <f t="shared" si="110"/>
        <v>0</v>
      </c>
      <c r="I404" s="10">
        <f t="shared" si="111"/>
        <v>0</v>
      </c>
      <c r="J404" s="10">
        <f t="shared" si="112"/>
        <v>0</v>
      </c>
      <c r="K404" s="10">
        <f t="shared" si="113"/>
        <v>0</v>
      </c>
      <c r="L404" s="10">
        <f t="shared" si="114"/>
        <v>1</v>
      </c>
      <c r="M404" s="10">
        <f t="shared" si="115"/>
        <v>0</v>
      </c>
      <c r="N404" s="10">
        <f t="shared" si="116"/>
        <v>0</v>
      </c>
      <c r="O404" s="10">
        <f t="shared" si="117"/>
        <v>0</v>
      </c>
      <c r="P404" s="10">
        <f t="shared" si="118"/>
        <v>0</v>
      </c>
      <c r="Q404" s="10">
        <f t="shared" si="119"/>
        <v>0</v>
      </c>
      <c r="R404" s="10">
        <f t="shared" si="120"/>
        <v>0</v>
      </c>
      <c r="S404" s="10">
        <f t="shared" si="121"/>
        <v>0</v>
      </c>
      <c r="T404" s="10">
        <f t="shared" si="122"/>
        <v>0</v>
      </c>
      <c r="U404" s="10">
        <f t="shared" si="123"/>
        <v>0</v>
      </c>
      <c r="V404" s="10">
        <f t="shared" si="124"/>
        <v>0</v>
      </c>
    </row>
    <row r="405" spans="1:22" x14ac:dyDescent="0.2">
      <c r="A405" s="32">
        <v>17</v>
      </c>
      <c r="B405" s="33">
        <v>0.66666666666666696</v>
      </c>
      <c r="C405" s="32">
        <f>'2000z'!E26</f>
        <v>15</v>
      </c>
      <c r="D405" s="32">
        <f>'2000z'!F26</f>
        <v>10</v>
      </c>
      <c r="E405" s="32">
        <f t="shared" si="125"/>
        <v>150</v>
      </c>
      <c r="F405" s="10">
        <f t="shared" si="126"/>
        <v>0</v>
      </c>
      <c r="G405" s="10">
        <f t="shared" si="127"/>
        <v>0</v>
      </c>
      <c r="H405" s="10">
        <f t="shared" si="110"/>
        <v>0</v>
      </c>
      <c r="I405" s="10">
        <f t="shared" si="111"/>
        <v>0</v>
      </c>
      <c r="J405" s="10">
        <f t="shared" si="112"/>
        <v>0</v>
      </c>
      <c r="K405" s="10">
        <f t="shared" si="113"/>
        <v>0</v>
      </c>
      <c r="L405" s="10">
        <f t="shared" si="114"/>
        <v>0</v>
      </c>
      <c r="M405" s="10">
        <f t="shared" si="115"/>
        <v>1</v>
      </c>
      <c r="N405" s="10">
        <f t="shared" si="116"/>
        <v>0</v>
      </c>
      <c r="O405" s="10">
        <f t="shared" si="117"/>
        <v>0</v>
      </c>
      <c r="P405" s="10">
        <f t="shared" si="118"/>
        <v>0</v>
      </c>
      <c r="Q405" s="10">
        <f t="shared" si="119"/>
        <v>0</v>
      </c>
      <c r="R405" s="10">
        <f t="shared" si="120"/>
        <v>0</v>
      </c>
      <c r="S405" s="10">
        <f t="shared" si="121"/>
        <v>0</v>
      </c>
      <c r="T405" s="10">
        <f t="shared" si="122"/>
        <v>0</v>
      </c>
      <c r="U405" s="10">
        <f t="shared" si="123"/>
        <v>0</v>
      </c>
      <c r="V405" s="10">
        <f t="shared" si="124"/>
        <v>0</v>
      </c>
    </row>
    <row r="406" spans="1:22" x14ac:dyDescent="0.2">
      <c r="A406" s="32">
        <v>17</v>
      </c>
      <c r="B406" s="33">
        <v>0.70833333333333304</v>
      </c>
      <c r="C406" s="32">
        <f>'2100z'!E26</f>
        <v>8</v>
      </c>
      <c r="D406" s="32">
        <f>'2100z'!F26</f>
        <v>5</v>
      </c>
      <c r="E406" s="32">
        <f t="shared" si="125"/>
        <v>80</v>
      </c>
      <c r="F406" s="10">
        <f t="shared" si="126"/>
        <v>0</v>
      </c>
      <c r="G406" s="10">
        <f t="shared" si="127"/>
        <v>0</v>
      </c>
      <c r="H406" s="10">
        <f t="shared" si="110"/>
        <v>0</v>
      </c>
      <c r="I406" s="10">
        <f t="shared" si="111"/>
        <v>0</v>
      </c>
      <c r="J406" s="10">
        <f t="shared" si="112"/>
        <v>1</v>
      </c>
      <c r="K406" s="10">
        <f t="shared" si="113"/>
        <v>0</v>
      </c>
      <c r="L406" s="10">
        <f t="shared" si="114"/>
        <v>0</v>
      </c>
      <c r="M406" s="10">
        <f t="shared" si="115"/>
        <v>0</v>
      </c>
      <c r="N406" s="10">
        <f t="shared" si="116"/>
        <v>0</v>
      </c>
      <c r="O406" s="10">
        <f t="shared" si="117"/>
        <v>0</v>
      </c>
      <c r="P406" s="10">
        <f t="shared" si="118"/>
        <v>0</v>
      </c>
      <c r="Q406" s="10">
        <f t="shared" si="119"/>
        <v>0</v>
      </c>
      <c r="R406" s="10">
        <f t="shared" si="120"/>
        <v>0</v>
      </c>
      <c r="S406" s="10">
        <f t="shared" si="121"/>
        <v>0</v>
      </c>
      <c r="T406" s="10">
        <f t="shared" si="122"/>
        <v>0</v>
      </c>
      <c r="U406" s="10">
        <f t="shared" si="123"/>
        <v>0</v>
      </c>
      <c r="V406" s="10">
        <f t="shared" si="124"/>
        <v>0</v>
      </c>
    </row>
    <row r="407" spans="1:22" x14ac:dyDescent="0.2">
      <c r="A407" s="32">
        <v>17</v>
      </c>
      <c r="B407" s="33">
        <v>0.75</v>
      </c>
      <c r="C407" s="32">
        <f>'2200z'!E26</f>
        <v>0</v>
      </c>
      <c r="D407" s="32">
        <f>'2200z'!F26</f>
        <v>0</v>
      </c>
      <c r="E407" s="32">
        <f t="shared" si="125"/>
        <v>0</v>
      </c>
      <c r="F407" s="10">
        <f t="shared" si="126"/>
        <v>0</v>
      </c>
      <c r="G407" s="10">
        <f t="shared" si="127"/>
        <v>0</v>
      </c>
      <c r="H407" s="10">
        <f t="shared" si="110"/>
        <v>0</v>
      </c>
      <c r="I407" s="10">
        <f t="shared" si="111"/>
        <v>0</v>
      </c>
      <c r="J407" s="10">
        <f t="shared" si="112"/>
        <v>0</v>
      </c>
      <c r="K407" s="10">
        <f t="shared" si="113"/>
        <v>0</v>
      </c>
      <c r="L407" s="10">
        <f t="shared" si="114"/>
        <v>0</v>
      </c>
      <c r="M407" s="10">
        <f t="shared" si="115"/>
        <v>0</v>
      </c>
      <c r="N407" s="10">
        <f t="shared" si="116"/>
        <v>0</v>
      </c>
      <c r="O407" s="10">
        <f t="shared" si="117"/>
        <v>0</v>
      </c>
      <c r="P407" s="10">
        <f t="shared" si="118"/>
        <v>0</v>
      </c>
      <c r="Q407" s="10">
        <f t="shared" si="119"/>
        <v>0</v>
      </c>
      <c r="R407" s="10">
        <f t="shared" si="120"/>
        <v>0</v>
      </c>
      <c r="S407" s="10">
        <f t="shared" si="121"/>
        <v>0</v>
      </c>
      <c r="T407" s="10">
        <f t="shared" si="122"/>
        <v>0</v>
      </c>
      <c r="U407" s="10">
        <f t="shared" si="123"/>
        <v>0</v>
      </c>
      <c r="V407" s="10">
        <f t="shared" si="124"/>
        <v>0</v>
      </c>
    </row>
    <row r="408" spans="1:22" x14ac:dyDescent="0.2">
      <c r="A408" s="32">
        <v>17</v>
      </c>
      <c r="B408" s="33">
        <v>0.79166666666666696</v>
      </c>
      <c r="C408" s="32">
        <f>'2300z'!E26</f>
        <v>0</v>
      </c>
      <c r="D408" s="32">
        <f>'2300z'!F26</f>
        <v>0</v>
      </c>
      <c r="E408" s="32">
        <f t="shared" si="125"/>
        <v>0</v>
      </c>
      <c r="F408" s="10">
        <f t="shared" si="126"/>
        <v>0</v>
      </c>
      <c r="G408" s="10">
        <f t="shared" si="127"/>
        <v>0</v>
      </c>
      <c r="H408" s="10">
        <f t="shared" si="110"/>
        <v>0</v>
      </c>
      <c r="I408" s="10">
        <f t="shared" si="111"/>
        <v>0</v>
      </c>
      <c r="J408" s="10">
        <f t="shared" si="112"/>
        <v>0</v>
      </c>
      <c r="K408" s="10">
        <f t="shared" si="113"/>
        <v>0</v>
      </c>
      <c r="L408" s="10">
        <f t="shared" si="114"/>
        <v>0</v>
      </c>
      <c r="M408" s="10">
        <f t="shared" si="115"/>
        <v>0</v>
      </c>
      <c r="N408" s="10">
        <f t="shared" si="116"/>
        <v>0</v>
      </c>
      <c r="O408" s="10">
        <f t="shared" si="117"/>
        <v>0</v>
      </c>
      <c r="P408" s="10">
        <f t="shared" si="118"/>
        <v>0</v>
      </c>
      <c r="Q408" s="10">
        <f t="shared" si="119"/>
        <v>0</v>
      </c>
      <c r="R408" s="10">
        <f t="shared" si="120"/>
        <v>0</v>
      </c>
      <c r="S408" s="10">
        <f t="shared" si="121"/>
        <v>0</v>
      </c>
      <c r="T408" s="10">
        <f t="shared" si="122"/>
        <v>0</v>
      </c>
      <c r="U408" s="10">
        <f t="shared" si="123"/>
        <v>0</v>
      </c>
      <c r="V408" s="10">
        <f t="shared" si="124"/>
        <v>0</v>
      </c>
    </row>
    <row r="409" spans="1:22" x14ac:dyDescent="0.2">
      <c r="A409" s="32">
        <v>17</v>
      </c>
      <c r="B409" s="33">
        <v>0.83333333333333304</v>
      </c>
      <c r="C409" s="32">
        <f>'0000z'!E26</f>
        <v>0</v>
      </c>
      <c r="D409" s="32">
        <f>'0000z'!F26</f>
        <v>0</v>
      </c>
      <c r="E409" s="32">
        <f t="shared" si="125"/>
        <v>0</v>
      </c>
      <c r="F409" s="10">
        <f t="shared" si="126"/>
        <v>0</v>
      </c>
      <c r="G409" s="10">
        <f t="shared" si="127"/>
        <v>0</v>
      </c>
      <c r="H409" s="10">
        <f t="shared" si="110"/>
        <v>0</v>
      </c>
      <c r="I409" s="10">
        <f t="shared" si="111"/>
        <v>0</v>
      </c>
      <c r="J409" s="10">
        <f t="shared" si="112"/>
        <v>0</v>
      </c>
      <c r="K409" s="10">
        <f t="shared" si="113"/>
        <v>0</v>
      </c>
      <c r="L409" s="10">
        <f t="shared" si="114"/>
        <v>0</v>
      </c>
      <c r="M409" s="10">
        <f t="shared" si="115"/>
        <v>0</v>
      </c>
      <c r="N409" s="10">
        <f t="shared" si="116"/>
        <v>0</v>
      </c>
      <c r="O409" s="10">
        <f t="shared" si="117"/>
        <v>0</v>
      </c>
      <c r="P409" s="10">
        <f t="shared" si="118"/>
        <v>0</v>
      </c>
      <c r="Q409" s="10">
        <f t="shared" si="119"/>
        <v>0</v>
      </c>
      <c r="R409" s="10">
        <f t="shared" si="120"/>
        <v>0</v>
      </c>
      <c r="S409" s="10">
        <f t="shared" si="121"/>
        <v>0</v>
      </c>
      <c r="T409" s="10">
        <f t="shared" si="122"/>
        <v>0</v>
      </c>
      <c r="U409" s="10">
        <f t="shared" si="123"/>
        <v>0</v>
      </c>
      <c r="V409" s="10">
        <f t="shared" si="124"/>
        <v>0</v>
      </c>
    </row>
    <row r="410" spans="1:22" x14ac:dyDescent="0.2">
      <c r="A410" s="32">
        <v>17</v>
      </c>
      <c r="B410" s="33">
        <v>0.875</v>
      </c>
      <c r="C410" s="32">
        <f>'0100z'!E26</f>
        <v>10</v>
      </c>
      <c r="D410" s="32">
        <f>'0100z'!F26</f>
        <v>3</v>
      </c>
      <c r="E410" s="32">
        <f t="shared" si="125"/>
        <v>100</v>
      </c>
      <c r="F410" s="10">
        <f t="shared" si="126"/>
        <v>0</v>
      </c>
      <c r="G410" s="10">
        <f t="shared" si="127"/>
        <v>0</v>
      </c>
      <c r="H410" s="10">
        <f t="shared" si="110"/>
        <v>0</v>
      </c>
      <c r="I410" s="10">
        <f t="shared" si="111"/>
        <v>0</v>
      </c>
      <c r="J410" s="10">
        <f t="shared" si="112"/>
        <v>1</v>
      </c>
      <c r="K410" s="10">
        <f t="shared" si="113"/>
        <v>0</v>
      </c>
      <c r="L410" s="10">
        <f t="shared" si="114"/>
        <v>0</v>
      </c>
      <c r="M410" s="10">
        <f t="shared" si="115"/>
        <v>0</v>
      </c>
      <c r="N410" s="10">
        <f t="shared" si="116"/>
        <v>0</v>
      </c>
      <c r="O410" s="10">
        <f t="shared" si="117"/>
        <v>0</v>
      </c>
      <c r="P410" s="10">
        <f t="shared" si="118"/>
        <v>0</v>
      </c>
      <c r="Q410" s="10">
        <f t="shared" si="119"/>
        <v>0</v>
      </c>
      <c r="R410" s="10">
        <f t="shared" si="120"/>
        <v>0</v>
      </c>
      <c r="S410" s="10">
        <f t="shared" si="121"/>
        <v>0</v>
      </c>
      <c r="T410" s="10">
        <f t="shared" si="122"/>
        <v>0</v>
      </c>
      <c r="U410" s="10">
        <f t="shared" si="123"/>
        <v>0</v>
      </c>
      <c r="V410" s="10">
        <f t="shared" si="124"/>
        <v>0</v>
      </c>
    </row>
    <row r="411" spans="1:22" x14ac:dyDescent="0.2">
      <c r="A411" s="32">
        <v>17</v>
      </c>
      <c r="B411" s="33">
        <v>0.91666666666666696</v>
      </c>
      <c r="C411" s="32">
        <f>'0200z'!E26</f>
        <v>0</v>
      </c>
      <c r="D411" s="32">
        <f>'0200z'!F26</f>
        <v>0</v>
      </c>
      <c r="E411" s="32">
        <f t="shared" si="125"/>
        <v>0</v>
      </c>
      <c r="F411" s="10">
        <f t="shared" si="126"/>
        <v>0</v>
      </c>
      <c r="G411" s="10">
        <f t="shared" si="127"/>
        <v>0</v>
      </c>
      <c r="H411" s="10">
        <f t="shared" si="110"/>
        <v>0</v>
      </c>
      <c r="I411" s="10">
        <f t="shared" si="111"/>
        <v>0</v>
      </c>
      <c r="J411" s="10">
        <f t="shared" si="112"/>
        <v>0</v>
      </c>
      <c r="K411" s="10">
        <f t="shared" si="113"/>
        <v>0</v>
      </c>
      <c r="L411" s="10">
        <f t="shared" si="114"/>
        <v>0</v>
      </c>
      <c r="M411" s="10">
        <f t="shared" si="115"/>
        <v>0</v>
      </c>
      <c r="N411" s="10">
        <f t="shared" si="116"/>
        <v>0</v>
      </c>
      <c r="O411" s="10">
        <f t="shared" si="117"/>
        <v>0</v>
      </c>
      <c r="P411" s="10">
        <f t="shared" si="118"/>
        <v>0</v>
      </c>
      <c r="Q411" s="10">
        <f t="shared" si="119"/>
        <v>0</v>
      </c>
      <c r="R411" s="10">
        <f t="shared" si="120"/>
        <v>0</v>
      </c>
      <c r="S411" s="10">
        <f t="shared" si="121"/>
        <v>0</v>
      </c>
      <c r="T411" s="10">
        <f t="shared" si="122"/>
        <v>0</v>
      </c>
      <c r="U411" s="10">
        <f t="shared" si="123"/>
        <v>0</v>
      </c>
      <c r="V411" s="10">
        <f t="shared" si="124"/>
        <v>0</v>
      </c>
    </row>
    <row r="412" spans="1:22" x14ac:dyDescent="0.2">
      <c r="A412" s="32">
        <v>17</v>
      </c>
      <c r="B412" s="33">
        <v>0.95833333333333304</v>
      </c>
      <c r="C412" s="32">
        <f>'0300z'!E26</f>
        <v>0</v>
      </c>
      <c r="D412" s="32">
        <f>'0300z'!F26</f>
        <v>0</v>
      </c>
      <c r="E412" s="32">
        <f t="shared" si="125"/>
        <v>0</v>
      </c>
      <c r="F412" s="10">
        <f t="shared" si="126"/>
        <v>0</v>
      </c>
      <c r="G412" s="10">
        <f t="shared" si="127"/>
        <v>0</v>
      </c>
      <c r="H412" s="10">
        <f t="shared" si="110"/>
        <v>0</v>
      </c>
      <c r="I412" s="10">
        <f t="shared" si="111"/>
        <v>0</v>
      </c>
      <c r="J412" s="10">
        <f t="shared" si="112"/>
        <v>0</v>
      </c>
      <c r="K412" s="10">
        <f t="shared" si="113"/>
        <v>0</v>
      </c>
      <c r="L412" s="10">
        <f t="shared" si="114"/>
        <v>0</v>
      </c>
      <c r="M412" s="10">
        <f t="shared" si="115"/>
        <v>0</v>
      </c>
      <c r="N412" s="10">
        <f t="shared" si="116"/>
        <v>0</v>
      </c>
      <c r="O412" s="10">
        <f t="shared" si="117"/>
        <v>0</v>
      </c>
      <c r="P412" s="10">
        <f t="shared" si="118"/>
        <v>0</v>
      </c>
      <c r="Q412" s="10">
        <f t="shared" si="119"/>
        <v>0</v>
      </c>
      <c r="R412" s="10">
        <f t="shared" si="120"/>
        <v>0</v>
      </c>
      <c r="S412" s="10">
        <f t="shared" si="121"/>
        <v>0</v>
      </c>
      <c r="T412" s="10">
        <f t="shared" si="122"/>
        <v>0</v>
      </c>
      <c r="U412" s="10">
        <f t="shared" si="123"/>
        <v>0</v>
      </c>
      <c r="V412" s="10">
        <f t="shared" si="124"/>
        <v>0</v>
      </c>
    </row>
    <row r="413" spans="1:22" x14ac:dyDescent="0.2">
      <c r="A413" s="32">
        <v>18</v>
      </c>
      <c r="B413" s="33">
        <v>0</v>
      </c>
      <c r="C413" s="32">
        <f>'0400z'!E27</f>
        <v>0</v>
      </c>
      <c r="D413" s="32">
        <f>'0400z'!F27</f>
        <v>0</v>
      </c>
      <c r="E413" s="32">
        <f t="shared" si="125"/>
        <v>0</v>
      </c>
      <c r="F413" s="10">
        <f t="shared" si="126"/>
        <v>0</v>
      </c>
      <c r="G413" s="10">
        <f t="shared" si="127"/>
        <v>0</v>
      </c>
      <c r="H413" s="10">
        <f t="shared" si="110"/>
        <v>0</v>
      </c>
      <c r="I413" s="10">
        <f t="shared" si="111"/>
        <v>0</v>
      </c>
      <c r="J413" s="10">
        <f t="shared" si="112"/>
        <v>0</v>
      </c>
      <c r="K413" s="10">
        <f t="shared" si="113"/>
        <v>0</v>
      </c>
      <c r="L413" s="10">
        <f t="shared" si="114"/>
        <v>0</v>
      </c>
      <c r="M413" s="10">
        <f t="shared" si="115"/>
        <v>0</v>
      </c>
      <c r="N413" s="10">
        <f t="shared" si="116"/>
        <v>0</v>
      </c>
      <c r="O413" s="10">
        <f t="shared" si="117"/>
        <v>0</v>
      </c>
      <c r="P413" s="10">
        <f t="shared" si="118"/>
        <v>0</v>
      </c>
      <c r="Q413" s="10">
        <f t="shared" si="119"/>
        <v>0</v>
      </c>
      <c r="R413" s="10">
        <f t="shared" si="120"/>
        <v>0</v>
      </c>
      <c r="S413" s="10">
        <f t="shared" si="121"/>
        <v>0</v>
      </c>
      <c r="T413" s="10">
        <f t="shared" si="122"/>
        <v>0</v>
      </c>
      <c r="U413" s="10">
        <f t="shared" si="123"/>
        <v>0</v>
      </c>
      <c r="V413" s="10">
        <f t="shared" si="124"/>
        <v>0</v>
      </c>
    </row>
    <row r="414" spans="1:22" x14ac:dyDescent="0.2">
      <c r="A414" s="32">
        <v>18</v>
      </c>
      <c r="B414" s="33">
        <v>4.1666666666666664E-2</v>
      </c>
      <c r="C414" s="32">
        <f>'0500z'!E27</f>
        <v>0</v>
      </c>
      <c r="D414" s="32">
        <f>'0500z'!F27</f>
        <v>0</v>
      </c>
      <c r="E414" s="32">
        <f t="shared" si="125"/>
        <v>0</v>
      </c>
      <c r="F414" s="10">
        <f t="shared" si="126"/>
        <v>0</v>
      </c>
      <c r="G414" s="10">
        <f t="shared" si="127"/>
        <v>0</v>
      </c>
      <c r="H414" s="10">
        <f t="shared" si="110"/>
        <v>0</v>
      </c>
      <c r="I414" s="10">
        <f t="shared" si="111"/>
        <v>0</v>
      </c>
      <c r="J414" s="10">
        <f t="shared" si="112"/>
        <v>0</v>
      </c>
      <c r="K414" s="10">
        <f t="shared" si="113"/>
        <v>0</v>
      </c>
      <c r="L414" s="10">
        <f t="shared" si="114"/>
        <v>0</v>
      </c>
      <c r="M414" s="10">
        <f t="shared" si="115"/>
        <v>0</v>
      </c>
      <c r="N414" s="10">
        <f t="shared" si="116"/>
        <v>0</v>
      </c>
      <c r="O414" s="10">
        <f t="shared" si="117"/>
        <v>0</v>
      </c>
      <c r="P414" s="10">
        <f t="shared" si="118"/>
        <v>0</v>
      </c>
      <c r="Q414" s="10">
        <f t="shared" si="119"/>
        <v>0</v>
      </c>
      <c r="R414" s="10">
        <f t="shared" si="120"/>
        <v>0</v>
      </c>
      <c r="S414" s="10">
        <f t="shared" si="121"/>
        <v>0</v>
      </c>
      <c r="T414" s="10">
        <f t="shared" si="122"/>
        <v>0</v>
      </c>
      <c r="U414" s="10">
        <f t="shared" si="123"/>
        <v>0</v>
      </c>
      <c r="V414" s="10">
        <f t="shared" si="124"/>
        <v>0</v>
      </c>
    </row>
    <row r="415" spans="1:22" x14ac:dyDescent="0.2">
      <c r="A415" s="32">
        <v>18</v>
      </c>
      <c r="B415" s="33">
        <v>8.3333333333333329E-2</v>
      </c>
      <c r="C415" s="32">
        <f>'0600z'!E27</f>
        <v>0</v>
      </c>
      <c r="D415" s="32">
        <f>'0600z'!F27</f>
        <v>0</v>
      </c>
      <c r="E415" s="32">
        <f t="shared" si="125"/>
        <v>0</v>
      </c>
      <c r="F415" s="10">
        <f t="shared" si="126"/>
        <v>0</v>
      </c>
      <c r="G415" s="10">
        <f t="shared" si="127"/>
        <v>0</v>
      </c>
      <c r="H415" s="10">
        <f t="shared" si="110"/>
        <v>0</v>
      </c>
      <c r="I415" s="10">
        <f t="shared" si="111"/>
        <v>0</v>
      </c>
      <c r="J415" s="10">
        <f t="shared" si="112"/>
        <v>0</v>
      </c>
      <c r="K415" s="10">
        <f t="shared" si="113"/>
        <v>0</v>
      </c>
      <c r="L415" s="10">
        <f t="shared" si="114"/>
        <v>0</v>
      </c>
      <c r="M415" s="10">
        <f t="shared" si="115"/>
        <v>0</v>
      </c>
      <c r="N415" s="10">
        <f t="shared" si="116"/>
        <v>0</v>
      </c>
      <c r="O415" s="10">
        <f t="shared" si="117"/>
        <v>0</v>
      </c>
      <c r="P415" s="10">
        <f t="shared" si="118"/>
        <v>0</v>
      </c>
      <c r="Q415" s="10">
        <f t="shared" si="119"/>
        <v>0</v>
      </c>
      <c r="R415" s="10">
        <f t="shared" si="120"/>
        <v>0</v>
      </c>
      <c r="S415" s="10">
        <f t="shared" si="121"/>
        <v>0</v>
      </c>
      <c r="T415" s="10">
        <f t="shared" si="122"/>
        <v>0</v>
      </c>
      <c r="U415" s="10">
        <f t="shared" si="123"/>
        <v>0</v>
      </c>
      <c r="V415" s="10">
        <f t="shared" si="124"/>
        <v>0</v>
      </c>
    </row>
    <row r="416" spans="1:22" x14ac:dyDescent="0.2">
      <c r="A416" s="32">
        <v>18</v>
      </c>
      <c r="B416" s="33">
        <v>0.125</v>
      </c>
      <c r="C416" s="32">
        <f>'0700z'!E27</f>
        <v>5</v>
      </c>
      <c r="D416" s="32">
        <f>'0700z'!F27</f>
        <v>4</v>
      </c>
      <c r="E416" s="32">
        <f t="shared" si="125"/>
        <v>50</v>
      </c>
      <c r="F416" s="10">
        <f t="shared" si="126"/>
        <v>0</v>
      </c>
      <c r="G416" s="10">
        <f t="shared" si="127"/>
        <v>0</v>
      </c>
      <c r="H416" s="10">
        <f t="shared" si="110"/>
        <v>1</v>
      </c>
      <c r="I416" s="10">
        <f t="shared" si="111"/>
        <v>0</v>
      </c>
      <c r="J416" s="10">
        <f t="shared" si="112"/>
        <v>0</v>
      </c>
      <c r="K416" s="10">
        <f t="shared" si="113"/>
        <v>0</v>
      </c>
      <c r="L416" s="10">
        <f t="shared" si="114"/>
        <v>0</v>
      </c>
      <c r="M416" s="10">
        <f t="shared" si="115"/>
        <v>0</v>
      </c>
      <c r="N416" s="10">
        <f t="shared" si="116"/>
        <v>0</v>
      </c>
      <c r="O416" s="10">
        <f t="shared" si="117"/>
        <v>0</v>
      </c>
      <c r="P416" s="10">
        <f t="shared" si="118"/>
        <v>0</v>
      </c>
      <c r="Q416" s="10">
        <f t="shared" si="119"/>
        <v>0</v>
      </c>
      <c r="R416" s="10">
        <f t="shared" si="120"/>
        <v>0</v>
      </c>
      <c r="S416" s="10">
        <f t="shared" si="121"/>
        <v>0</v>
      </c>
      <c r="T416" s="10">
        <f t="shared" si="122"/>
        <v>0</v>
      </c>
      <c r="U416" s="10">
        <f t="shared" si="123"/>
        <v>0</v>
      </c>
      <c r="V416" s="10">
        <f t="shared" si="124"/>
        <v>0</v>
      </c>
    </row>
    <row r="417" spans="1:22" x14ac:dyDescent="0.2">
      <c r="A417" s="32">
        <v>18</v>
      </c>
      <c r="B417" s="33">
        <v>0.16666666666666699</v>
      </c>
      <c r="C417" s="32">
        <f>'0800z'!E27</f>
        <v>6</v>
      </c>
      <c r="D417" s="32">
        <f>'0800z'!F27</f>
        <v>7</v>
      </c>
      <c r="E417" s="32">
        <f t="shared" si="125"/>
        <v>60</v>
      </c>
      <c r="F417" s="10">
        <f t="shared" si="126"/>
        <v>0</v>
      </c>
      <c r="G417" s="10">
        <f t="shared" si="127"/>
        <v>0</v>
      </c>
      <c r="H417" s="10">
        <f t="shared" si="110"/>
        <v>0</v>
      </c>
      <c r="I417" s="10">
        <f t="shared" si="111"/>
        <v>1</v>
      </c>
      <c r="J417" s="10">
        <f t="shared" si="112"/>
        <v>0</v>
      </c>
      <c r="K417" s="10">
        <f t="shared" si="113"/>
        <v>0</v>
      </c>
      <c r="L417" s="10">
        <f t="shared" si="114"/>
        <v>0</v>
      </c>
      <c r="M417" s="10">
        <f t="shared" si="115"/>
        <v>0</v>
      </c>
      <c r="N417" s="10">
        <f t="shared" si="116"/>
        <v>0</v>
      </c>
      <c r="O417" s="10">
        <f t="shared" si="117"/>
        <v>0</v>
      </c>
      <c r="P417" s="10">
        <f t="shared" si="118"/>
        <v>0</v>
      </c>
      <c r="Q417" s="10">
        <f t="shared" si="119"/>
        <v>0</v>
      </c>
      <c r="R417" s="10">
        <f t="shared" si="120"/>
        <v>0</v>
      </c>
      <c r="S417" s="10">
        <f t="shared" si="121"/>
        <v>0</v>
      </c>
      <c r="T417" s="10">
        <f t="shared" si="122"/>
        <v>0</v>
      </c>
      <c r="U417" s="10">
        <f t="shared" si="123"/>
        <v>0</v>
      </c>
      <c r="V417" s="10">
        <f t="shared" si="124"/>
        <v>0</v>
      </c>
    </row>
    <row r="418" spans="1:22" x14ac:dyDescent="0.2">
      <c r="A418" s="32">
        <v>18</v>
      </c>
      <c r="B418" s="33">
        <v>0.20833333333333301</v>
      </c>
      <c r="C418" s="32">
        <f>'0900z'!E27</f>
        <v>8</v>
      </c>
      <c r="D418" s="32">
        <f>'0900z'!F27</f>
        <v>7</v>
      </c>
      <c r="E418" s="32">
        <f t="shared" si="125"/>
        <v>80</v>
      </c>
      <c r="F418" s="10">
        <f t="shared" si="126"/>
        <v>0</v>
      </c>
      <c r="G418" s="10">
        <f t="shared" si="127"/>
        <v>0</v>
      </c>
      <c r="H418" s="10">
        <f t="shared" si="110"/>
        <v>0</v>
      </c>
      <c r="I418" s="10">
        <f t="shared" si="111"/>
        <v>0</v>
      </c>
      <c r="J418" s="10">
        <f t="shared" si="112"/>
        <v>1</v>
      </c>
      <c r="K418" s="10">
        <f t="shared" si="113"/>
        <v>0</v>
      </c>
      <c r="L418" s="10">
        <f t="shared" si="114"/>
        <v>0</v>
      </c>
      <c r="M418" s="10">
        <f t="shared" si="115"/>
        <v>0</v>
      </c>
      <c r="N418" s="10">
        <f t="shared" si="116"/>
        <v>0</v>
      </c>
      <c r="O418" s="10">
        <f t="shared" si="117"/>
        <v>0</v>
      </c>
      <c r="P418" s="10">
        <f t="shared" si="118"/>
        <v>0</v>
      </c>
      <c r="Q418" s="10">
        <f t="shared" si="119"/>
        <v>0</v>
      </c>
      <c r="R418" s="10">
        <f t="shared" si="120"/>
        <v>0</v>
      </c>
      <c r="S418" s="10">
        <f t="shared" si="121"/>
        <v>0</v>
      </c>
      <c r="T418" s="10">
        <f t="shared" si="122"/>
        <v>0</v>
      </c>
      <c r="U418" s="10">
        <f t="shared" si="123"/>
        <v>0</v>
      </c>
      <c r="V418" s="10">
        <f t="shared" si="124"/>
        <v>0</v>
      </c>
    </row>
    <row r="419" spans="1:22" x14ac:dyDescent="0.2">
      <c r="A419" s="32">
        <v>18</v>
      </c>
      <c r="B419" s="33">
        <v>0.25</v>
      </c>
      <c r="C419" s="32">
        <f>'1000z'!E27</f>
        <v>8</v>
      </c>
      <c r="D419" s="32">
        <f>'1000z'!F27</f>
        <v>10</v>
      </c>
      <c r="E419" s="32">
        <f t="shared" si="125"/>
        <v>80</v>
      </c>
      <c r="F419" s="10">
        <f t="shared" si="126"/>
        <v>0</v>
      </c>
      <c r="G419" s="10">
        <f t="shared" si="127"/>
        <v>0</v>
      </c>
      <c r="H419" s="10">
        <f t="shared" si="110"/>
        <v>0</v>
      </c>
      <c r="I419" s="10">
        <f t="shared" si="111"/>
        <v>0</v>
      </c>
      <c r="J419" s="10">
        <f t="shared" si="112"/>
        <v>1</v>
      </c>
      <c r="K419" s="10">
        <f t="shared" si="113"/>
        <v>0</v>
      </c>
      <c r="L419" s="10">
        <f t="shared" si="114"/>
        <v>0</v>
      </c>
      <c r="M419" s="10">
        <f t="shared" si="115"/>
        <v>0</v>
      </c>
      <c r="N419" s="10">
        <f t="shared" si="116"/>
        <v>0</v>
      </c>
      <c r="O419" s="10">
        <f t="shared" si="117"/>
        <v>0</v>
      </c>
      <c r="P419" s="10">
        <f t="shared" si="118"/>
        <v>0</v>
      </c>
      <c r="Q419" s="10">
        <f t="shared" si="119"/>
        <v>0</v>
      </c>
      <c r="R419" s="10">
        <f t="shared" si="120"/>
        <v>0</v>
      </c>
      <c r="S419" s="10">
        <f t="shared" si="121"/>
        <v>0</v>
      </c>
      <c r="T419" s="10">
        <f t="shared" si="122"/>
        <v>0</v>
      </c>
      <c r="U419" s="10">
        <f t="shared" si="123"/>
        <v>0</v>
      </c>
      <c r="V419" s="10">
        <f t="shared" si="124"/>
        <v>0</v>
      </c>
    </row>
    <row r="420" spans="1:22" x14ac:dyDescent="0.2">
      <c r="A420" s="32">
        <v>18</v>
      </c>
      <c r="B420" s="33">
        <v>0.29166666666666702</v>
      </c>
      <c r="C420" s="32">
        <f>'1100z'!E27</f>
        <v>10</v>
      </c>
      <c r="D420" s="32">
        <f>'1100z'!F27</f>
        <v>4</v>
      </c>
      <c r="E420" s="32">
        <f t="shared" si="125"/>
        <v>100</v>
      </c>
      <c r="F420" s="10">
        <f t="shared" si="126"/>
        <v>0</v>
      </c>
      <c r="G420" s="10">
        <f t="shared" si="127"/>
        <v>0</v>
      </c>
      <c r="H420" s="10">
        <f t="shared" si="110"/>
        <v>0</v>
      </c>
      <c r="I420" s="10">
        <f t="shared" si="111"/>
        <v>0</v>
      </c>
      <c r="J420" s="10">
        <f t="shared" si="112"/>
        <v>1</v>
      </c>
      <c r="K420" s="10">
        <f t="shared" si="113"/>
        <v>0</v>
      </c>
      <c r="L420" s="10">
        <f t="shared" si="114"/>
        <v>0</v>
      </c>
      <c r="M420" s="10">
        <f t="shared" si="115"/>
        <v>0</v>
      </c>
      <c r="N420" s="10">
        <f t="shared" si="116"/>
        <v>0</v>
      </c>
      <c r="O420" s="10">
        <f t="shared" si="117"/>
        <v>0</v>
      </c>
      <c r="P420" s="10">
        <f t="shared" si="118"/>
        <v>0</v>
      </c>
      <c r="Q420" s="10">
        <f t="shared" si="119"/>
        <v>0</v>
      </c>
      <c r="R420" s="10">
        <f t="shared" si="120"/>
        <v>0</v>
      </c>
      <c r="S420" s="10">
        <f t="shared" si="121"/>
        <v>0</v>
      </c>
      <c r="T420" s="10">
        <f t="shared" si="122"/>
        <v>0</v>
      </c>
      <c r="U420" s="10">
        <f t="shared" si="123"/>
        <v>0</v>
      </c>
      <c r="V420" s="10">
        <f t="shared" si="124"/>
        <v>0</v>
      </c>
    </row>
    <row r="421" spans="1:22" x14ac:dyDescent="0.2">
      <c r="A421" s="32">
        <v>18</v>
      </c>
      <c r="B421" s="33">
        <v>0.33333333333333298</v>
      </c>
      <c r="C421" s="32">
        <f>'1200z'!E27</f>
        <v>9</v>
      </c>
      <c r="D421" s="32">
        <f>'1200z'!F27</f>
        <v>7</v>
      </c>
      <c r="E421" s="32">
        <f t="shared" si="125"/>
        <v>90</v>
      </c>
      <c r="F421" s="10">
        <f t="shared" si="126"/>
        <v>0</v>
      </c>
      <c r="G421" s="10">
        <f t="shared" si="127"/>
        <v>0</v>
      </c>
      <c r="H421" s="10">
        <f t="shared" si="110"/>
        <v>0</v>
      </c>
      <c r="I421" s="10">
        <f t="shared" si="111"/>
        <v>0</v>
      </c>
      <c r="J421" s="10">
        <f t="shared" si="112"/>
        <v>1</v>
      </c>
      <c r="K421" s="10">
        <f t="shared" si="113"/>
        <v>0</v>
      </c>
      <c r="L421" s="10">
        <f t="shared" si="114"/>
        <v>0</v>
      </c>
      <c r="M421" s="10">
        <f t="shared" si="115"/>
        <v>0</v>
      </c>
      <c r="N421" s="10">
        <f t="shared" si="116"/>
        <v>0</v>
      </c>
      <c r="O421" s="10">
        <f t="shared" si="117"/>
        <v>0</v>
      </c>
      <c r="P421" s="10">
        <f t="shared" si="118"/>
        <v>0</v>
      </c>
      <c r="Q421" s="10">
        <f t="shared" si="119"/>
        <v>0</v>
      </c>
      <c r="R421" s="10">
        <f t="shared" si="120"/>
        <v>0</v>
      </c>
      <c r="S421" s="10">
        <f t="shared" si="121"/>
        <v>0</v>
      </c>
      <c r="T421" s="10">
        <f t="shared" si="122"/>
        <v>0</v>
      </c>
      <c r="U421" s="10">
        <f t="shared" si="123"/>
        <v>0</v>
      </c>
      <c r="V421" s="10">
        <f t="shared" si="124"/>
        <v>0</v>
      </c>
    </row>
    <row r="422" spans="1:22" x14ac:dyDescent="0.2">
      <c r="A422" s="32">
        <v>18</v>
      </c>
      <c r="B422" s="33">
        <v>0.375</v>
      </c>
      <c r="C422" s="32">
        <f>'1300z'!E27</f>
        <v>9</v>
      </c>
      <c r="D422" s="32">
        <f>'1300z'!F27</f>
        <v>7</v>
      </c>
      <c r="E422" s="32">
        <f t="shared" si="125"/>
        <v>90</v>
      </c>
      <c r="F422" s="10">
        <f t="shared" si="126"/>
        <v>0</v>
      </c>
      <c r="G422" s="10">
        <f t="shared" si="127"/>
        <v>0</v>
      </c>
      <c r="H422" s="10">
        <f t="shared" si="110"/>
        <v>0</v>
      </c>
      <c r="I422" s="10">
        <f t="shared" si="111"/>
        <v>0</v>
      </c>
      <c r="J422" s="10">
        <f t="shared" si="112"/>
        <v>1</v>
      </c>
      <c r="K422" s="10">
        <f t="shared" si="113"/>
        <v>0</v>
      </c>
      <c r="L422" s="10">
        <f t="shared" si="114"/>
        <v>0</v>
      </c>
      <c r="M422" s="10">
        <f t="shared" si="115"/>
        <v>0</v>
      </c>
      <c r="N422" s="10">
        <f t="shared" si="116"/>
        <v>0</v>
      </c>
      <c r="O422" s="10">
        <f t="shared" si="117"/>
        <v>0</v>
      </c>
      <c r="P422" s="10">
        <f t="shared" si="118"/>
        <v>0</v>
      </c>
      <c r="Q422" s="10">
        <f t="shared" si="119"/>
        <v>0</v>
      </c>
      <c r="R422" s="10">
        <f t="shared" si="120"/>
        <v>0</v>
      </c>
      <c r="S422" s="10">
        <f t="shared" si="121"/>
        <v>0</v>
      </c>
      <c r="T422" s="10">
        <f t="shared" si="122"/>
        <v>0</v>
      </c>
      <c r="U422" s="10">
        <f t="shared" si="123"/>
        <v>0</v>
      </c>
      <c r="V422" s="10">
        <f t="shared" si="124"/>
        <v>0</v>
      </c>
    </row>
    <row r="423" spans="1:22" x14ac:dyDescent="0.2">
      <c r="A423" s="32">
        <v>18</v>
      </c>
      <c r="B423" s="33">
        <v>0.41666666666666702</v>
      </c>
      <c r="C423" s="32">
        <f>'1400z'!E27</f>
        <v>9</v>
      </c>
      <c r="D423" s="32">
        <f>'1400z'!F27</f>
        <v>7</v>
      </c>
      <c r="E423" s="32">
        <f t="shared" si="125"/>
        <v>90</v>
      </c>
      <c r="F423" s="10">
        <f t="shared" si="126"/>
        <v>0</v>
      </c>
      <c r="G423" s="10">
        <f t="shared" si="127"/>
        <v>0</v>
      </c>
      <c r="H423" s="10">
        <f t="shared" si="110"/>
        <v>0</v>
      </c>
      <c r="I423" s="10">
        <f t="shared" si="111"/>
        <v>0</v>
      </c>
      <c r="J423" s="10">
        <f t="shared" si="112"/>
        <v>1</v>
      </c>
      <c r="K423" s="10">
        <f t="shared" si="113"/>
        <v>0</v>
      </c>
      <c r="L423" s="10">
        <f t="shared" si="114"/>
        <v>0</v>
      </c>
      <c r="M423" s="10">
        <f t="shared" si="115"/>
        <v>0</v>
      </c>
      <c r="N423" s="10">
        <f t="shared" si="116"/>
        <v>0</v>
      </c>
      <c r="O423" s="10">
        <f t="shared" si="117"/>
        <v>0</v>
      </c>
      <c r="P423" s="10">
        <f t="shared" si="118"/>
        <v>0</v>
      </c>
      <c r="Q423" s="10">
        <f t="shared" si="119"/>
        <v>0</v>
      </c>
      <c r="R423" s="10">
        <f t="shared" si="120"/>
        <v>0</v>
      </c>
      <c r="S423" s="10">
        <f t="shared" si="121"/>
        <v>0</v>
      </c>
      <c r="T423" s="10">
        <f t="shared" si="122"/>
        <v>0</v>
      </c>
      <c r="U423" s="10">
        <f t="shared" si="123"/>
        <v>0</v>
      </c>
      <c r="V423" s="10">
        <f t="shared" si="124"/>
        <v>0</v>
      </c>
    </row>
    <row r="424" spans="1:22" x14ac:dyDescent="0.2">
      <c r="A424" s="32">
        <v>18</v>
      </c>
      <c r="B424" s="33">
        <v>0.45833333333333298</v>
      </c>
      <c r="C424" s="32">
        <f>'1500z'!E27</f>
        <v>8</v>
      </c>
      <c r="D424" s="32">
        <f>'1500z'!F27</f>
        <v>10</v>
      </c>
      <c r="E424" s="32">
        <f t="shared" si="125"/>
        <v>80</v>
      </c>
      <c r="F424" s="10">
        <f t="shared" si="126"/>
        <v>0</v>
      </c>
      <c r="G424" s="10">
        <f t="shared" si="127"/>
        <v>0</v>
      </c>
      <c r="H424" s="10">
        <f t="shared" si="110"/>
        <v>0</v>
      </c>
      <c r="I424" s="10">
        <f t="shared" si="111"/>
        <v>0</v>
      </c>
      <c r="J424" s="10">
        <f t="shared" si="112"/>
        <v>1</v>
      </c>
      <c r="K424" s="10">
        <f t="shared" si="113"/>
        <v>0</v>
      </c>
      <c r="L424" s="10">
        <f t="shared" si="114"/>
        <v>0</v>
      </c>
      <c r="M424" s="10">
        <f t="shared" si="115"/>
        <v>0</v>
      </c>
      <c r="N424" s="10">
        <f t="shared" si="116"/>
        <v>0</v>
      </c>
      <c r="O424" s="10">
        <f t="shared" si="117"/>
        <v>0</v>
      </c>
      <c r="P424" s="10">
        <f t="shared" si="118"/>
        <v>0</v>
      </c>
      <c r="Q424" s="10">
        <f t="shared" si="119"/>
        <v>0</v>
      </c>
      <c r="R424" s="10">
        <f t="shared" si="120"/>
        <v>0</v>
      </c>
      <c r="S424" s="10">
        <f t="shared" si="121"/>
        <v>0</v>
      </c>
      <c r="T424" s="10">
        <f t="shared" si="122"/>
        <v>0</v>
      </c>
      <c r="U424" s="10">
        <f t="shared" si="123"/>
        <v>0</v>
      </c>
      <c r="V424" s="10">
        <f t="shared" si="124"/>
        <v>0</v>
      </c>
    </row>
    <row r="425" spans="1:22" x14ac:dyDescent="0.2">
      <c r="A425" s="32">
        <v>18</v>
      </c>
      <c r="B425" s="33">
        <v>0.5</v>
      </c>
      <c r="C425" s="32">
        <f>'1600z'!E27</f>
        <v>10</v>
      </c>
      <c r="D425" s="32">
        <f>'1600z'!F27</f>
        <v>12</v>
      </c>
      <c r="E425" s="32">
        <f t="shared" si="125"/>
        <v>100</v>
      </c>
      <c r="F425" s="10">
        <f t="shared" si="126"/>
        <v>0</v>
      </c>
      <c r="G425" s="10">
        <f t="shared" si="127"/>
        <v>0</v>
      </c>
      <c r="H425" s="10">
        <f t="shared" si="110"/>
        <v>0</v>
      </c>
      <c r="I425" s="10">
        <f t="shared" si="111"/>
        <v>0</v>
      </c>
      <c r="J425" s="10">
        <f t="shared" si="112"/>
        <v>1</v>
      </c>
      <c r="K425" s="10">
        <f t="shared" si="113"/>
        <v>0</v>
      </c>
      <c r="L425" s="10">
        <f t="shared" si="114"/>
        <v>0</v>
      </c>
      <c r="M425" s="10">
        <f t="shared" si="115"/>
        <v>0</v>
      </c>
      <c r="N425" s="10">
        <f t="shared" si="116"/>
        <v>0</v>
      </c>
      <c r="O425" s="10">
        <f t="shared" si="117"/>
        <v>0</v>
      </c>
      <c r="P425" s="10">
        <f t="shared" si="118"/>
        <v>0</v>
      </c>
      <c r="Q425" s="10">
        <f t="shared" si="119"/>
        <v>0</v>
      </c>
      <c r="R425" s="10">
        <f t="shared" si="120"/>
        <v>0</v>
      </c>
      <c r="S425" s="10">
        <f t="shared" si="121"/>
        <v>0</v>
      </c>
      <c r="T425" s="10">
        <f t="shared" si="122"/>
        <v>0</v>
      </c>
      <c r="U425" s="10">
        <f t="shared" si="123"/>
        <v>0</v>
      </c>
      <c r="V425" s="10">
        <f t="shared" si="124"/>
        <v>0</v>
      </c>
    </row>
    <row r="426" spans="1:22" x14ac:dyDescent="0.2">
      <c r="A426" s="32">
        <v>18</v>
      </c>
      <c r="B426" s="33">
        <v>0.54166666666666696</v>
      </c>
      <c r="C426" s="32">
        <f>'1700z'!E27</f>
        <v>7</v>
      </c>
      <c r="D426" s="32">
        <f>'1700z'!F27</f>
        <v>13</v>
      </c>
      <c r="E426" s="32">
        <f t="shared" si="125"/>
        <v>70</v>
      </c>
      <c r="F426" s="10">
        <f t="shared" si="126"/>
        <v>0</v>
      </c>
      <c r="G426" s="10">
        <f t="shared" si="127"/>
        <v>0</v>
      </c>
      <c r="H426" s="10">
        <f t="shared" si="110"/>
        <v>0</v>
      </c>
      <c r="I426" s="10">
        <f t="shared" si="111"/>
        <v>1</v>
      </c>
      <c r="J426" s="10">
        <f t="shared" si="112"/>
        <v>0</v>
      </c>
      <c r="K426" s="10">
        <f t="shared" si="113"/>
        <v>0</v>
      </c>
      <c r="L426" s="10">
        <f t="shared" si="114"/>
        <v>0</v>
      </c>
      <c r="M426" s="10">
        <f t="shared" si="115"/>
        <v>0</v>
      </c>
      <c r="N426" s="10">
        <f t="shared" si="116"/>
        <v>0</v>
      </c>
      <c r="O426" s="10">
        <f t="shared" si="117"/>
        <v>0</v>
      </c>
      <c r="P426" s="10">
        <f t="shared" si="118"/>
        <v>0</v>
      </c>
      <c r="Q426" s="10">
        <f t="shared" si="119"/>
        <v>0</v>
      </c>
      <c r="R426" s="10">
        <f t="shared" si="120"/>
        <v>0</v>
      </c>
      <c r="S426" s="10">
        <f t="shared" si="121"/>
        <v>0</v>
      </c>
      <c r="T426" s="10">
        <f t="shared" si="122"/>
        <v>0</v>
      </c>
      <c r="U426" s="10">
        <f t="shared" si="123"/>
        <v>0</v>
      </c>
      <c r="V426" s="10">
        <f t="shared" si="124"/>
        <v>0</v>
      </c>
    </row>
    <row r="427" spans="1:22" x14ac:dyDescent="0.2">
      <c r="A427" s="32">
        <v>18</v>
      </c>
      <c r="B427" s="33">
        <v>0.58333333333333304</v>
      </c>
      <c r="C427" s="32">
        <f>'1800z'!E27</f>
        <v>10</v>
      </c>
      <c r="D427" s="32">
        <f>'1800z'!F27</f>
        <v>14</v>
      </c>
      <c r="E427" s="32">
        <f t="shared" si="125"/>
        <v>100</v>
      </c>
      <c r="F427" s="10">
        <f t="shared" si="126"/>
        <v>0</v>
      </c>
      <c r="G427" s="10">
        <f t="shared" si="127"/>
        <v>0</v>
      </c>
      <c r="H427" s="10">
        <f t="shared" si="110"/>
        <v>0</v>
      </c>
      <c r="I427" s="10">
        <f t="shared" si="111"/>
        <v>0</v>
      </c>
      <c r="J427" s="10">
        <f t="shared" si="112"/>
        <v>1</v>
      </c>
      <c r="K427" s="10">
        <f t="shared" si="113"/>
        <v>0</v>
      </c>
      <c r="L427" s="10">
        <f t="shared" si="114"/>
        <v>0</v>
      </c>
      <c r="M427" s="10">
        <f t="shared" si="115"/>
        <v>0</v>
      </c>
      <c r="N427" s="10">
        <f t="shared" si="116"/>
        <v>0</v>
      </c>
      <c r="O427" s="10">
        <f t="shared" si="117"/>
        <v>0</v>
      </c>
      <c r="P427" s="10">
        <f t="shared" si="118"/>
        <v>0</v>
      </c>
      <c r="Q427" s="10">
        <f t="shared" si="119"/>
        <v>0</v>
      </c>
      <c r="R427" s="10">
        <f t="shared" si="120"/>
        <v>0</v>
      </c>
      <c r="S427" s="10">
        <f t="shared" si="121"/>
        <v>0</v>
      </c>
      <c r="T427" s="10">
        <f t="shared" si="122"/>
        <v>0</v>
      </c>
      <c r="U427" s="10">
        <f t="shared" si="123"/>
        <v>0</v>
      </c>
      <c r="V427" s="10">
        <f t="shared" si="124"/>
        <v>0</v>
      </c>
    </row>
    <row r="428" spans="1:22" x14ac:dyDescent="0.2">
      <c r="A428" s="32">
        <v>18</v>
      </c>
      <c r="B428" s="33">
        <v>0.625</v>
      </c>
      <c r="C428" s="32">
        <f>'1900z'!E27</f>
        <v>10</v>
      </c>
      <c r="D428" s="32">
        <f>'1900z'!F27</f>
        <v>15</v>
      </c>
      <c r="E428" s="32">
        <f t="shared" si="125"/>
        <v>100</v>
      </c>
      <c r="F428" s="10">
        <f t="shared" si="126"/>
        <v>0</v>
      </c>
      <c r="G428" s="10">
        <f t="shared" si="127"/>
        <v>0</v>
      </c>
      <c r="H428" s="10">
        <f t="shared" si="110"/>
        <v>0</v>
      </c>
      <c r="I428" s="10">
        <f t="shared" si="111"/>
        <v>0</v>
      </c>
      <c r="J428" s="10">
        <f t="shared" si="112"/>
        <v>1</v>
      </c>
      <c r="K428" s="10">
        <f t="shared" si="113"/>
        <v>0</v>
      </c>
      <c r="L428" s="10">
        <f t="shared" si="114"/>
        <v>0</v>
      </c>
      <c r="M428" s="10">
        <f t="shared" si="115"/>
        <v>0</v>
      </c>
      <c r="N428" s="10">
        <f t="shared" si="116"/>
        <v>0</v>
      </c>
      <c r="O428" s="10">
        <f t="shared" si="117"/>
        <v>0</v>
      </c>
      <c r="P428" s="10">
        <f t="shared" si="118"/>
        <v>0</v>
      </c>
      <c r="Q428" s="10">
        <f t="shared" si="119"/>
        <v>0</v>
      </c>
      <c r="R428" s="10">
        <f t="shared" si="120"/>
        <v>0</v>
      </c>
      <c r="S428" s="10">
        <f t="shared" si="121"/>
        <v>0</v>
      </c>
      <c r="T428" s="10">
        <f t="shared" si="122"/>
        <v>0</v>
      </c>
      <c r="U428" s="10">
        <f t="shared" si="123"/>
        <v>0</v>
      </c>
      <c r="V428" s="10">
        <f t="shared" si="124"/>
        <v>0</v>
      </c>
    </row>
    <row r="429" spans="1:22" x14ac:dyDescent="0.2">
      <c r="A429" s="32">
        <v>18</v>
      </c>
      <c r="B429" s="33">
        <v>0.66666666666666696</v>
      </c>
      <c r="C429" s="32">
        <f>'2000z'!E27</f>
        <v>9</v>
      </c>
      <c r="D429" s="32">
        <f>'2000z'!F27</f>
        <v>14</v>
      </c>
      <c r="E429" s="32">
        <f t="shared" si="125"/>
        <v>90</v>
      </c>
      <c r="F429" s="10">
        <f t="shared" si="126"/>
        <v>0</v>
      </c>
      <c r="G429" s="10">
        <f t="shared" si="127"/>
        <v>0</v>
      </c>
      <c r="H429" s="10">
        <f t="shared" si="110"/>
        <v>0</v>
      </c>
      <c r="I429" s="10">
        <f t="shared" si="111"/>
        <v>0</v>
      </c>
      <c r="J429" s="10">
        <f t="shared" si="112"/>
        <v>1</v>
      </c>
      <c r="K429" s="10">
        <f t="shared" si="113"/>
        <v>0</v>
      </c>
      <c r="L429" s="10">
        <f t="shared" si="114"/>
        <v>0</v>
      </c>
      <c r="M429" s="10">
        <f t="shared" si="115"/>
        <v>0</v>
      </c>
      <c r="N429" s="10">
        <f t="shared" si="116"/>
        <v>0</v>
      </c>
      <c r="O429" s="10">
        <f t="shared" si="117"/>
        <v>0</v>
      </c>
      <c r="P429" s="10">
        <f t="shared" si="118"/>
        <v>0</v>
      </c>
      <c r="Q429" s="10">
        <f t="shared" si="119"/>
        <v>0</v>
      </c>
      <c r="R429" s="10">
        <f t="shared" si="120"/>
        <v>0</v>
      </c>
      <c r="S429" s="10">
        <f t="shared" si="121"/>
        <v>0</v>
      </c>
      <c r="T429" s="10">
        <f t="shared" si="122"/>
        <v>0</v>
      </c>
      <c r="U429" s="10">
        <f t="shared" si="123"/>
        <v>0</v>
      </c>
      <c r="V429" s="10">
        <f t="shared" si="124"/>
        <v>0</v>
      </c>
    </row>
    <row r="430" spans="1:22" x14ac:dyDescent="0.2">
      <c r="A430" s="32">
        <v>18</v>
      </c>
      <c r="B430" s="33">
        <v>0.70833333333333304</v>
      </c>
      <c r="C430" s="32">
        <f>'2100z'!E27</f>
        <v>10</v>
      </c>
      <c r="D430" s="32">
        <f>'2100z'!F27</f>
        <v>10</v>
      </c>
      <c r="E430" s="32">
        <f t="shared" si="125"/>
        <v>100</v>
      </c>
      <c r="F430" s="10">
        <f t="shared" si="126"/>
        <v>0</v>
      </c>
      <c r="G430" s="10">
        <f t="shared" si="127"/>
        <v>0</v>
      </c>
      <c r="H430" s="10">
        <f t="shared" si="110"/>
        <v>0</v>
      </c>
      <c r="I430" s="10">
        <f t="shared" si="111"/>
        <v>0</v>
      </c>
      <c r="J430" s="10">
        <f t="shared" si="112"/>
        <v>1</v>
      </c>
      <c r="K430" s="10">
        <f t="shared" si="113"/>
        <v>0</v>
      </c>
      <c r="L430" s="10">
        <f t="shared" si="114"/>
        <v>0</v>
      </c>
      <c r="M430" s="10">
        <f t="shared" si="115"/>
        <v>0</v>
      </c>
      <c r="N430" s="10">
        <f t="shared" si="116"/>
        <v>0</v>
      </c>
      <c r="O430" s="10">
        <f t="shared" si="117"/>
        <v>0</v>
      </c>
      <c r="P430" s="10">
        <f t="shared" si="118"/>
        <v>0</v>
      </c>
      <c r="Q430" s="10">
        <f t="shared" si="119"/>
        <v>0</v>
      </c>
      <c r="R430" s="10">
        <f t="shared" si="120"/>
        <v>0</v>
      </c>
      <c r="S430" s="10">
        <f t="shared" si="121"/>
        <v>0</v>
      </c>
      <c r="T430" s="10">
        <f t="shared" si="122"/>
        <v>0</v>
      </c>
      <c r="U430" s="10">
        <f t="shared" si="123"/>
        <v>0</v>
      </c>
      <c r="V430" s="10">
        <f t="shared" si="124"/>
        <v>0</v>
      </c>
    </row>
    <row r="431" spans="1:22" x14ac:dyDescent="0.2">
      <c r="A431" s="32">
        <v>18</v>
      </c>
      <c r="B431" s="33">
        <v>0.75</v>
      </c>
      <c r="C431" s="32">
        <f>'2200z'!E27</f>
        <v>7</v>
      </c>
      <c r="D431" s="32">
        <f>'2200z'!F27</f>
        <v>8</v>
      </c>
      <c r="E431" s="32">
        <f t="shared" si="125"/>
        <v>70</v>
      </c>
      <c r="F431" s="10">
        <f t="shared" si="126"/>
        <v>0</v>
      </c>
      <c r="G431" s="10">
        <f t="shared" si="127"/>
        <v>0</v>
      </c>
      <c r="H431" s="10">
        <f t="shared" si="110"/>
        <v>0</v>
      </c>
      <c r="I431" s="10">
        <f t="shared" si="111"/>
        <v>1</v>
      </c>
      <c r="J431" s="10">
        <f t="shared" si="112"/>
        <v>0</v>
      </c>
      <c r="K431" s="10">
        <f t="shared" si="113"/>
        <v>0</v>
      </c>
      <c r="L431" s="10">
        <f t="shared" si="114"/>
        <v>0</v>
      </c>
      <c r="M431" s="10">
        <f t="shared" si="115"/>
        <v>0</v>
      </c>
      <c r="N431" s="10">
        <f t="shared" si="116"/>
        <v>0</v>
      </c>
      <c r="O431" s="10">
        <f t="shared" si="117"/>
        <v>0</v>
      </c>
      <c r="P431" s="10">
        <f t="shared" si="118"/>
        <v>0</v>
      </c>
      <c r="Q431" s="10">
        <f t="shared" si="119"/>
        <v>0</v>
      </c>
      <c r="R431" s="10">
        <f t="shared" si="120"/>
        <v>0</v>
      </c>
      <c r="S431" s="10">
        <f t="shared" si="121"/>
        <v>0</v>
      </c>
      <c r="T431" s="10">
        <f t="shared" si="122"/>
        <v>0</v>
      </c>
      <c r="U431" s="10">
        <f t="shared" si="123"/>
        <v>0</v>
      </c>
      <c r="V431" s="10">
        <f t="shared" si="124"/>
        <v>0</v>
      </c>
    </row>
    <row r="432" spans="1:22" x14ac:dyDescent="0.2">
      <c r="A432" s="32">
        <v>18</v>
      </c>
      <c r="B432" s="33">
        <v>0.79166666666666696</v>
      </c>
      <c r="C432" s="32">
        <f>'2300z'!E27</f>
        <v>9</v>
      </c>
      <c r="D432" s="32">
        <f>'2300z'!F27</f>
        <v>8</v>
      </c>
      <c r="E432" s="32">
        <f t="shared" si="125"/>
        <v>90</v>
      </c>
      <c r="F432" s="10">
        <f t="shared" si="126"/>
        <v>0</v>
      </c>
      <c r="G432" s="10">
        <f t="shared" si="127"/>
        <v>0</v>
      </c>
      <c r="H432" s="10">
        <f t="shared" si="110"/>
        <v>0</v>
      </c>
      <c r="I432" s="10">
        <f t="shared" si="111"/>
        <v>0</v>
      </c>
      <c r="J432" s="10">
        <f t="shared" si="112"/>
        <v>1</v>
      </c>
      <c r="K432" s="10">
        <f t="shared" si="113"/>
        <v>0</v>
      </c>
      <c r="L432" s="10">
        <f t="shared" si="114"/>
        <v>0</v>
      </c>
      <c r="M432" s="10">
        <f t="shared" si="115"/>
        <v>0</v>
      </c>
      <c r="N432" s="10">
        <f t="shared" si="116"/>
        <v>0</v>
      </c>
      <c r="O432" s="10">
        <f t="shared" si="117"/>
        <v>0</v>
      </c>
      <c r="P432" s="10">
        <f t="shared" si="118"/>
        <v>0</v>
      </c>
      <c r="Q432" s="10">
        <f t="shared" si="119"/>
        <v>0</v>
      </c>
      <c r="R432" s="10">
        <f t="shared" si="120"/>
        <v>0</v>
      </c>
      <c r="S432" s="10">
        <f t="shared" si="121"/>
        <v>0</v>
      </c>
      <c r="T432" s="10">
        <f t="shared" si="122"/>
        <v>0</v>
      </c>
      <c r="U432" s="10">
        <f t="shared" si="123"/>
        <v>0</v>
      </c>
      <c r="V432" s="10">
        <f t="shared" si="124"/>
        <v>0</v>
      </c>
    </row>
    <row r="433" spans="1:22" x14ac:dyDescent="0.2">
      <c r="A433" s="32">
        <v>18</v>
      </c>
      <c r="B433" s="33">
        <v>0.83333333333333304</v>
      </c>
      <c r="C433" s="32">
        <f>'0000z'!E27</f>
        <v>8</v>
      </c>
      <c r="D433" s="32">
        <f>'0000z'!F27</f>
        <v>10</v>
      </c>
      <c r="E433" s="32">
        <f t="shared" si="125"/>
        <v>80</v>
      </c>
      <c r="F433" s="10">
        <f t="shared" si="126"/>
        <v>0</v>
      </c>
      <c r="G433" s="10">
        <f t="shared" si="127"/>
        <v>0</v>
      </c>
      <c r="H433" s="10">
        <f t="shared" si="110"/>
        <v>0</v>
      </c>
      <c r="I433" s="10">
        <f t="shared" si="111"/>
        <v>0</v>
      </c>
      <c r="J433" s="10">
        <f t="shared" si="112"/>
        <v>1</v>
      </c>
      <c r="K433" s="10">
        <f t="shared" si="113"/>
        <v>0</v>
      </c>
      <c r="L433" s="10">
        <f t="shared" si="114"/>
        <v>0</v>
      </c>
      <c r="M433" s="10">
        <f t="shared" si="115"/>
        <v>0</v>
      </c>
      <c r="N433" s="10">
        <f t="shared" si="116"/>
        <v>0</v>
      </c>
      <c r="O433" s="10">
        <f t="shared" si="117"/>
        <v>0</v>
      </c>
      <c r="P433" s="10">
        <f t="shared" si="118"/>
        <v>0</v>
      </c>
      <c r="Q433" s="10">
        <f t="shared" si="119"/>
        <v>0</v>
      </c>
      <c r="R433" s="10">
        <f t="shared" si="120"/>
        <v>0</v>
      </c>
      <c r="S433" s="10">
        <f t="shared" si="121"/>
        <v>0</v>
      </c>
      <c r="T433" s="10">
        <f t="shared" si="122"/>
        <v>0</v>
      </c>
      <c r="U433" s="10">
        <f t="shared" si="123"/>
        <v>0</v>
      </c>
      <c r="V433" s="10">
        <f t="shared" si="124"/>
        <v>0</v>
      </c>
    </row>
    <row r="434" spans="1:22" x14ac:dyDescent="0.2">
      <c r="A434" s="32">
        <v>18</v>
      </c>
      <c r="B434" s="33">
        <v>0.875</v>
      </c>
      <c r="C434" s="32">
        <f>'0100z'!E27</f>
        <v>8</v>
      </c>
      <c r="D434" s="32">
        <f>'0100z'!F27</f>
        <v>10</v>
      </c>
      <c r="E434" s="32">
        <f t="shared" si="125"/>
        <v>80</v>
      </c>
      <c r="F434" s="10">
        <f t="shared" si="126"/>
        <v>0</v>
      </c>
      <c r="G434" s="10">
        <f t="shared" si="127"/>
        <v>0</v>
      </c>
      <c r="H434" s="10">
        <f t="shared" si="110"/>
        <v>0</v>
      </c>
      <c r="I434" s="10">
        <f t="shared" si="111"/>
        <v>0</v>
      </c>
      <c r="J434" s="10">
        <f t="shared" si="112"/>
        <v>1</v>
      </c>
      <c r="K434" s="10">
        <f t="shared" si="113"/>
        <v>0</v>
      </c>
      <c r="L434" s="10">
        <f t="shared" si="114"/>
        <v>0</v>
      </c>
      <c r="M434" s="10">
        <f t="shared" si="115"/>
        <v>0</v>
      </c>
      <c r="N434" s="10">
        <f t="shared" si="116"/>
        <v>0</v>
      </c>
      <c r="O434" s="10">
        <f t="shared" si="117"/>
        <v>0</v>
      </c>
      <c r="P434" s="10">
        <f t="shared" si="118"/>
        <v>0</v>
      </c>
      <c r="Q434" s="10">
        <f t="shared" si="119"/>
        <v>0</v>
      </c>
      <c r="R434" s="10">
        <f t="shared" si="120"/>
        <v>0</v>
      </c>
      <c r="S434" s="10">
        <f t="shared" si="121"/>
        <v>0</v>
      </c>
      <c r="T434" s="10">
        <f t="shared" si="122"/>
        <v>0</v>
      </c>
      <c r="U434" s="10">
        <f t="shared" si="123"/>
        <v>0</v>
      </c>
      <c r="V434" s="10">
        <f t="shared" si="124"/>
        <v>0</v>
      </c>
    </row>
    <row r="435" spans="1:22" x14ac:dyDescent="0.2">
      <c r="A435" s="32">
        <v>18</v>
      </c>
      <c r="B435" s="33">
        <v>0.91666666666666696</v>
      </c>
      <c r="C435" s="32">
        <f>'0200z'!E27</f>
        <v>9</v>
      </c>
      <c r="D435" s="32">
        <f>'0200z'!F27</f>
        <v>8</v>
      </c>
      <c r="E435" s="32">
        <f t="shared" si="125"/>
        <v>90</v>
      </c>
      <c r="F435" s="10">
        <f t="shared" si="126"/>
        <v>0</v>
      </c>
      <c r="G435" s="10">
        <f t="shared" si="127"/>
        <v>0</v>
      </c>
      <c r="H435" s="10">
        <f t="shared" si="110"/>
        <v>0</v>
      </c>
      <c r="I435" s="10">
        <f t="shared" si="111"/>
        <v>0</v>
      </c>
      <c r="J435" s="10">
        <f t="shared" si="112"/>
        <v>1</v>
      </c>
      <c r="K435" s="10">
        <f t="shared" si="113"/>
        <v>0</v>
      </c>
      <c r="L435" s="10">
        <f t="shared" si="114"/>
        <v>0</v>
      </c>
      <c r="M435" s="10">
        <f t="shared" si="115"/>
        <v>0</v>
      </c>
      <c r="N435" s="10">
        <f t="shared" si="116"/>
        <v>0</v>
      </c>
      <c r="O435" s="10">
        <f t="shared" si="117"/>
        <v>0</v>
      </c>
      <c r="P435" s="10">
        <f t="shared" si="118"/>
        <v>0</v>
      </c>
      <c r="Q435" s="10">
        <f t="shared" si="119"/>
        <v>0</v>
      </c>
      <c r="R435" s="10">
        <f t="shared" si="120"/>
        <v>0</v>
      </c>
      <c r="S435" s="10">
        <f t="shared" si="121"/>
        <v>0</v>
      </c>
      <c r="T435" s="10">
        <f t="shared" si="122"/>
        <v>0</v>
      </c>
      <c r="U435" s="10">
        <f t="shared" si="123"/>
        <v>0</v>
      </c>
      <c r="V435" s="10">
        <f t="shared" si="124"/>
        <v>0</v>
      </c>
    </row>
    <row r="436" spans="1:22" x14ac:dyDescent="0.2">
      <c r="A436" s="32">
        <v>18</v>
      </c>
      <c r="B436" s="33">
        <v>0.95833333333333304</v>
      </c>
      <c r="C436" s="32">
        <f>'0300z'!E27</f>
        <v>7</v>
      </c>
      <c r="D436" s="32">
        <f>'0300z'!F27</f>
        <v>10</v>
      </c>
      <c r="E436" s="32">
        <f t="shared" si="125"/>
        <v>70</v>
      </c>
      <c r="F436" s="10">
        <f t="shared" si="126"/>
        <v>0</v>
      </c>
      <c r="G436" s="10">
        <f t="shared" si="127"/>
        <v>0</v>
      </c>
      <c r="H436" s="10">
        <f t="shared" si="110"/>
        <v>0</v>
      </c>
      <c r="I436" s="10">
        <f t="shared" si="111"/>
        <v>1</v>
      </c>
      <c r="J436" s="10">
        <f t="shared" si="112"/>
        <v>0</v>
      </c>
      <c r="K436" s="10">
        <f t="shared" si="113"/>
        <v>0</v>
      </c>
      <c r="L436" s="10">
        <f t="shared" si="114"/>
        <v>0</v>
      </c>
      <c r="M436" s="10">
        <f t="shared" si="115"/>
        <v>0</v>
      </c>
      <c r="N436" s="10">
        <f t="shared" si="116"/>
        <v>0</v>
      </c>
      <c r="O436" s="10">
        <f t="shared" si="117"/>
        <v>0</v>
      </c>
      <c r="P436" s="10">
        <f t="shared" si="118"/>
        <v>0</v>
      </c>
      <c r="Q436" s="10">
        <f t="shared" si="119"/>
        <v>0</v>
      </c>
      <c r="R436" s="10">
        <f t="shared" si="120"/>
        <v>0</v>
      </c>
      <c r="S436" s="10">
        <f t="shared" si="121"/>
        <v>0</v>
      </c>
      <c r="T436" s="10">
        <f t="shared" si="122"/>
        <v>0</v>
      </c>
      <c r="U436" s="10">
        <f t="shared" si="123"/>
        <v>0</v>
      </c>
      <c r="V436" s="10">
        <f t="shared" si="124"/>
        <v>0</v>
      </c>
    </row>
    <row r="437" spans="1:22" x14ac:dyDescent="0.2">
      <c r="A437" s="32">
        <v>19</v>
      </c>
      <c r="B437" s="33">
        <v>0</v>
      </c>
      <c r="C437" s="32">
        <f>'0400z'!E28</f>
        <v>8</v>
      </c>
      <c r="D437" s="32">
        <f>'0400z'!F28</f>
        <v>9</v>
      </c>
      <c r="E437" s="32">
        <f t="shared" si="125"/>
        <v>80</v>
      </c>
      <c r="F437" s="10">
        <f t="shared" si="126"/>
        <v>0</v>
      </c>
      <c r="G437" s="10">
        <f t="shared" si="127"/>
        <v>0</v>
      </c>
      <c r="H437" s="10">
        <f t="shared" si="110"/>
        <v>0</v>
      </c>
      <c r="I437" s="10">
        <f t="shared" si="111"/>
        <v>0</v>
      </c>
      <c r="J437" s="10">
        <f t="shared" si="112"/>
        <v>1</v>
      </c>
      <c r="K437" s="10">
        <f t="shared" si="113"/>
        <v>0</v>
      </c>
      <c r="L437" s="10">
        <f t="shared" si="114"/>
        <v>0</v>
      </c>
      <c r="M437" s="10">
        <f t="shared" si="115"/>
        <v>0</v>
      </c>
      <c r="N437" s="10">
        <f t="shared" si="116"/>
        <v>0</v>
      </c>
      <c r="O437" s="10">
        <f t="shared" si="117"/>
        <v>0</v>
      </c>
      <c r="P437" s="10">
        <f t="shared" si="118"/>
        <v>0</v>
      </c>
      <c r="Q437" s="10">
        <f t="shared" si="119"/>
        <v>0</v>
      </c>
      <c r="R437" s="10">
        <f t="shared" si="120"/>
        <v>0</v>
      </c>
      <c r="S437" s="10">
        <f t="shared" si="121"/>
        <v>0</v>
      </c>
      <c r="T437" s="10">
        <f t="shared" si="122"/>
        <v>0</v>
      </c>
      <c r="U437" s="10">
        <f t="shared" si="123"/>
        <v>0</v>
      </c>
      <c r="V437" s="10">
        <f t="shared" si="124"/>
        <v>0</v>
      </c>
    </row>
    <row r="438" spans="1:22" x14ac:dyDescent="0.2">
      <c r="A438" s="32">
        <v>19</v>
      </c>
      <c r="B438" s="33">
        <v>4.1666666666666664E-2</v>
      </c>
      <c r="C438" s="32">
        <f>'0500z'!E28</f>
        <v>8</v>
      </c>
      <c r="D438" s="32">
        <f>'0500z'!F28</f>
        <v>10</v>
      </c>
      <c r="E438" s="32">
        <f t="shared" si="125"/>
        <v>80</v>
      </c>
      <c r="F438" s="10">
        <f t="shared" si="126"/>
        <v>0</v>
      </c>
      <c r="G438" s="10">
        <f t="shared" si="127"/>
        <v>0</v>
      </c>
      <c r="H438" s="10">
        <f t="shared" si="110"/>
        <v>0</v>
      </c>
      <c r="I438" s="10">
        <f t="shared" si="111"/>
        <v>0</v>
      </c>
      <c r="J438" s="10">
        <f t="shared" si="112"/>
        <v>1</v>
      </c>
      <c r="K438" s="10">
        <f t="shared" si="113"/>
        <v>0</v>
      </c>
      <c r="L438" s="10">
        <f t="shared" si="114"/>
        <v>0</v>
      </c>
      <c r="M438" s="10">
        <f t="shared" si="115"/>
        <v>0</v>
      </c>
      <c r="N438" s="10">
        <f t="shared" si="116"/>
        <v>0</v>
      </c>
      <c r="O438" s="10">
        <f t="shared" si="117"/>
        <v>0</v>
      </c>
      <c r="P438" s="10">
        <f t="shared" si="118"/>
        <v>0</v>
      </c>
      <c r="Q438" s="10">
        <f t="shared" si="119"/>
        <v>0</v>
      </c>
      <c r="R438" s="10">
        <f t="shared" si="120"/>
        <v>0</v>
      </c>
      <c r="S438" s="10">
        <f t="shared" si="121"/>
        <v>0</v>
      </c>
      <c r="T438" s="10">
        <f t="shared" si="122"/>
        <v>0</v>
      </c>
      <c r="U438" s="10">
        <f t="shared" si="123"/>
        <v>0</v>
      </c>
      <c r="V438" s="10">
        <f t="shared" si="124"/>
        <v>0</v>
      </c>
    </row>
    <row r="439" spans="1:22" x14ac:dyDescent="0.2">
      <c r="A439" s="32">
        <v>19</v>
      </c>
      <c r="B439" s="33">
        <v>8.3333333333333329E-2</v>
      </c>
      <c r="C439" s="32">
        <f>'0600z'!E28</f>
        <v>6</v>
      </c>
      <c r="D439" s="32">
        <f>'0600z'!F28</f>
        <v>6</v>
      </c>
      <c r="E439" s="32">
        <f t="shared" si="125"/>
        <v>60</v>
      </c>
      <c r="F439" s="10">
        <f t="shared" si="126"/>
        <v>0</v>
      </c>
      <c r="G439" s="10">
        <f t="shared" si="127"/>
        <v>0</v>
      </c>
      <c r="H439" s="10">
        <f t="shared" si="110"/>
        <v>0</v>
      </c>
      <c r="I439" s="10">
        <f t="shared" si="111"/>
        <v>1</v>
      </c>
      <c r="J439" s="10">
        <f t="shared" si="112"/>
        <v>0</v>
      </c>
      <c r="K439" s="10">
        <f t="shared" si="113"/>
        <v>0</v>
      </c>
      <c r="L439" s="10">
        <f t="shared" si="114"/>
        <v>0</v>
      </c>
      <c r="M439" s="10">
        <f t="shared" si="115"/>
        <v>0</v>
      </c>
      <c r="N439" s="10">
        <f t="shared" si="116"/>
        <v>0</v>
      </c>
      <c r="O439" s="10">
        <f t="shared" si="117"/>
        <v>0</v>
      </c>
      <c r="P439" s="10">
        <f t="shared" si="118"/>
        <v>0</v>
      </c>
      <c r="Q439" s="10">
        <f t="shared" si="119"/>
        <v>0</v>
      </c>
      <c r="R439" s="10">
        <f t="shared" si="120"/>
        <v>0</v>
      </c>
      <c r="S439" s="10">
        <f t="shared" si="121"/>
        <v>0</v>
      </c>
      <c r="T439" s="10">
        <f t="shared" si="122"/>
        <v>0</v>
      </c>
      <c r="U439" s="10">
        <f t="shared" si="123"/>
        <v>0</v>
      </c>
      <c r="V439" s="10">
        <f t="shared" si="124"/>
        <v>0</v>
      </c>
    </row>
    <row r="440" spans="1:22" x14ac:dyDescent="0.2">
      <c r="A440" s="32">
        <v>19</v>
      </c>
      <c r="B440" s="33">
        <v>0.125</v>
      </c>
      <c r="C440" s="32">
        <f>'0700z'!E28</f>
        <v>0</v>
      </c>
      <c r="D440" s="32">
        <f>'0700z'!F28</f>
        <v>0</v>
      </c>
      <c r="E440" s="32">
        <f t="shared" si="125"/>
        <v>0</v>
      </c>
      <c r="F440" s="10">
        <f t="shared" si="126"/>
        <v>0</v>
      </c>
      <c r="G440" s="10">
        <f t="shared" si="127"/>
        <v>0</v>
      </c>
      <c r="H440" s="10">
        <f t="shared" si="110"/>
        <v>0</v>
      </c>
      <c r="I440" s="10">
        <f t="shared" si="111"/>
        <v>0</v>
      </c>
      <c r="J440" s="10">
        <f t="shared" si="112"/>
        <v>0</v>
      </c>
      <c r="K440" s="10">
        <f t="shared" si="113"/>
        <v>0</v>
      </c>
      <c r="L440" s="10">
        <f t="shared" si="114"/>
        <v>0</v>
      </c>
      <c r="M440" s="10">
        <f t="shared" si="115"/>
        <v>0</v>
      </c>
      <c r="N440" s="10">
        <f t="shared" si="116"/>
        <v>0</v>
      </c>
      <c r="O440" s="10">
        <f t="shared" si="117"/>
        <v>0</v>
      </c>
      <c r="P440" s="10">
        <f t="shared" si="118"/>
        <v>0</v>
      </c>
      <c r="Q440" s="10">
        <f t="shared" si="119"/>
        <v>0</v>
      </c>
      <c r="R440" s="10">
        <f t="shared" si="120"/>
        <v>0</v>
      </c>
      <c r="S440" s="10">
        <f t="shared" si="121"/>
        <v>0</v>
      </c>
      <c r="T440" s="10">
        <f t="shared" si="122"/>
        <v>0</v>
      </c>
      <c r="U440" s="10">
        <f t="shared" si="123"/>
        <v>0</v>
      </c>
      <c r="V440" s="10">
        <f t="shared" si="124"/>
        <v>0</v>
      </c>
    </row>
    <row r="441" spans="1:22" x14ac:dyDescent="0.2">
      <c r="A441" s="32">
        <v>19</v>
      </c>
      <c r="B441" s="33">
        <v>0.16666666666666699</v>
      </c>
      <c r="C441" s="32">
        <f>'0800z'!E28</f>
        <v>0</v>
      </c>
      <c r="D441" s="32">
        <f>'0800z'!F28</f>
        <v>0</v>
      </c>
      <c r="E441" s="32">
        <f t="shared" si="125"/>
        <v>0</v>
      </c>
      <c r="F441" s="10">
        <f t="shared" si="126"/>
        <v>0</v>
      </c>
      <c r="G441" s="10">
        <f t="shared" si="127"/>
        <v>0</v>
      </c>
      <c r="H441" s="10">
        <f t="shared" si="110"/>
        <v>0</v>
      </c>
      <c r="I441" s="10">
        <f t="shared" si="111"/>
        <v>0</v>
      </c>
      <c r="J441" s="10">
        <f t="shared" si="112"/>
        <v>0</v>
      </c>
      <c r="K441" s="10">
        <f t="shared" si="113"/>
        <v>0</v>
      </c>
      <c r="L441" s="10">
        <f t="shared" si="114"/>
        <v>0</v>
      </c>
      <c r="M441" s="10">
        <f t="shared" si="115"/>
        <v>0</v>
      </c>
      <c r="N441" s="10">
        <f t="shared" si="116"/>
        <v>0</v>
      </c>
      <c r="O441" s="10">
        <f t="shared" si="117"/>
        <v>0</v>
      </c>
      <c r="P441" s="10">
        <f t="shared" si="118"/>
        <v>0</v>
      </c>
      <c r="Q441" s="10">
        <f t="shared" si="119"/>
        <v>0</v>
      </c>
      <c r="R441" s="10">
        <f t="shared" si="120"/>
        <v>0</v>
      </c>
      <c r="S441" s="10">
        <f t="shared" si="121"/>
        <v>0</v>
      </c>
      <c r="T441" s="10">
        <f t="shared" si="122"/>
        <v>0</v>
      </c>
      <c r="U441" s="10">
        <f t="shared" si="123"/>
        <v>0</v>
      </c>
      <c r="V441" s="10">
        <f t="shared" si="124"/>
        <v>0</v>
      </c>
    </row>
    <row r="442" spans="1:22" x14ac:dyDescent="0.2">
      <c r="A442" s="32">
        <v>19</v>
      </c>
      <c r="B442" s="33">
        <v>0.20833333333333301</v>
      </c>
      <c r="C442" s="32">
        <f>'0900z'!E28</f>
        <v>0</v>
      </c>
      <c r="D442" s="32">
        <f>'0900z'!F28</f>
        <v>0</v>
      </c>
      <c r="E442" s="32">
        <f t="shared" si="125"/>
        <v>0</v>
      </c>
      <c r="F442" s="10">
        <f t="shared" si="126"/>
        <v>0</v>
      </c>
      <c r="G442" s="10">
        <f t="shared" si="127"/>
        <v>0</v>
      </c>
      <c r="H442" s="10">
        <f t="shared" si="110"/>
        <v>0</v>
      </c>
      <c r="I442" s="10">
        <f t="shared" si="111"/>
        <v>0</v>
      </c>
      <c r="J442" s="10">
        <f t="shared" si="112"/>
        <v>0</v>
      </c>
      <c r="K442" s="10">
        <f t="shared" si="113"/>
        <v>0</v>
      </c>
      <c r="L442" s="10">
        <f t="shared" si="114"/>
        <v>0</v>
      </c>
      <c r="M442" s="10">
        <f t="shared" si="115"/>
        <v>0</v>
      </c>
      <c r="N442" s="10">
        <f t="shared" si="116"/>
        <v>0</v>
      </c>
      <c r="O442" s="10">
        <f t="shared" si="117"/>
        <v>0</v>
      </c>
      <c r="P442" s="10">
        <f t="shared" si="118"/>
        <v>0</v>
      </c>
      <c r="Q442" s="10">
        <f t="shared" si="119"/>
        <v>0</v>
      </c>
      <c r="R442" s="10">
        <f t="shared" si="120"/>
        <v>0</v>
      </c>
      <c r="S442" s="10">
        <f t="shared" si="121"/>
        <v>0</v>
      </c>
      <c r="T442" s="10">
        <f t="shared" si="122"/>
        <v>0</v>
      </c>
      <c r="U442" s="10">
        <f t="shared" si="123"/>
        <v>0</v>
      </c>
      <c r="V442" s="10">
        <f t="shared" si="124"/>
        <v>0</v>
      </c>
    </row>
    <row r="443" spans="1:22" x14ac:dyDescent="0.2">
      <c r="A443" s="32">
        <v>19</v>
      </c>
      <c r="B443" s="33">
        <v>0.25</v>
      </c>
      <c r="C443" s="32">
        <f>'1000z'!E28</f>
        <v>8</v>
      </c>
      <c r="D443" s="32">
        <f>'1000z'!F28</f>
        <v>9</v>
      </c>
      <c r="E443" s="32">
        <f t="shared" si="125"/>
        <v>80</v>
      </c>
      <c r="F443" s="10">
        <f t="shared" si="126"/>
        <v>0</v>
      </c>
      <c r="G443" s="10">
        <f t="shared" si="127"/>
        <v>0</v>
      </c>
      <c r="H443" s="10">
        <f t="shared" si="110"/>
        <v>0</v>
      </c>
      <c r="I443" s="10">
        <f t="shared" si="111"/>
        <v>0</v>
      </c>
      <c r="J443" s="10">
        <f t="shared" si="112"/>
        <v>1</v>
      </c>
      <c r="K443" s="10">
        <f t="shared" si="113"/>
        <v>0</v>
      </c>
      <c r="L443" s="10">
        <f t="shared" si="114"/>
        <v>0</v>
      </c>
      <c r="M443" s="10">
        <f t="shared" si="115"/>
        <v>0</v>
      </c>
      <c r="N443" s="10">
        <f t="shared" si="116"/>
        <v>0</v>
      </c>
      <c r="O443" s="10">
        <f t="shared" si="117"/>
        <v>0</v>
      </c>
      <c r="P443" s="10">
        <f t="shared" si="118"/>
        <v>0</v>
      </c>
      <c r="Q443" s="10">
        <f t="shared" si="119"/>
        <v>0</v>
      </c>
      <c r="R443" s="10">
        <f t="shared" si="120"/>
        <v>0</v>
      </c>
      <c r="S443" s="10">
        <f t="shared" si="121"/>
        <v>0</v>
      </c>
      <c r="T443" s="10">
        <f t="shared" si="122"/>
        <v>0</v>
      </c>
      <c r="U443" s="10">
        <f t="shared" si="123"/>
        <v>0</v>
      </c>
      <c r="V443" s="10">
        <f t="shared" si="124"/>
        <v>0</v>
      </c>
    </row>
    <row r="444" spans="1:22" x14ac:dyDescent="0.2">
      <c r="A444" s="32">
        <v>19</v>
      </c>
      <c r="B444" s="33">
        <v>0.29166666666666702</v>
      </c>
      <c r="C444" s="32">
        <f>'1100z'!E28</f>
        <v>8</v>
      </c>
      <c r="D444" s="32">
        <f>'1100z'!F28</f>
        <v>11</v>
      </c>
      <c r="E444" s="32">
        <f t="shared" si="125"/>
        <v>80</v>
      </c>
      <c r="F444" s="10">
        <f t="shared" si="126"/>
        <v>0</v>
      </c>
      <c r="G444" s="10">
        <f t="shared" si="127"/>
        <v>0</v>
      </c>
      <c r="H444" s="10">
        <f t="shared" si="110"/>
        <v>0</v>
      </c>
      <c r="I444" s="10">
        <f t="shared" si="111"/>
        <v>0</v>
      </c>
      <c r="J444" s="10">
        <f t="shared" si="112"/>
        <v>1</v>
      </c>
      <c r="K444" s="10">
        <f t="shared" si="113"/>
        <v>0</v>
      </c>
      <c r="L444" s="10">
        <f t="shared" si="114"/>
        <v>0</v>
      </c>
      <c r="M444" s="10">
        <f t="shared" si="115"/>
        <v>0</v>
      </c>
      <c r="N444" s="10">
        <f t="shared" si="116"/>
        <v>0</v>
      </c>
      <c r="O444" s="10">
        <f t="shared" si="117"/>
        <v>0</v>
      </c>
      <c r="P444" s="10">
        <f t="shared" si="118"/>
        <v>0</v>
      </c>
      <c r="Q444" s="10">
        <f t="shared" si="119"/>
        <v>0</v>
      </c>
      <c r="R444" s="10">
        <f t="shared" si="120"/>
        <v>0</v>
      </c>
      <c r="S444" s="10">
        <f t="shared" si="121"/>
        <v>0</v>
      </c>
      <c r="T444" s="10">
        <f t="shared" si="122"/>
        <v>0</v>
      </c>
      <c r="U444" s="10">
        <f t="shared" si="123"/>
        <v>0</v>
      </c>
      <c r="V444" s="10">
        <f t="shared" si="124"/>
        <v>0</v>
      </c>
    </row>
    <row r="445" spans="1:22" x14ac:dyDescent="0.2">
      <c r="A445" s="32">
        <v>19</v>
      </c>
      <c r="B445" s="33">
        <v>0.33333333333333298</v>
      </c>
      <c r="C445" s="32">
        <f>'1200z'!E28</f>
        <v>8</v>
      </c>
      <c r="D445" s="32">
        <f>'1200z'!F28</f>
        <v>13</v>
      </c>
      <c r="E445" s="32">
        <f t="shared" si="125"/>
        <v>80</v>
      </c>
      <c r="F445" s="10">
        <f t="shared" si="126"/>
        <v>0</v>
      </c>
      <c r="G445" s="10">
        <f t="shared" si="127"/>
        <v>0</v>
      </c>
      <c r="H445" s="10">
        <f t="shared" si="110"/>
        <v>0</v>
      </c>
      <c r="I445" s="10">
        <f t="shared" si="111"/>
        <v>0</v>
      </c>
      <c r="J445" s="10">
        <f t="shared" si="112"/>
        <v>1</v>
      </c>
      <c r="K445" s="10">
        <f t="shared" si="113"/>
        <v>0</v>
      </c>
      <c r="L445" s="10">
        <f t="shared" si="114"/>
        <v>0</v>
      </c>
      <c r="M445" s="10">
        <f t="shared" si="115"/>
        <v>0</v>
      </c>
      <c r="N445" s="10">
        <f t="shared" si="116"/>
        <v>0</v>
      </c>
      <c r="O445" s="10">
        <f t="shared" si="117"/>
        <v>0</v>
      </c>
      <c r="P445" s="10">
        <f t="shared" si="118"/>
        <v>0</v>
      </c>
      <c r="Q445" s="10">
        <f t="shared" si="119"/>
        <v>0</v>
      </c>
      <c r="R445" s="10">
        <f t="shared" si="120"/>
        <v>0</v>
      </c>
      <c r="S445" s="10">
        <f t="shared" si="121"/>
        <v>0</v>
      </c>
      <c r="T445" s="10">
        <f t="shared" si="122"/>
        <v>0</v>
      </c>
      <c r="U445" s="10">
        <f t="shared" si="123"/>
        <v>0</v>
      </c>
      <c r="V445" s="10">
        <f t="shared" si="124"/>
        <v>0</v>
      </c>
    </row>
    <row r="446" spans="1:22" x14ac:dyDescent="0.2">
      <c r="A446" s="32">
        <v>19</v>
      </c>
      <c r="B446" s="33">
        <v>0.375</v>
      </c>
      <c r="C446" s="32">
        <f>'1300z'!E28</f>
        <v>9</v>
      </c>
      <c r="D446" s="32">
        <f>'1300z'!F28</f>
        <v>14</v>
      </c>
      <c r="E446" s="32">
        <f t="shared" si="125"/>
        <v>90</v>
      </c>
      <c r="F446" s="10">
        <f t="shared" si="126"/>
        <v>0</v>
      </c>
      <c r="G446" s="10">
        <f t="shared" si="127"/>
        <v>0</v>
      </c>
      <c r="H446" s="10">
        <f t="shared" si="110"/>
        <v>0</v>
      </c>
      <c r="I446" s="10">
        <f t="shared" si="111"/>
        <v>0</v>
      </c>
      <c r="J446" s="10">
        <f t="shared" si="112"/>
        <v>1</v>
      </c>
      <c r="K446" s="10">
        <f t="shared" si="113"/>
        <v>0</v>
      </c>
      <c r="L446" s="10">
        <f t="shared" si="114"/>
        <v>0</v>
      </c>
      <c r="M446" s="10">
        <f t="shared" si="115"/>
        <v>0</v>
      </c>
      <c r="N446" s="10">
        <f t="shared" si="116"/>
        <v>0</v>
      </c>
      <c r="O446" s="10">
        <f t="shared" si="117"/>
        <v>0</v>
      </c>
      <c r="P446" s="10">
        <f t="shared" si="118"/>
        <v>0</v>
      </c>
      <c r="Q446" s="10">
        <f t="shared" si="119"/>
        <v>0</v>
      </c>
      <c r="R446" s="10">
        <f t="shared" si="120"/>
        <v>0</v>
      </c>
      <c r="S446" s="10">
        <f t="shared" si="121"/>
        <v>0</v>
      </c>
      <c r="T446" s="10">
        <f t="shared" si="122"/>
        <v>0</v>
      </c>
      <c r="U446" s="10">
        <f t="shared" si="123"/>
        <v>0</v>
      </c>
      <c r="V446" s="10">
        <f t="shared" si="124"/>
        <v>0</v>
      </c>
    </row>
    <row r="447" spans="1:22" x14ac:dyDescent="0.2">
      <c r="A447" s="32">
        <v>19</v>
      </c>
      <c r="B447" s="33">
        <v>0.41666666666666702</v>
      </c>
      <c r="C447" s="32">
        <f>'1400z'!E28</f>
        <v>10</v>
      </c>
      <c r="D447" s="32">
        <f>'1400z'!F28</f>
        <v>14</v>
      </c>
      <c r="E447" s="32">
        <f t="shared" si="125"/>
        <v>100</v>
      </c>
      <c r="F447" s="10">
        <f t="shared" si="126"/>
        <v>0</v>
      </c>
      <c r="G447" s="10">
        <f t="shared" si="127"/>
        <v>0</v>
      </c>
      <c r="H447" s="10">
        <f t="shared" si="110"/>
        <v>0</v>
      </c>
      <c r="I447" s="10">
        <f t="shared" si="111"/>
        <v>0</v>
      </c>
      <c r="J447" s="10">
        <f t="shared" si="112"/>
        <v>1</v>
      </c>
      <c r="K447" s="10">
        <f t="shared" si="113"/>
        <v>0</v>
      </c>
      <c r="L447" s="10">
        <f t="shared" si="114"/>
        <v>0</v>
      </c>
      <c r="M447" s="10">
        <f t="shared" si="115"/>
        <v>0</v>
      </c>
      <c r="N447" s="10">
        <f t="shared" si="116"/>
        <v>0</v>
      </c>
      <c r="O447" s="10">
        <f t="shared" si="117"/>
        <v>0</v>
      </c>
      <c r="P447" s="10">
        <f t="shared" si="118"/>
        <v>0</v>
      </c>
      <c r="Q447" s="10">
        <f t="shared" si="119"/>
        <v>0</v>
      </c>
      <c r="R447" s="10">
        <f t="shared" si="120"/>
        <v>0</v>
      </c>
      <c r="S447" s="10">
        <f t="shared" si="121"/>
        <v>0</v>
      </c>
      <c r="T447" s="10">
        <f t="shared" si="122"/>
        <v>0</v>
      </c>
      <c r="U447" s="10">
        <f t="shared" si="123"/>
        <v>0</v>
      </c>
      <c r="V447" s="10">
        <f t="shared" si="124"/>
        <v>0</v>
      </c>
    </row>
    <row r="448" spans="1:22" x14ac:dyDescent="0.2">
      <c r="A448" s="32">
        <v>19</v>
      </c>
      <c r="B448" s="33">
        <v>0.45833333333333298</v>
      </c>
      <c r="C448" s="32">
        <f>'1500z'!E28</f>
        <v>8</v>
      </c>
      <c r="D448" s="32">
        <f>'1500z'!F28</f>
        <v>16</v>
      </c>
      <c r="E448" s="32">
        <f t="shared" si="125"/>
        <v>80</v>
      </c>
      <c r="F448" s="10">
        <f t="shared" si="126"/>
        <v>0</v>
      </c>
      <c r="G448" s="10">
        <f t="shared" si="127"/>
        <v>0</v>
      </c>
      <c r="H448" s="10">
        <f t="shared" si="110"/>
        <v>0</v>
      </c>
      <c r="I448" s="10">
        <f t="shared" si="111"/>
        <v>0</v>
      </c>
      <c r="J448" s="10">
        <f t="shared" si="112"/>
        <v>1</v>
      </c>
      <c r="K448" s="10">
        <f t="shared" si="113"/>
        <v>0</v>
      </c>
      <c r="L448" s="10">
        <f t="shared" si="114"/>
        <v>0</v>
      </c>
      <c r="M448" s="10">
        <f t="shared" si="115"/>
        <v>0</v>
      </c>
      <c r="N448" s="10">
        <f t="shared" si="116"/>
        <v>0</v>
      </c>
      <c r="O448" s="10">
        <f t="shared" si="117"/>
        <v>0</v>
      </c>
      <c r="P448" s="10">
        <f t="shared" si="118"/>
        <v>0</v>
      </c>
      <c r="Q448" s="10">
        <f t="shared" si="119"/>
        <v>0</v>
      </c>
      <c r="R448" s="10">
        <f t="shared" si="120"/>
        <v>0</v>
      </c>
      <c r="S448" s="10">
        <f t="shared" si="121"/>
        <v>0</v>
      </c>
      <c r="T448" s="10">
        <f t="shared" si="122"/>
        <v>0</v>
      </c>
      <c r="U448" s="10">
        <f t="shared" si="123"/>
        <v>0</v>
      </c>
      <c r="V448" s="10">
        <f t="shared" si="124"/>
        <v>0</v>
      </c>
    </row>
    <row r="449" spans="1:22" x14ac:dyDescent="0.2">
      <c r="A449" s="32">
        <v>19</v>
      </c>
      <c r="B449" s="33">
        <v>0.5</v>
      </c>
      <c r="C449" s="32">
        <f>'1600z'!E28</f>
        <v>8</v>
      </c>
      <c r="D449" s="32">
        <f>'1600z'!F28</f>
        <v>19</v>
      </c>
      <c r="E449" s="32">
        <f t="shared" si="125"/>
        <v>80</v>
      </c>
      <c r="F449" s="10">
        <f t="shared" si="126"/>
        <v>0</v>
      </c>
      <c r="G449" s="10">
        <f t="shared" si="127"/>
        <v>0</v>
      </c>
      <c r="H449" s="10">
        <f t="shared" si="110"/>
        <v>0</v>
      </c>
      <c r="I449" s="10">
        <f t="shared" si="111"/>
        <v>0</v>
      </c>
      <c r="J449" s="10">
        <f t="shared" si="112"/>
        <v>1</v>
      </c>
      <c r="K449" s="10">
        <f t="shared" si="113"/>
        <v>0</v>
      </c>
      <c r="L449" s="10">
        <f t="shared" si="114"/>
        <v>0</v>
      </c>
      <c r="M449" s="10">
        <f t="shared" si="115"/>
        <v>0</v>
      </c>
      <c r="N449" s="10">
        <f t="shared" si="116"/>
        <v>0</v>
      </c>
      <c r="O449" s="10">
        <f t="shared" si="117"/>
        <v>0</v>
      </c>
      <c r="P449" s="10">
        <f t="shared" si="118"/>
        <v>0</v>
      </c>
      <c r="Q449" s="10">
        <f t="shared" si="119"/>
        <v>0</v>
      </c>
      <c r="R449" s="10">
        <f t="shared" si="120"/>
        <v>0</v>
      </c>
      <c r="S449" s="10">
        <f t="shared" si="121"/>
        <v>0</v>
      </c>
      <c r="T449" s="10">
        <f t="shared" si="122"/>
        <v>0</v>
      </c>
      <c r="U449" s="10">
        <f t="shared" si="123"/>
        <v>0</v>
      </c>
      <c r="V449" s="10">
        <f t="shared" si="124"/>
        <v>0</v>
      </c>
    </row>
    <row r="450" spans="1:22" x14ac:dyDescent="0.2">
      <c r="A450" s="32">
        <v>19</v>
      </c>
      <c r="B450" s="33">
        <v>0.54166666666666696</v>
      </c>
      <c r="C450" s="32">
        <f>'1700z'!E28</f>
        <v>9</v>
      </c>
      <c r="D450" s="32">
        <f>'1700z'!F28</f>
        <v>15</v>
      </c>
      <c r="E450" s="32">
        <f t="shared" si="125"/>
        <v>90</v>
      </c>
      <c r="F450" s="10">
        <f t="shared" si="126"/>
        <v>0</v>
      </c>
      <c r="G450" s="10">
        <f t="shared" si="127"/>
        <v>0</v>
      </c>
      <c r="H450" s="10">
        <f t="shared" si="110"/>
        <v>0</v>
      </c>
      <c r="I450" s="10">
        <f t="shared" si="111"/>
        <v>0</v>
      </c>
      <c r="J450" s="10">
        <f t="shared" si="112"/>
        <v>1</v>
      </c>
      <c r="K450" s="10">
        <f t="shared" si="113"/>
        <v>0</v>
      </c>
      <c r="L450" s="10">
        <f t="shared" si="114"/>
        <v>0</v>
      </c>
      <c r="M450" s="10">
        <f t="shared" si="115"/>
        <v>0</v>
      </c>
      <c r="N450" s="10">
        <f t="shared" si="116"/>
        <v>0</v>
      </c>
      <c r="O450" s="10">
        <f t="shared" si="117"/>
        <v>0</v>
      </c>
      <c r="P450" s="10">
        <f t="shared" si="118"/>
        <v>0</v>
      </c>
      <c r="Q450" s="10">
        <f t="shared" si="119"/>
        <v>0</v>
      </c>
      <c r="R450" s="10">
        <f t="shared" si="120"/>
        <v>0</v>
      </c>
      <c r="S450" s="10">
        <f t="shared" si="121"/>
        <v>0</v>
      </c>
      <c r="T450" s="10">
        <f t="shared" si="122"/>
        <v>0</v>
      </c>
      <c r="U450" s="10">
        <f t="shared" si="123"/>
        <v>0</v>
      </c>
      <c r="V450" s="10">
        <f t="shared" si="124"/>
        <v>0</v>
      </c>
    </row>
    <row r="451" spans="1:22" x14ac:dyDescent="0.2">
      <c r="A451" s="32">
        <v>19</v>
      </c>
      <c r="B451" s="33">
        <v>0.58333333333333304</v>
      </c>
      <c r="C451" s="32">
        <f>'1800z'!E28</f>
        <v>9</v>
      </c>
      <c r="D451" s="32">
        <f>'1800z'!F28</f>
        <v>16</v>
      </c>
      <c r="E451" s="32">
        <f t="shared" si="125"/>
        <v>90</v>
      </c>
      <c r="F451" s="10">
        <f t="shared" si="126"/>
        <v>0</v>
      </c>
      <c r="G451" s="10">
        <f t="shared" si="127"/>
        <v>0</v>
      </c>
      <c r="H451" s="10">
        <f t="shared" si="110"/>
        <v>0</v>
      </c>
      <c r="I451" s="10">
        <f t="shared" si="111"/>
        <v>0</v>
      </c>
      <c r="J451" s="10">
        <f t="shared" si="112"/>
        <v>1</v>
      </c>
      <c r="K451" s="10">
        <f t="shared" si="113"/>
        <v>0</v>
      </c>
      <c r="L451" s="10">
        <f t="shared" si="114"/>
        <v>0</v>
      </c>
      <c r="M451" s="10">
        <f t="shared" si="115"/>
        <v>0</v>
      </c>
      <c r="N451" s="10">
        <f t="shared" si="116"/>
        <v>0</v>
      </c>
      <c r="O451" s="10">
        <f t="shared" si="117"/>
        <v>0</v>
      </c>
      <c r="P451" s="10">
        <f t="shared" si="118"/>
        <v>0</v>
      </c>
      <c r="Q451" s="10">
        <f t="shared" si="119"/>
        <v>0</v>
      </c>
      <c r="R451" s="10">
        <f t="shared" si="120"/>
        <v>0</v>
      </c>
      <c r="S451" s="10">
        <f t="shared" si="121"/>
        <v>0</v>
      </c>
      <c r="T451" s="10">
        <f t="shared" si="122"/>
        <v>0</v>
      </c>
      <c r="U451" s="10">
        <f t="shared" si="123"/>
        <v>0</v>
      </c>
      <c r="V451" s="10">
        <f t="shared" si="124"/>
        <v>0</v>
      </c>
    </row>
    <row r="452" spans="1:22" x14ac:dyDescent="0.2">
      <c r="A452" s="32">
        <v>19</v>
      </c>
      <c r="B452" s="33">
        <v>0.625</v>
      </c>
      <c r="C452" s="32">
        <f>'1900z'!E28</f>
        <v>9</v>
      </c>
      <c r="D452" s="32">
        <f>'1900z'!F28</f>
        <v>16</v>
      </c>
      <c r="E452" s="32">
        <f t="shared" si="125"/>
        <v>90</v>
      </c>
      <c r="F452" s="10">
        <f t="shared" si="126"/>
        <v>0</v>
      </c>
      <c r="G452" s="10">
        <f t="shared" si="127"/>
        <v>0</v>
      </c>
      <c r="H452" s="10">
        <f t="shared" si="110"/>
        <v>0</v>
      </c>
      <c r="I452" s="10">
        <f t="shared" si="111"/>
        <v>0</v>
      </c>
      <c r="J452" s="10">
        <f t="shared" si="112"/>
        <v>1</v>
      </c>
      <c r="K452" s="10">
        <f t="shared" si="113"/>
        <v>0</v>
      </c>
      <c r="L452" s="10">
        <f t="shared" si="114"/>
        <v>0</v>
      </c>
      <c r="M452" s="10">
        <f t="shared" si="115"/>
        <v>0</v>
      </c>
      <c r="N452" s="10">
        <f t="shared" si="116"/>
        <v>0</v>
      </c>
      <c r="O452" s="10">
        <f t="shared" si="117"/>
        <v>0</v>
      </c>
      <c r="P452" s="10">
        <f t="shared" si="118"/>
        <v>0</v>
      </c>
      <c r="Q452" s="10">
        <f t="shared" si="119"/>
        <v>0</v>
      </c>
      <c r="R452" s="10">
        <f t="shared" si="120"/>
        <v>0</v>
      </c>
      <c r="S452" s="10">
        <f t="shared" si="121"/>
        <v>0</v>
      </c>
      <c r="T452" s="10">
        <f t="shared" si="122"/>
        <v>0</v>
      </c>
      <c r="U452" s="10">
        <f t="shared" si="123"/>
        <v>0</v>
      </c>
      <c r="V452" s="10">
        <f t="shared" si="124"/>
        <v>0</v>
      </c>
    </row>
    <row r="453" spans="1:22" x14ac:dyDescent="0.2">
      <c r="A453" s="32">
        <v>19</v>
      </c>
      <c r="B453" s="33">
        <v>0.66666666666666696</v>
      </c>
      <c r="C453" s="32">
        <f>'2000z'!E28</f>
        <v>8</v>
      </c>
      <c r="D453" s="32">
        <f>'2000z'!F28</f>
        <v>15</v>
      </c>
      <c r="E453" s="32">
        <f t="shared" si="125"/>
        <v>80</v>
      </c>
      <c r="F453" s="10">
        <f t="shared" si="126"/>
        <v>0</v>
      </c>
      <c r="G453" s="10">
        <f t="shared" si="127"/>
        <v>0</v>
      </c>
      <c r="H453" s="10">
        <f t="shared" si="110"/>
        <v>0</v>
      </c>
      <c r="I453" s="10">
        <f t="shared" si="111"/>
        <v>0</v>
      </c>
      <c r="J453" s="10">
        <f t="shared" si="112"/>
        <v>1</v>
      </c>
      <c r="K453" s="10">
        <f t="shared" si="113"/>
        <v>0</v>
      </c>
      <c r="L453" s="10">
        <f t="shared" si="114"/>
        <v>0</v>
      </c>
      <c r="M453" s="10">
        <f t="shared" si="115"/>
        <v>0</v>
      </c>
      <c r="N453" s="10">
        <f t="shared" si="116"/>
        <v>0</v>
      </c>
      <c r="O453" s="10">
        <f t="shared" si="117"/>
        <v>0</v>
      </c>
      <c r="P453" s="10">
        <f t="shared" si="118"/>
        <v>0</v>
      </c>
      <c r="Q453" s="10">
        <f t="shared" si="119"/>
        <v>0</v>
      </c>
      <c r="R453" s="10">
        <f t="shared" si="120"/>
        <v>0</v>
      </c>
      <c r="S453" s="10">
        <f t="shared" si="121"/>
        <v>0</v>
      </c>
      <c r="T453" s="10">
        <f t="shared" si="122"/>
        <v>0</v>
      </c>
      <c r="U453" s="10">
        <f t="shared" si="123"/>
        <v>0</v>
      </c>
      <c r="V453" s="10">
        <f t="shared" si="124"/>
        <v>0</v>
      </c>
    </row>
    <row r="454" spans="1:22" x14ac:dyDescent="0.2">
      <c r="A454" s="32">
        <v>19</v>
      </c>
      <c r="B454" s="33">
        <v>0.70833333333333304</v>
      </c>
      <c r="C454" s="32">
        <f>'2100z'!E28</f>
        <v>9</v>
      </c>
      <c r="D454" s="32">
        <f>'2100z'!F28</f>
        <v>17</v>
      </c>
      <c r="E454" s="32">
        <f t="shared" si="125"/>
        <v>90</v>
      </c>
      <c r="F454" s="10">
        <f t="shared" si="126"/>
        <v>0</v>
      </c>
      <c r="G454" s="10">
        <f t="shared" si="127"/>
        <v>0</v>
      </c>
      <c r="H454" s="10">
        <f t="shared" ref="H454:H517" si="128">IF(E454&gt;33.75,IF(E454&lt;=56.25,1,0),0)</f>
        <v>0</v>
      </c>
      <c r="I454" s="10">
        <f t="shared" ref="I454:I517" si="129">IF(E454&gt;56.25,IF(E454&lt;=78.75,1,0),0)</f>
        <v>0</v>
      </c>
      <c r="J454" s="10">
        <f t="shared" ref="J454:J517" si="130">IF(E454&gt;78.75,IF(E454&lt;=101.25,1,0),0)</f>
        <v>1</v>
      </c>
      <c r="K454" s="10">
        <f t="shared" ref="K454:K517" si="131">IF(E454&gt;101.25,IF(E454&lt;=123.75,1,0),0)</f>
        <v>0</v>
      </c>
      <c r="L454" s="10">
        <f t="shared" ref="L454:L517" si="132">IF(E454&gt;123.75,IF(E454&lt;=146.25,1,0),0)</f>
        <v>0</v>
      </c>
      <c r="M454" s="10">
        <f t="shared" ref="M454:M517" si="133">IF(E454&gt;146.25,IF(E454&lt;=168.75,1,0),0)</f>
        <v>0</v>
      </c>
      <c r="N454" s="10">
        <f t="shared" ref="N454:N517" si="134">IF(E454&gt;168.75,IF(E454&lt;=191.25,1,0),0)</f>
        <v>0</v>
      </c>
      <c r="O454" s="10">
        <f t="shared" ref="O454:O517" si="135">IF(E454&gt;191.25,IF(E454&lt;=213.75,1,0),0)</f>
        <v>0</v>
      </c>
      <c r="P454" s="10">
        <f t="shared" ref="P454:P517" si="136">IF(E454&gt;213.75,IF(E454&lt;=236.25,1,0),0)</f>
        <v>0</v>
      </c>
      <c r="Q454" s="10">
        <f t="shared" ref="Q454:Q517" si="137">IF(E454&gt;236.25,IF(E454&lt;=258.75,1,0),0)</f>
        <v>0</v>
      </c>
      <c r="R454" s="10">
        <f t="shared" ref="R454:R517" si="138">IF(E454&gt;258.75,IF(E454&lt;=281.25,1,0),0)</f>
        <v>0</v>
      </c>
      <c r="S454" s="10">
        <f t="shared" ref="S454:S517" si="139">IF(E454&gt;281.25,IF(E454&lt;=303.75,1,0),0)</f>
        <v>0</v>
      </c>
      <c r="T454" s="10">
        <f t="shared" ref="T454:T517" si="140">IF(E454&gt;303.75,IF(E454&lt;=326.25,1,0),0)</f>
        <v>0</v>
      </c>
      <c r="U454" s="10">
        <f t="shared" ref="U454:U517" si="141">IF(E454&gt;326.25,IF(E454&lt;=348.75,1,0),0)</f>
        <v>0</v>
      </c>
      <c r="V454" s="10">
        <f t="shared" ref="V454:V517" si="142">IF(E454&gt;348.75,IF(E454&lt;=360,1,0),0)</f>
        <v>0</v>
      </c>
    </row>
    <row r="455" spans="1:22" x14ac:dyDescent="0.2">
      <c r="A455" s="32">
        <v>19</v>
      </c>
      <c r="B455" s="33">
        <v>0.75</v>
      </c>
      <c r="C455" s="32">
        <f>'2200z'!E28</f>
        <v>7</v>
      </c>
      <c r="D455" s="32">
        <f>'2200z'!F28</f>
        <v>12</v>
      </c>
      <c r="E455" s="32">
        <f t="shared" ref="E455:E518" si="143">(C455*10)</f>
        <v>70</v>
      </c>
      <c r="F455" s="10">
        <f t="shared" ref="F455:F518" si="144">IF(E455&gt;0,IF(E455&lt;=11.25,1,0),0)</f>
        <v>0</v>
      </c>
      <c r="G455" s="10">
        <f t="shared" ref="G455:G518" si="145">IF(E455&gt;11.25,IF(E455&lt;=33.75,1,0),0)</f>
        <v>0</v>
      </c>
      <c r="H455" s="10">
        <f t="shared" si="128"/>
        <v>0</v>
      </c>
      <c r="I455" s="10">
        <f t="shared" si="129"/>
        <v>1</v>
      </c>
      <c r="J455" s="10">
        <f t="shared" si="130"/>
        <v>0</v>
      </c>
      <c r="K455" s="10">
        <f t="shared" si="131"/>
        <v>0</v>
      </c>
      <c r="L455" s="10">
        <f t="shared" si="132"/>
        <v>0</v>
      </c>
      <c r="M455" s="10">
        <f t="shared" si="133"/>
        <v>0</v>
      </c>
      <c r="N455" s="10">
        <f t="shared" si="134"/>
        <v>0</v>
      </c>
      <c r="O455" s="10">
        <f t="shared" si="135"/>
        <v>0</v>
      </c>
      <c r="P455" s="10">
        <f t="shared" si="136"/>
        <v>0</v>
      </c>
      <c r="Q455" s="10">
        <f t="shared" si="137"/>
        <v>0</v>
      </c>
      <c r="R455" s="10">
        <f t="shared" si="138"/>
        <v>0</v>
      </c>
      <c r="S455" s="10">
        <f t="shared" si="139"/>
        <v>0</v>
      </c>
      <c r="T455" s="10">
        <f t="shared" si="140"/>
        <v>0</v>
      </c>
      <c r="U455" s="10">
        <f t="shared" si="141"/>
        <v>0</v>
      </c>
      <c r="V455" s="10">
        <f t="shared" si="142"/>
        <v>0</v>
      </c>
    </row>
    <row r="456" spans="1:22" x14ac:dyDescent="0.2">
      <c r="A456" s="32">
        <v>19</v>
      </c>
      <c r="B456" s="33">
        <v>0.79166666666666696</v>
      </c>
      <c r="C456" s="32">
        <f>'2300z'!E28</f>
        <v>9</v>
      </c>
      <c r="D456" s="32">
        <f>'2300z'!F28</f>
        <v>14</v>
      </c>
      <c r="E456" s="32">
        <f t="shared" si="143"/>
        <v>90</v>
      </c>
      <c r="F456" s="10">
        <f t="shared" si="144"/>
        <v>0</v>
      </c>
      <c r="G456" s="10">
        <f t="shared" si="145"/>
        <v>0</v>
      </c>
      <c r="H456" s="10">
        <f t="shared" si="128"/>
        <v>0</v>
      </c>
      <c r="I456" s="10">
        <f t="shared" si="129"/>
        <v>0</v>
      </c>
      <c r="J456" s="10">
        <f t="shared" si="130"/>
        <v>1</v>
      </c>
      <c r="K456" s="10">
        <f t="shared" si="131"/>
        <v>0</v>
      </c>
      <c r="L456" s="10">
        <f t="shared" si="132"/>
        <v>0</v>
      </c>
      <c r="M456" s="10">
        <f t="shared" si="133"/>
        <v>0</v>
      </c>
      <c r="N456" s="10">
        <f t="shared" si="134"/>
        <v>0</v>
      </c>
      <c r="O456" s="10">
        <f t="shared" si="135"/>
        <v>0</v>
      </c>
      <c r="P456" s="10">
        <f t="shared" si="136"/>
        <v>0</v>
      </c>
      <c r="Q456" s="10">
        <f t="shared" si="137"/>
        <v>0</v>
      </c>
      <c r="R456" s="10">
        <f t="shared" si="138"/>
        <v>0</v>
      </c>
      <c r="S456" s="10">
        <f t="shared" si="139"/>
        <v>0</v>
      </c>
      <c r="T456" s="10">
        <f t="shared" si="140"/>
        <v>0</v>
      </c>
      <c r="U456" s="10">
        <f t="shared" si="141"/>
        <v>0</v>
      </c>
      <c r="V456" s="10">
        <f t="shared" si="142"/>
        <v>0</v>
      </c>
    </row>
    <row r="457" spans="1:22" x14ac:dyDescent="0.2">
      <c r="A457" s="32">
        <v>19</v>
      </c>
      <c r="B457" s="33">
        <v>0.83333333333333304</v>
      </c>
      <c r="C457" s="32">
        <f>'0000z'!E28</f>
        <v>7</v>
      </c>
      <c r="D457" s="32">
        <f>'0000z'!F28</f>
        <v>13</v>
      </c>
      <c r="E457" s="32">
        <f t="shared" si="143"/>
        <v>70</v>
      </c>
      <c r="F457" s="10">
        <f t="shared" si="144"/>
        <v>0</v>
      </c>
      <c r="G457" s="10">
        <f t="shared" si="145"/>
        <v>0</v>
      </c>
      <c r="H457" s="10">
        <f t="shared" si="128"/>
        <v>0</v>
      </c>
      <c r="I457" s="10">
        <f t="shared" si="129"/>
        <v>1</v>
      </c>
      <c r="J457" s="10">
        <f t="shared" si="130"/>
        <v>0</v>
      </c>
      <c r="K457" s="10">
        <f t="shared" si="131"/>
        <v>0</v>
      </c>
      <c r="L457" s="10">
        <f t="shared" si="132"/>
        <v>0</v>
      </c>
      <c r="M457" s="10">
        <f t="shared" si="133"/>
        <v>0</v>
      </c>
      <c r="N457" s="10">
        <f t="shared" si="134"/>
        <v>0</v>
      </c>
      <c r="O457" s="10">
        <f t="shared" si="135"/>
        <v>0</v>
      </c>
      <c r="P457" s="10">
        <f t="shared" si="136"/>
        <v>0</v>
      </c>
      <c r="Q457" s="10">
        <f t="shared" si="137"/>
        <v>0</v>
      </c>
      <c r="R457" s="10">
        <f t="shared" si="138"/>
        <v>0</v>
      </c>
      <c r="S457" s="10">
        <f t="shared" si="139"/>
        <v>0</v>
      </c>
      <c r="T457" s="10">
        <f t="shared" si="140"/>
        <v>0</v>
      </c>
      <c r="U457" s="10">
        <f t="shared" si="141"/>
        <v>0</v>
      </c>
      <c r="V457" s="10">
        <f t="shared" si="142"/>
        <v>0</v>
      </c>
    </row>
    <row r="458" spans="1:22" x14ac:dyDescent="0.2">
      <c r="A458" s="32">
        <v>19</v>
      </c>
      <c r="B458" s="33">
        <v>0.875</v>
      </c>
      <c r="C458" s="32">
        <f>'0100z'!E28</f>
        <v>8</v>
      </c>
      <c r="D458" s="32">
        <f>'0100z'!F28</f>
        <v>15</v>
      </c>
      <c r="E458" s="32">
        <f t="shared" si="143"/>
        <v>80</v>
      </c>
      <c r="F458" s="10">
        <f t="shared" si="144"/>
        <v>0</v>
      </c>
      <c r="G458" s="10">
        <f t="shared" si="145"/>
        <v>0</v>
      </c>
      <c r="H458" s="10">
        <f t="shared" si="128"/>
        <v>0</v>
      </c>
      <c r="I458" s="10">
        <f t="shared" si="129"/>
        <v>0</v>
      </c>
      <c r="J458" s="10">
        <f t="shared" si="130"/>
        <v>1</v>
      </c>
      <c r="K458" s="10">
        <f t="shared" si="131"/>
        <v>0</v>
      </c>
      <c r="L458" s="10">
        <f t="shared" si="132"/>
        <v>0</v>
      </c>
      <c r="M458" s="10">
        <f t="shared" si="133"/>
        <v>0</v>
      </c>
      <c r="N458" s="10">
        <f t="shared" si="134"/>
        <v>0</v>
      </c>
      <c r="O458" s="10">
        <f t="shared" si="135"/>
        <v>0</v>
      </c>
      <c r="P458" s="10">
        <f t="shared" si="136"/>
        <v>0</v>
      </c>
      <c r="Q458" s="10">
        <f t="shared" si="137"/>
        <v>0</v>
      </c>
      <c r="R458" s="10">
        <f t="shared" si="138"/>
        <v>0</v>
      </c>
      <c r="S458" s="10">
        <f t="shared" si="139"/>
        <v>0</v>
      </c>
      <c r="T458" s="10">
        <f t="shared" si="140"/>
        <v>0</v>
      </c>
      <c r="U458" s="10">
        <f t="shared" si="141"/>
        <v>0</v>
      </c>
      <c r="V458" s="10">
        <f t="shared" si="142"/>
        <v>0</v>
      </c>
    </row>
    <row r="459" spans="1:22" x14ac:dyDescent="0.2">
      <c r="A459" s="32">
        <v>19</v>
      </c>
      <c r="B459" s="33">
        <v>0.91666666666666696</v>
      </c>
      <c r="C459" s="32">
        <f>'0200z'!E28</f>
        <v>8</v>
      </c>
      <c r="D459" s="32">
        <f>'0200z'!F28</f>
        <v>11</v>
      </c>
      <c r="E459" s="32">
        <f t="shared" si="143"/>
        <v>80</v>
      </c>
      <c r="F459" s="10">
        <f t="shared" si="144"/>
        <v>0</v>
      </c>
      <c r="G459" s="10">
        <f t="shared" si="145"/>
        <v>0</v>
      </c>
      <c r="H459" s="10">
        <f t="shared" si="128"/>
        <v>0</v>
      </c>
      <c r="I459" s="10">
        <f t="shared" si="129"/>
        <v>0</v>
      </c>
      <c r="J459" s="10">
        <f t="shared" si="130"/>
        <v>1</v>
      </c>
      <c r="K459" s="10">
        <f t="shared" si="131"/>
        <v>0</v>
      </c>
      <c r="L459" s="10">
        <f t="shared" si="132"/>
        <v>0</v>
      </c>
      <c r="M459" s="10">
        <f t="shared" si="133"/>
        <v>0</v>
      </c>
      <c r="N459" s="10">
        <f t="shared" si="134"/>
        <v>0</v>
      </c>
      <c r="O459" s="10">
        <f t="shared" si="135"/>
        <v>0</v>
      </c>
      <c r="P459" s="10">
        <f t="shared" si="136"/>
        <v>0</v>
      </c>
      <c r="Q459" s="10">
        <f t="shared" si="137"/>
        <v>0</v>
      </c>
      <c r="R459" s="10">
        <f t="shared" si="138"/>
        <v>0</v>
      </c>
      <c r="S459" s="10">
        <f t="shared" si="139"/>
        <v>0</v>
      </c>
      <c r="T459" s="10">
        <f t="shared" si="140"/>
        <v>0</v>
      </c>
      <c r="U459" s="10">
        <f t="shared" si="141"/>
        <v>0</v>
      </c>
      <c r="V459" s="10">
        <f t="shared" si="142"/>
        <v>0</v>
      </c>
    </row>
    <row r="460" spans="1:22" x14ac:dyDescent="0.2">
      <c r="A460" s="32">
        <v>19</v>
      </c>
      <c r="B460" s="33">
        <v>0.95833333333333304</v>
      </c>
      <c r="C460" s="32">
        <f>'0300z'!E28</f>
        <v>9</v>
      </c>
      <c r="D460" s="32">
        <f>'0300z'!F28</f>
        <v>10</v>
      </c>
      <c r="E460" s="32">
        <f t="shared" si="143"/>
        <v>90</v>
      </c>
      <c r="F460" s="10">
        <f t="shared" si="144"/>
        <v>0</v>
      </c>
      <c r="G460" s="10">
        <f t="shared" si="145"/>
        <v>0</v>
      </c>
      <c r="H460" s="10">
        <f t="shared" si="128"/>
        <v>0</v>
      </c>
      <c r="I460" s="10">
        <f t="shared" si="129"/>
        <v>0</v>
      </c>
      <c r="J460" s="10">
        <f t="shared" si="130"/>
        <v>1</v>
      </c>
      <c r="K460" s="10">
        <f t="shared" si="131"/>
        <v>0</v>
      </c>
      <c r="L460" s="10">
        <f t="shared" si="132"/>
        <v>0</v>
      </c>
      <c r="M460" s="10">
        <f t="shared" si="133"/>
        <v>0</v>
      </c>
      <c r="N460" s="10">
        <f t="shared" si="134"/>
        <v>0</v>
      </c>
      <c r="O460" s="10">
        <f t="shared" si="135"/>
        <v>0</v>
      </c>
      <c r="P460" s="10">
        <f t="shared" si="136"/>
        <v>0</v>
      </c>
      <c r="Q460" s="10">
        <f t="shared" si="137"/>
        <v>0</v>
      </c>
      <c r="R460" s="10">
        <f t="shared" si="138"/>
        <v>0</v>
      </c>
      <c r="S460" s="10">
        <f t="shared" si="139"/>
        <v>0</v>
      </c>
      <c r="T460" s="10">
        <f t="shared" si="140"/>
        <v>0</v>
      </c>
      <c r="U460" s="10">
        <f t="shared" si="141"/>
        <v>0</v>
      </c>
      <c r="V460" s="10">
        <f t="shared" si="142"/>
        <v>0</v>
      </c>
    </row>
    <row r="461" spans="1:22" x14ac:dyDescent="0.2">
      <c r="A461" s="32">
        <v>20</v>
      </c>
      <c r="B461" s="33">
        <v>0</v>
      </c>
      <c r="C461" s="32">
        <f>'0400z'!E29</f>
        <v>8</v>
      </c>
      <c r="D461" s="32">
        <f>'0400z'!F29</f>
        <v>8</v>
      </c>
      <c r="E461" s="32">
        <f t="shared" si="143"/>
        <v>80</v>
      </c>
      <c r="F461" s="10">
        <f t="shared" si="144"/>
        <v>0</v>
      </c>
      <c r="G461" s="10">
        <f t="shared" si="145"/>
        <v>0</v>
      </c>
      <c r="H461" s="10">
        <f t="shared" si="128"/>
        <v>0</v>
      </c>
      <c r="I461" s="10">
        <f t="shared" si="129"/>
        <v>0</v>
      </c>
      <c r="J461" s="10">
        <f t="shared" si="130"/>
        <v>1</v>
      </c>
      <c r="K461" s="10">
        <f t="shared" si="131"/>
        <v>0</v>
      </c>
      <c r="L461" s="10">
        <f t="shared" si="132"/>
        <v>0</v>
      </c>
      <c r="M461" s="10">
        <f t="shared" si="133"/>
        <v>0</v>
      </c>
      <c r="N461" s="10">
        <f t="shared" si="134"/>
        <v>0</v>
      </c>
      <c r="O461" s="10">
        <f t="shared" si="135"/>
        <v>0</v>
      </c>
      <c r="P461" s="10">
        <f t="shared" si="136"/>
        <v>0</v>
      </c>
      <c r="Q461" s="10">
        <f t="shared" si="137"/>
        <v>0</v>
      </c>
      <c r="R461" s="10">
        <f t="shared" si="138"/>
        <v>0</v>
      </c>
      <c r="S461" s="10">
        <f t="shared" si="139"/>
        <v>0</v>
      </c>
      <c r="T461" s="10">
        <f t="shared" si="140"/>
        <v>0</v>
      </c>
      <c r="U461" s="10">
        <f t="shared" si="141"/>
        <v>0</v>
      </c>
      <c r="V461" s="10">
        <f t="shared" si="142"/>
        <v>0</v>
      </c>
    </row>
    <row r="462" spans="1:22" x14ac:dyDescent="0.2">
      <c r="A462" s="32">
        <v>20</v>
      </c>
      <c r="B462" s="33">
        <v>4.1666666666666664E-2</v>
      </c>
      <c r="C462" s="32">
        <f>'0500z'!E29</f>
        <v>9</v>
      </c>
      <c r="D462" s="32">
        <f>'0500z'!F29</f>
        <v>12</v>
      </c>
      <c r="E462" s="32">
        <f t="shared" si="143"/>
        <v>90</v>
      </c>
      <c r="F462" s="10">
        <f t="shared" si="144"/>
        <v>0</v>
      </c>
      <c r="G462" s="10">
        <f t="shared" si="145"/>
        <v>0</v>
      </c>
      <c r="H462" s="10">
        <f t="shared" si="128"/>
        <v>0</v>
      </c>
      <c r="I462" s="10">
        <f t="shared" si="129"/>
        <v>0</v>
      </c>
      <c r="J462" s="10">
        <f t="shared" si="130"/>
        <v>1</v>
      </c>
      <c r="K462" s="10">
        <f t="shared" si="131"/>
        <v>0</v>
      </c>
      <c r="L462" s="10">
        <f t="shared" si="132"/>
        <v>0</v>
      </c>
      <c r="M462" s="10">
        <f t="shared" si="133"/>
        <v>0</v>
      </c>
      <c r="N462" s="10">
        <f t="shared" si="134"/>
        <v>0</v>
      </c>
      <c r="O462" s="10">
        <f t="shared" si="135"/>
        <v>0</v>
      </c>
      <c r="P462" s="10">
        <f t="shared" si="136"/>
        <v>0</v>
      </c>
      <c r="Q462" s="10">
        <f t="shared" si="137"/>
        <v>0</v>
      </c>
      <c r="R462" s="10">
        <f t="shared" si="138"/>
        <v>0</v>
      </c>
      <c r="S462" s="10">
        <f t="shared" si="139"/>
        <v>0</v>
      </c>
      <c r="T462" s="10">
        <f t="shared" si="140"/>
        <v>0</v>
      </c>
      <c r="U462" s="10">
        <f t="shared" si="141"/>
        <v>0</v>
      </c>
      <c r="V462" s="10">
        <f t="shared" si="142"/>
        <v>0</v>
      </c>
    </row>
    <row r="463" spans="1:22" x14ac:dyDescent="0.2">
      <c r="A463" s="32">
        <v>20</v>
      </c>
      <c r="B463" s="33">
        <v>8.3333333333333329E-2</v>
      </c>
      <c r="C463" s="32">
        <f>'0600z'!E29</f>
        <v>12</v>
      </c>
      <c r="D463" s="32">
        <f>'0600z'!F29</f>
        <v>16</v>
      </c>
      <c r="E463" s="32">
        <f t="shared" si="143"/>
        <v>120</v>
      </c>
      <c r="F463" s="10">
        <f t="shared" si="144"/>
        <v>0</v>
      </c>
      <c r="G463" s="10">
        <f t="shared" si="145"/>
        <v>0</v>
      </c>
      <c r="H463" s="10">
        <f t="shared" si="128"/>
        <v>0</v>
      </c>
      <c r="I463" s="10">
        <f t="shared" si="129"/>
        <v>0</v>
      </c>
      <c r="J463" s="10">
        <f t="shared" si="130"/>
        <v>0</v>
      </c>
      <c r="K463" s="10">
        <f t="shared" si="131"/>
        <v>1</v>
      </c>
      <c r="L463" s="10">
        <f t="shared" si="132"/>
        <v>0</v>
      </c>
      <c r="M463" s="10">
        <f t="shared" si="133"/>
        <v>0</v>
      </c>
      <c r="N463" s="10">
        <f t="shared" si="134"/>
        <v>0</v>
      </c>
      <c r="O463" s="10">
        <f t="shared" si="135"/>
        <v>0</v>
      </c>
      <c r="P463" s="10">
        <f t="shared" si="136"/>
        <v>0</v>
      </c>
      <c r="Q463" s="10">
        <f t="shared" si="137"/>
        <v>0</v>
      </c>
      <c r="R463" s="10">
        <f t="shared" si="138"/>
        <v>0</v>
      </c>
      <c r="S463" s="10">
        <f t="shared" si="139"/>
        <v>0</v>
      </c>
      <c r="T463" s="10">
        <f t="shared" si="140"/>
        <v>0</v>
      </c>
      <c r="U463" s="10">
        <f t="shared" si="141"/>
        <v>0</v>
      </c>
      <c r="V463" s="10">
        <f t="shared" si="142"/>
        <v>0</v>
      </c>
    </row>
    <row r="464" spans="1:22" x14ac:dyDescent="0.2">
      <c r="A464" s="32">
        <v>20</v>
      </c>
      <c r="B464" s="33">
        <v>0.125</v>
      </c>
      <c r="C464" s="32">
        <f>'0700z'!E29</f>
        <v>12</v>
      </c>
      <c r="D464" s="32">
        <f>'0700z'!F29</f>
        <v>13</v>
      </c>
      <c r="E464" s="32">
        <f t="shared" si="143"/>
        <v>120</v>
      </c>
      <c r="F464" s="10">
        <f t="shared" si="144"/>
        <v>0</v>
      </c>
      <c r="G464" s="10">
        <f t="shared" si="145"/>
        <v>0</v>
      </c>
      <c r="H464" s="10">
        <f t="shared" si="128"/>
        <v>0</v>
      </c>
      <c r="I464" s="10">
        <f t="shared" si="129"/>
        <v>0</v>
      </c>
      <c r="J464" s="10">
        <f t="shared" si="130"/>
        <v>0</v>
      </c>
      <c r="K464" s="10">
        <f t="shared" si="131"/>
        <v>1</v>
      </c>
      <c r="L464" s="10">
        <f t="shared" si="132"/>
        <v>0</v>
      </c>
      <c r="M464" s="10">
        <f t="shared" si="133"/>
        <v>0</v>
      </c>
      <c r="N464" s="10">
        <f t="shared" si="134"/>
        <v>0</v>
      </c>
      <c r="O464" s="10">
        <f t="shared" si="135"/>
        <v>0</v>
      </c>
      <c r="P464" s="10">
        <f t="shared" si="136"/>
        <v>0</v>
      </c>
      <c r="Q464" s="10">
        <f t="shared" si="137"/>
        <v>0</v>
      </c>
      <c r="R464" s="10">
        <f t="shared" si="138"/>
        <v>0</v>
      </c>
      <c r="S464" s="10">
        <f t="shared" si="139"/>
        <v>0</v>
      </c>
      <c r="T464" s="10">
        <f t="shared" si="140"/>
        <v>0</v>
      </c>
      <c r="U464" s="10">
        <f t="shared" si="141"/>
        <v>0</v>
      </c>
      <c r="V464" s="10">
        <f t="shared" si="142"/>
        <v>0</v>
      </c>
    </row>
    <row r="465" spans="1:22" x14ac:dyDescent="0.2">
      <c r="A465" s="32">
        <v>20</v>
      </c>
      <c r="B465" s="33">
        <v>0.16666666666666699</v>
      </c>
      <c r="C465" s="32">
        <f>'0800z'!E29</f>
        <v>14</v>
      </c>
      <c r="D465" s="32">
        <f>'0800z'!F29</f>
        <v>12</v>
      </c>
      <c r="E465" s="32">
        <f t="shared" si="143"/>
        <v>140</v>
      </c>
      <c r="F465" s="10">
        <f t="shared" si="144"/>
        <v>0</v>
      </c>
      <c r="G465" s="10">
        <f t="shared" si="145"/>
        <v>0</v>
      </c>
      <c r="H465" s="10">
        <f t="shared" si="128"/>
        <v>0</v>
      </c>
      <c r="I465" s="10">
        <f t="shared" si="129"/>
        <v>0</v>
      </c>
      <c r="J465" s="10">
        <f t="shared" si="130"/>
        <v>0</v>
      </c>
      <c r="K465" s="10">
        <f t="shared" si="131"/>
        <v>0</v>
      </c>
      <c r="L465" s="10">
        <f t="shared" si="132"/>
        <v>1</v>
      </c>
      <c r="M465" s="10">
        <f t="shared" si="133"/>
        <v>0</v>
      </c>
      <c r="N465" s="10">
        <f t="shared" si="134"/>
        <v>0</v>
      </c>
      <c r="O465" s="10">
        <f t="shared" si="135"/>
        <v>0</v>
      </c>
      <c r="P465" s="10">
        <f t="shared" si="136"/>
        <v>0</v>
      </c>
      <c r="Q465" s="10">
        <f t="shared" si="137"/>
        <v>0</v>
      </c>
      <c r="R465" s="10">
        <f t="shared" si="138"/>
        <v>0</v>
      </c>
      <c r="S465" s="10">
        <f t="shared" si="139"/>
        <v>0</v>
      </c>
      <c r="T465" s="10">
        <f t="shared" si="140"/>
        <v>0</v>
      </c>
      <c r="U465" s="10">
        <f t="shared" si="141"/>
        <v>0</v>
      </c>
      <c r="V465" s="10">
        <f t="shared" si="142"/>
        <v>0</v>
      </c>
    </row>
    <row r="466" spans="1:22" x14ac:dyDescent="0.2">
      <c r="A466" s="32">
        <v>20</v>
      </c>
      <c r="B466" s="33">
        <v>0.20833333333333301</v>
      </c>
      <c r="C466" s="32">
        <f>'0900z'!E29</f>
        <v>9</v>
      </c>
      <c r="D466" s="32">
        <f>'0900z'!F29</f>
        <v>10</v>
      </c>
      <c r="E466" s="32">
        <f t="shared" si="143"/>
        <v>90</v>
      </c>
      <c r="F466" s="10">
        <f t="shared" si="144"/>
        <v>0</v>
      </c>
      <c r="G466" s="10">
        <f t="shared" si="145"/>
        <v>0</v>
      </c>
      <c r="H466" s="10">
        <f t="shared" si="128"/>
        <v>0</v>
      </c>
      <c r="I466" s="10">
        <f t="shared" si="129"/>
        <v>0</v>
      </c>
      <c r="J466" s="10">
        <f t="shared" si="130"/>
        <v>1</v>
      </c>
      <c r="K466" s="10">
        <f t="shared" si="131"/>
        <v>0</v>
      </c>
      <c r="L466" s="10">
        <f t="shared" si="132"/>
        <v>0</v>
      </c>
      <c r="M466" s="10">
        <f t="shared" si="133"/>
        <v>0</v>
      </c>
      <c r="N466" s="10">
        <f t="shared" si="134"/>
        <v>0</v>
      </c>
      <c r="O466" s="10">
        <f t="shared" si="135"/>
        <v>0</v>
      </c>
      <c r="P466" s="10">
        <f t="shared" si="136"/>
        <v>0</v>
      </c>
      <c r="Q466" s="10">
        <f t="shared" si="137"/>
        <v>0</v>
      </c>
      <c r="R466" s="10">
        <f t="shared" si="138"/>
        <v>0</v>
      </c>
      <c r="S466" s="10">
        <f t="shared" si="139"/>
        <v>0</v>
      </c>
      <c r="T466" s="10">
        <f t="shared" si="140"/>
        <v>0</v>
      </c>
      <c r="U466" s="10">
        <f t="shared" si="141"/>
        <v>0</v>
      </c>
      <c r="V466" s="10">
        <f t="shared" si="142"/>
        <v>0</v>
      </c>
    </row>
    <row r="467" spans="1:22" x14ac:dyDescent="0.2">
      <c r="A467" s="32">
        <v>20</v>
      </c>
      <c r="B467" s="33">
        <v>0.25</v>
      </c>
      <c r="C467" s="32">
        <f>'1000z'!E29</f>
        <v>10</v>
      </c>
      <c r="D467" s="32">
        <f>'1000z'!F29</f>
        <v>12</v>
      </c>
      <c r="E467" s="32">
        <f t="shared" si="143"/>
        <v>100</v>
      </c>
      <c r="F467" s="10">
        <f t="shared" si="144"/>
        <v>0</v>
      </c>
      <c r="G467" s="10">
        <f t="shared" si="145"/>
        <v>0</v>
      </c>
      <c r="H467" s="10">
        <f t="shared" si="128"/>
        <v>0</v>
      </c>
      <c r="I467" s="10">
        <f t="shared" si="129"/>
        <v>0</v>
      </c>
      <c r="J467" s="10">
        <f t="shared" si="130"/>
        <v>1</v>
      </c>
      <c r="K467" s="10">
        <f t="shared" si="131"/>
        <v>0</v>
      </c>
      <c r="L467" s="10">
        <f t="shared" si="132"/>
        <v>0</v>
      </c>
      <c r="M467" s="10">
        <f t="shared" si="133"/>
        <v>0</v>
      </c>
      <c r="N467" s="10">
        <f t="shared" si="134"/>
        <v>0</v>
      </c>
      <c r="O467" s="10">
        <f t="shared" si="135"/>
        <v>0</v>
      </c>
      <c r="P467" s="10">
        <f t="shared" si="136"/>
        <v>0</v>
      </c>
      <c r="Q467" s="10">
        <f t="shared" si="137"/>
        <v>0</v>
      </c>
      <c r="R467" s="10">
        <f t="shared" si="138"/>
        <v>0</v>
      </c>
      <c r="S467" s="10">
        <f t="shared" si="139"/>
        <v>0</v>
      </c>
      <c r="T467" s="10">
        <f t="shared" si="140"/>
        <v>0</v>
      </c>
      <c r="U467" s="10">
        <f t="shared" si="141"/>
        <v>0</v>
      </c>
      <c r="V467" s="10">
        <f t="shared" si="142"/>
        <v>0</v>
      </c>
    </row>
    <row r="468" spans="1:22" x14ac:dyDescent="0.2">
      <c r="A468" s="32">
        <v>20</v>
      </c>
      <c r="B468" s="33">
        <v>0.29166666666666702</v>
      </c>
      <c r="C468" s="32">
        <f>'1100z'!E29</f>
        <v>14</v>
      </c>
      <c r="D468" s="32">
        <f>'1100z'!F29</f>
        <v>12</v>
      </c>
      <c r="E468" s="32">
        <f t="shared" si="143"/>
        <v>140</v>
      </c>
      <c r="F468" s="10">
        <f t="shared" si="144"/>
        <v>0</v>
      </c>
      <c r="G468" s="10">
        <f t="shared" si="145"/>
        <v>0</v>
      </c>
      <c r="H468" s="10">
        <f t="shared" si="128"/>
        <v>0</v>
      </c>
      <c r="I468" s="10">
        <f t="shared" si="129"/>
        <v>0</v>
      </c>
      <c r="J468" s="10">
        <f t="shared" si="130"/>
        <v>0</v>
      </c>
      <c r="K468" s="10">
        <f t="shared" si="131"/>
        <v>0</v>
      </c>
      <c r="L468" s="10">
        <f t="shared" si="132"/>
        <v>1</v>
      </c>
      <c r="M468" s="10">
        <f t="shared" si="133"/>
        <v>0</v>
      </c>
      <c r="N468" s="10">
        <f t="shared" si="134"/>
        <v>0</v>
      </c>
      <c r="O468" s="10">
        <f t="shared" si="135"/>
        <v>0</v>
      </c>
      <c r="P468" s="10">
        <f t="shared" si="136"/>
        <v>0</v>
      </c>
      <c r="Q468" s="10">
        <f t="shared" si="137"/>
        <v>0</v>
      </c>
      <c r="R468" s="10">
        <f t="shared" si="138"/>
        <v>0</v>
      </c>
      <c r="S468" s="10">
        <f t="shared" si="139"/>
        <v>0</v>
      </c>
      <c r="T468" s="10">
        <f t="shared" si="140"/>
        <v>0</v>
      </c>
      <c r="U468" s="10">
        <f t="shared" si="141"/>
        <v>0</v>
      </c>
      <c r="V468" s="10">
        <f t="shared" si="142"/>
        <v>0</v>
      </c>
    </row>
    <row r="469" spans="1:22" x14ac:dyDescent="0.2">
      <c r="A469" s="32">
        <v>20</v>
      </c>
      <c r="B469" s="33">
        <v>0.33333333333333298</v>
      </c>
      <c r="C469" s="32">
        <f>'1200z'!E29</f>
        <v>10</v>
      </c>
      <c r="D469" s="32">
        <f>'1200z'!F29</f>
        <v>11</v>
      </c>
      <c r="E469" s="32">
        <f t="shared" si="143"/>
        <v>100</v>
      </c>
      <c r="F469" s="10">
        <f t="shared" si="144"/>
        <v>0</v>
      </c>
      <c r="G469" s="10">
        <f t="shared" si="145"/>
        <v>0</v>
      </c>
      <c r="H469" s="10">
        <f t="shared" si="128"/>
        <v>0</v>
      </c>
      <c r="I469" s="10">
        <f t="shared" si="129"/>
        <v>0</v>
      </c>
      <c r="J469" s="10">
        <f t="shared" si="130"/>
        <v>1</v>
      </c>
      <c r="K469" s="10">
        <f t="shared" si="131"/>
        <v>0</v>
      </c>
      <c r="L469" s="10">
        <f t="shared" si="132"/>
        <v>0</v>
      </c>
      <c r="M469" s="10">
        <f t="shared" si="133"/>
        <v>0</v>
      </c>
      <c r="N469" s="10">
        <f t="shared" si="134"/>
        <v>0</v>
      </c>
      <c r="O469" s="10">
        <f t="shared" si="135"/>
        <v>0</v>
      </c>
      <c r="P469" s="10">
        <f t="shared" si="136"/>
        <v>0</v>
      </c>
      <c r="Q469" s="10">
        <f t="shared" si="137"/>
        <v>0</v>
      </c>
      <c r="R469" s="10">
        <f t="shared" si="138"/>
        <v>0</v>
      </c>
      <c r="S469" s="10">
        <f t="shared" si="139"/>
        <v>0</v>
      </c>
      <c r="T469" s="10">
        <f t="shared" si="140"/>
        <v>0</v>
      </c>
      <c r="U469" s="10">
        <f t="shared" si="141"/>
        <v>0</v>
      </c>
      <c r="V469" s="10">
        <f t="shared" si="142"/>
        <v>0</v>
      </c>
    </row>
    <row r="470" spans="1:22" x14ac:dyDescent="0.2">
      <c r="A470" s="32">
        <v>20</v>
      </c>
      <c r="B470" s="33">
        <v>0.375</v>
      </c>
      <c r="C470" s="32">
        <f>'1300z'!E29</f>
        <v>11</v>
      </c>
      <c r="D470" s="32">
        <f>'1300z'!F29</f>
        <v>11</v>
      </c>
      <c r="E470" s="32">
        <f t="shared" si="143"/>
        <v>110</v>
      </c>
      <c r="F470" s="10">
        <f t="shared" si="144"/>
        <v>0</v>
      </c>
      <c r="G470" s="10">
        <f t="shared" si="145"/>
        <v>0</v>
      </c>
      <c r="H470" s="10">
        <f t="shared" si="128"/>
        <v>0</v>
      </c>
      <c r="I470" s="10">
        <f t="shared" si="129"/>
        <v>0</v>
      </c>
      <c r="J470" s="10">
        <f t="shared" si="130"/>
        <v>0</v>
      </c>
      <c r="K470" s="10">
        <f t="shared" si="131"/>
        <v>1</v>
      </c>
      <c r="L470" s="10">
        <f t="shared" si="132"/>
        <v>0</v>
      </c>
      <c r="M470" s="10">
        <f t="shared" si="133"/>
        <v>0</v>
      </c>
      <c r="N470" s="10">
        <f t="shared" si="134"/>
        <v>0</v>
      </c>
      <c r="O470" s="10">
        <f t="shared" si="135"/>
        <v>0</v>
      </c>
      <c r="P470" s="10">
        <f t="shared" si="136"/>
        <v>0</v>
      </c>
      <c r="Q470" s="10">
        <f t="shared" si="137"/>
        <v>0</v>
      </c>
      <c r="R470" s="10">
        <f t="shared" si="138"/>
        <v>0</v>
      </c>
      <c r="S470" s="10">
        <f t="shared" si="139"/>
        <v>0</v>
      </c>
      <c r="T470" s="10">
        <f t="shared" si="140"/>
        <v>0</v>
      </c>
      <c r="U470" s="10">
        <f t="shared" si="141"/>
        <v>0</v>
      </c>
      <c r="V470" s="10">
        <f t="shared" si="142"/>
        <v>0</v>
      </c>
    </row>
    <row r="471" spans="1:22" x14ac:dyDescent="0.2">
      <c r="A471" s="32">
        <v>20</v>
      </c>
      <c r="B471" s="33">
        <v>0.41666666666666702</v>
      </c>
      <c r="C471" s="32">
        <f>'1400z'!E29</f>
        <v>10</v>
      </c>
      <c r="D471" s="32">
        <f>'1400z'!F29</f>
        <v>16</v>
      </c>
      <c r="E471" s="32">
        <f t="shared" si="143"/>
        <v>100</v>
      </c>
      <c r="F471" s="10">
        <f t="shared" si="144"/>
        <v>0</v>
      </c>
      <c r="G471" s="10">
        <f t="shared" si="145"/>
        <v>0</v>
      </c>
      <c r="H471" s="10">
        <f t="shared" si="128"/>
        <v>0</v>
      </c>
      <c r="I471" s="10">
        <f t="shared" si="129"/>
        <v>0</v>
      </c>
      <c r="J471" s="10">
        <f t="shared" si="130"/>
        <v>1</v>
      </c>
      <c r="K471" s="10">
        <f t="shared" si="131"/>
        <v>0</v>
      </c>
      <c r="L471" s="10">
        <f t="shared" si="132"/>
        <v>0</v>
      </c>
      <c r="M471" s="10">
        <f t="shared" si="133"/>
        <v>0</v>
      </c>
      <c r="N471" s="10">
        <f t="shared" si="134"/>
        <v>0</v>
      </c>
      <c r="O471" s="10">
        <f t="shared" si="135"/>
        <v>0</v>
      </c>
      <c r="P471" s="10">
        <f t="shared" si="136"/>
        <v>0</v>
      </c>
      <c r="Q471" s="10">
        <f t="shared" si="137"/>
        <v>0</v>
      </c>
      <c r="R471" s="10">
        <f t="shared" si="138"/>
        <v>0</v>
      </c>
      <c r="S471" s="10">
        <f t="shared" si="139"/>
        <v>0</v>
      </c>
      <c r="T471" s="10">
        <f t="shared" si="140"/>
        <v>0</v>
      </c>
      <c r="U471" s="10">
        <f t="shared" si="141"/>
        <v>0</v>
      </c>
      <c r="V471" s="10">
        <f t="shared" si="142"/>
        <v>0</v>
      </c>
    </row>
    <row r="472" spans="1:22" x14ac:dyDescent="0.2">
      <c r="A472" s="32">
        <v>20</v>
      </c>
      <c r="B472" s="33">
        <v>0.45833333333333298</v>
      </c>
      <c r="C472" s="32">
        <f>'1500z'!E29</f>
        <v>9</v>
      </c>
      <c r="D472" s="32">
        <f>'1500z'!F29</f>
        <v>16</v>
      </c>
      <c r="E472" s="32">
        <f t="shared" si="143"/>
        <v>90</v>
      </c>
      <c r="F472" s="10">
        <f t="shared" si="144"/>
        <v>0</v>
      </c>
      <c r="G472" s="10">
        <f t="shared" si="145"/>
        <v>0</v>
      </c>
      <c r="H472" s="10">
        <f t="shared" si="128"/>
        <v>0</v>
      </c>
      <c r="I472" s="10">
        <f t="shared" si="129"/>
        <v>0</v>
      </c>
      <c r="J472" s="10">
        <f t="shared" si="130"/>
        <v>1</v>
      </c>
      <c r="K472" s="10">
        <f t="shared" si="131"/>
        <v>0</v>
      </c>
      <c r="L472" s="10">
        <f t="shared" si="132"/>
        <v>0</v>
      </c>
      <c r="M472" s="10">
        <f t="shared" si="133"/>
        <v>0</v>
      </c>
      <c r="N472" s="10">
        <f t="shared" si="134"/>
        <v>0</v>
      </c>
      <c r="O472" s="10">
        <f t="shared" si="135"/>
        <v>0</v>
      </c>
      <c r="P472" s="10">
        <f t="shared" si="136"/>
        <v>0</v>
      </c>
      <c r="Q472" s="10">
        <f t="shared" si="137"/>
        <v>0</v>
      </c>
      <c r="R472" s="10">
        <f t="shared" si="138"/>
        <v>0</v>
      </c>
      <c r="S472" s="10">
        <f t="shared" si="139"/>
        <v>0</v>
      </c>
      <c r="T472" s="10">
        <f t="shared" si="140"/>
        <v>0</v>
      </c>
      <c r="U472" s="10">
        <f t="shared" si="141"/>
        <v>0</v>
      </c>
      <c r="V472" s="10">
        <f t="shared" si="142"/>
        <v>0</v>
      </c>
    </row>
    <row r="473" spans="1:22" x14ac:dyDescent="0.2">
      <c r="A473" s="32">
        <v>20</v>
      </c>
      <c r="B473" s="33">
        <v>0.5</v>
      </c>
      <c r="C473" s="32">
        <f>'1600z'!E29</f>
        <v>10</v>
      </c>
      <c r="D473" s="32">
        <f>'1600z'!F29</f>
        <v>12</v>
      </c>
      <c r="E473" s="32">
        <f t="shared" si="143"/>
        <v>100</v>
      </c>
      <c r="F473" s="10">
        <f t="shared" si="144"/>
        <v>0</v>
      </c>
      <c r="G473" s="10">
        <f t="shared" si="145"/>
        <v>0</v>
      </c>
      <c r="H473" s="10">
        <f t="shared" si="128"/>
        <v>0</v>
      </c>
      <c r="I473" s="10">
        <f t="shared" si="129"/>
        <v>0</v>
      </c>
      <c r="J473" s="10">
        <f t="shared" si="130"/>
        <v>1</v>
      </c>
      <c r="K473" s="10">
        <f t="shared" si="131"/>
        <v>0</v>
      </c>
      <c r="L473" s="10">
        <f t="shared" si="132"/>
        <v>0</v>
      </c>
      <c r="M473" s="10">
        <f t="shared" si="133"/>
        <v>0</v>
      </c>
      <c r="N473" s="10">
        <f t="shared" si="134"/>
        <v>0</v>
      </c>
      <c r="O473" s="10">
        <f t="shared" si="135"/>
        <v>0</v>
      </c>
      <c r="P473" s="10">
        <f t="shared" si="136"/>
        <v>0</v>
      </c>
      <c r="Q473" s="10">
        <f t="shared" si="137"/>
        <v>0</v>
      </c>
      <c r="R473" s="10">
        <f t="shared" si="138"/>
        <v>0</v>
      </c>
      <c r="S473" s="10">
        <f t="shared" si="139"/>
        <v>0</v>
      </c>
      <c r="T473" s="10">
        <f t="shared" si="140"/>
        <v>0</v>
      </c>
      <c r="U473" s="10">
        <f t="shared" si="141"/>
        <v>0</v>
      </c>
      <c r="V473" s="10">
        <f t="shared" si="142"/>
        <v>0</v>
      </c>
    </row>
    <row r="474" spans="1:22" x14ac:dyDescent="0.2">
      <c r="A474" s="32">
        <v>20</v>
      </c>
      <c r="B474" s="33">
        <v>0.54166666666666696</v>
      </c>
      <c r="C474" s="32">
        <f>'1700z'!E29</f>
        <v>8</v>
      </c>
      <c r="D474" s="32">
        <f>'1700z'!F29</f>
        <v>15</v>
      </c>
      <c r="E474" s="32">
        <f t="shared" si="143"/>
        <v>80</v>
      </c>
      <c r="F474" s="10">
        <f t="shared" si="144"/>
        <v>0</v>
      </c>
      <c r="G474" s="10">
        <f t="shared" si="145"/>
        <v>0</v>
      </c>
      <c r="H474" s="10">
        <f t="shared" si="128"/>
        <v>0</v>
      </c>
      <c r="I474" s="10">
        <f t="shared" si="129"/>
        <v>0</v>
      </c>
      <c r="J474" s="10">
        <f t="shared" si="130"/>
        <v>1</v>
      </c>
      <c r="K474" s="10">
        <f t="shared" si="131"/>
        <v>0</v>
      </c>
      <c r="L474" s="10">
        <f t="shared" si="132"/>
        <v>0</v>
      </c>
      <c r="M474" s="10">
        <f t="shared" si="133"/>
        <v>0</v>
      </c>
      <c r="N474" s="10">
        <f t="shared" si="134"/>
        <v>0</v>
      </c>
      <c r="O474" s="10">
        <f t="shared" si="135"/>
        <v>0</v>
      </c>
      <c r="P474" s="10">
        <f t="shared" si="136"/>
        <v>0</v>
      </c>
      <c r="Q474" s="10">
        <f t="shared" si="137"/>
        <v>0</v>
      </c>
      <c r="R474" s="10">
        <f t="shared" si="138"/>
        <v>0</v>
      </c>
      <c r="S474" s="10">
        <f t="shared" si="139"/>
        <v>0</v>
      </c>
      <c r="T474" s="10">
        <f t="shared" si="140"/>
        <v>0</v>
      </c>
      <c r="U474" s="10">
        <f t="shared" si="141"/>
        <v>0</v>
      </c>
      <c r="V474" s="10">
        <f t="shared" si="142"/>
        <v>0</v>
      </c>
    </row>
    <row r="475" spans="1:22" x14ac:dyDescent="0.2">
      <c r="A475" s="32">
        <v>20</v>
      </c>
      <c r="B475" s="33">
        <v>0.58333333333333304</v>
      </c>
      <c r="C475" s="32">
        <f>'1800z'!E29</f>
        <v>10</v>
      </c>
      <c r="D475" s="32">
        <f>'1800z'!F29</f>
        <v>15</v>
      </c>
      <c r="E475" s="32">
        <f t="shared" si="143"/>
        <v>100</v>
      </c>
      <c r="F475" s="10">
        <f t="shared" si="144"/>
        <v>0</v>
      </c>
      <c r="G475" s="10">
        <f t="shared" si="145"/>
        <v>0</v>
      </c>
      <c r="H475" s="10">
        <f t="shared" si="128"/>
        <v>0</v>
      </c>
      <c r="I475" s="10">
        <f t="shared" si="129"/>
        <v>0</v>
      </c>
      <c r="J475" s="10">
        <f t="shared" si="130"/>
        <v>1</v>
      </c>
      <c r="K475" s="10">
        <f t="shared" si="131"/>
        <v>0</v>
      </c>
      <c r="L475" s="10">
        <f t="shared" si="132"/>
        <v>0</v>
      </c>
      <c r="M475" s="10">
        <f t="shared" si="133"/>
        <v>0</v>
      </c>
      <c r="N475" s="10">
        <f t="shared" si="134"/>
        <v>0</v>
      </c>
      <c r="O475" s="10">
        <f t="shared" si="135"/>
        <v>0</v>
      </c>
      <c r="P475" s="10">
        <f t="shared" si="136"/>
        <v>0</v>
      </c>
      <c r="Q475" s="10">
        <f t="shared" si="137"/>
        <v>0</v>
      </c>
      <c r="R475" s="10">
        <f t="shared" si="138"/>
        <v>0</v>
      </c>
      <c r="S475" s="10">
        <f t="shared" si="139"/>
        <v>0</v>
      </c>
      <c r="T475" s="10">
        <f t="shared" si="140"/>
        <v>0</v>
      </c>
      <c r="U475" s="10">
        <f t="shared" si="141"/>
        <v>0</v>
      </c>
      <c r="V475" s="10">
        <f t="shared" si="142"/>
        <v>0</v>
      </c>
    </row>
    <row r="476" spans="1:22" x14ac:dyDescent="0.2">
      <c r="A476" s="32">
        <v>20</v>
      </c>
      <c r="B476" s="33">
        <v>0.625</v>
      </c>
      <c r="C476" s="32">
        <f>'1900z'!E29</f>
        <v>9</v>
      </c>
      <c r="D476" s="32">
        <f>'1900z'!F29</f>
        <v>14</v>
      </c>
      <c r="E476" s="32">
        <f t="shared" si="143"/>
        <v>90</v>
      </c>
      <c r="F476" s="10">
        <f t="shared" si="144"/>
        <v>0</v>
      </c>
      <c r="G476" s="10">
        <f t="shared" si="145"/>
        <v>0</v>
      </c>
      <c r="H476" s="10">
        <f t="shared" si="128"/>
        <v>0</v>
      </c>
      <c r="I476" s="10">
        <f t="shared" si="129"/>
        <v>0</v>
      </c>
      <c r="J476" s="10">
        <f t="shared" si="130"/>
        <v>1</v>
      </c>
      <c r="K476" s="10">
        <f t="shared" si="131"/>
        <v>0</v>
      </c>
      <c r="L476" s="10">
        <f t="shared" si="132"/>
        <v>0</v>
      </c>
      <c r="M476" s="10">
        <f t="shared" si="133"/>
        <v>0</v>
      </c>
      <c r="N476" s="10">
        <f t="shared" si="134"/>
        <v>0</v>
      </c>
      <c r="O476" s="10">
        <f t="shared" si="135"/>
        <v>0</v>
      </c>
      <c r="P476" s="10">
        <f t="shared" si="136"/>
        <v>0</v>
      </c>
      <c r="Q476" s="10">
        <f t="shared" si="137"/>
        <v>0</v>
      </c>
      <c r="R476" s="10">
        <f t="shared" si="138"/>
        <v>0</v>
      </c>
      <c r="S476" s="10">
        <f t="shared" si="139"/>
        <v>0</v>
      </c>
      <c r="T476" s="10">
        <f t="shared" si="140"/>
        <v>0</v>
      </c>
      <c r="U476" s="10">
        <f t="shared" si="141"/>
        <v>0</v>
      </c>
      <c r="V476" s="10">
        <f t="shared" si="142"/>
        <v>0</v>
      </c>
    </row>
    <row r="477" spans="1:22" x14ac:dyDescent="0.2">
      <c r="A477" s="32">
        <v>20</v>
      </c>
      <c r="B477" s="33">
        <v>0.66666666666666696</v>
      </c>
      <c r="C477" s="32">
        <f>'2000z'!E29</f>
        <v>9</v>
      </c>
      <c r="D477" s="32">
        <f>'2000z'!F29</f>
        <v>13</v>
      </c>
      <c r="E477" s="32">
        <f t="shared" si="143"/>
        <v>90</v>
      </c>
      <c r="F477" s="10">
        <f t="shared" si="144"/>
        <v>0</v>
      </c>
      <c r="G477" s="10">
        <f t="shared" si="145"/>
        <v>0</v>
      </c>
      <c r="H477" s="10">
        <f t="shared" si="128"/>
        <v>0</v>
      </c>
      <c r="I477" s="10">
        <f t="shared" si="129"/>
        <v>0</v>
      </c>
      <c r="J477" s="10">
        <f t="shared" si="130"/>
        <v>1</v>
      </c>
      <c r="K477" s="10">
        <f t="shared" si="131"/>
        <v>0</v>
      </c>
      <c r="L477" s="10">
        <f t="shared" si="132"/>
        <v>0</v>
      </c>
      <c r="M477" s="10">
        <f t="shared" si="133"/>
        <v>0</v>
      </c>
      <c r="N477" s="10">
        <f t="shared" si="134"/>
        <v>0</v>
      </c>
      <c r="O477" s="10">
        <f t="shared" si="135"/>
        <v>0</v>
      </c>
      <c r="P477" s="10">
        <f t="shared" si="136"/>
        <v>0</v>
      </c>
      <c r="Q477" s="10">
        <f t="shared" si="137"/>
        <v>0</v>
      </c>
      <c r="R477" s="10">
        <f t="shared" si="138"/>
        <v>0</v>
      </c>
      <c r="S477" s="10">
        <f t="shared" si="139"/>
        <v>0</v>
      </c>
      <c r="T477" s="10">
        <f t="shared" si="140"/>
        <v>0</v>
      </c>
      <c r="U477" s="10">
        <f t="shared" si="141"/>
        <v>0</v>
      </c>
      <c r="V477" s="10">
        <f t="shared" si="142"/>
        <v>0</v>
      </c>
    </row>
    <row r="478" spans="1:22" x14ac:dyDescent="0.2">
      <c r="A478" s="32">
        <v>20</v>
      </c>
      <c r="B478" s="33">
        <v>0.70833333333333304</v>
      </c>
      <c r="C478" s="32">
        <f>'2100z'!E29</f>
        <v>12</v>
      </c>
      <c r="D478" s="32">
        <f>'2100z'!F29</f>
        <v>14</v>
      </c>
      <c r="E478" s="32">
        <f t="shared" si="143"/>
        <v>120</v>
      </c>
      <c r="F478" s="10">
        <f t="shared" si="144"/>
        <v>0</v>
      </c>
      <c r="G478" s="10">
        <f t="shared" si="145"/>
        <v>0</v>
      </c>
      <c r="H478" s="10">
        <f t="shared" si="128"/>
        <v>0</v>
      </c>
      <c r="I478" s="10">
        <f t="shared" si="129"/>
        <v>0</v>
      </c>
      <c r="J478" s="10">
        <f t="shared" si="130"/>
        <v>0</v>
      </c>
      <c r="K478" s="10">
        <f t="shared" si="131"/>
        <v>1</v>
      </c>
      <c r="L478" s="10">
        <f t="shared" si="132"/>
        <v>0</v>
      </c>
      <c r="M478" s="10">
        <f t="shared" si="133"/>
        <v>0</v>
      </c>
      <c r="N478" s="10">
        <f t="shared" si="134"/>
        <v>0</v>
      </c>
      <c r="O478" s="10">
        <f t="shared" si="135"/>
        <v>0</v>
      </c>
      <c r="P478" s="10">
        <f t="shared" si="136"/>
        <v>0</v>
      </c>
      <c r="Q478" s="10">
        <f t="shared" si="137"/>
        <v>0</v>
      </c>
      <c r="R478" s="10">
        <f t="shared" si="138"/>
        <v>0</v>
      </c>
      <c r="S478" s="10">
        <f t="shared" si="139"/>
        <v>0</v>
      </c>
      <c r="T478" s="10">
        <f t="shared" si="140"/>
        <v>0</v>
      </c>
      <c r="U478" s="10">
        <f t="shared" si="141"/>
        <v>0</v>
      </c>
      <c r="V478" s="10">
        <f t="shared" si="142"/>
        <v>0</v>
      </c>
    </row>
    <row r="479" spans="1:22" x14ac:dyDescent="0.2">
      <c r="A479" s="32">
        <v>20</v>
      </c>
      <c r="B479" s="33">
        <v>0.75</v>
      </c>
      <c r="C479" s="32">
        <f>'2200z'!E29</f>
        <v>11</v>
      </c>
      <c r="D479" s="32">
        <f>'2200z'!F29</f>
        <v>13</v>
      </c>
      <c r="E479" s="32">
        <f t="shared" si="143"/>
        <v>110</v>
      </c>
      <c r="F479" s="10">
        <f t="shared" si="144"/>
        <v>0</v>
      </c>
      <c r="G479" s="10">
        <f t="shared" si="145"/>
        <v>0</v>
      </c>
      <c r="H479" s="10">
        <f t="shared" si="128"/>
        <v>0</v>
      </c>
      <c r="I479" s="10">
        <f t="shared" si="129"/>
        <v>0</v>
      </c>
      <c r="J479" s="10">
        <f t="shared" si="130"/>
        <v>0</v>
      </c>
      <c r="K479" s="10">
        <f t="shared" si="131"/>
        <v>1</v>
      </c>
      <c r="L479" s="10">
        <f t="shared" si="132"/>
        <v>0</v>
      </c>
      <c r="M479" s="10">
        <f t="shared" si="133"/>
        <v>0</v>
      </c>
      <c r="N479" s="10">
        <f t="shared" si="134"/>
        <v>0</v>
      </c>
      <c r="O479" s="10">
        <f t="shared" si="135"/>
        <v>0</v>
      </c>
      <c r="P479" s="10">
        <f t="shared" si="136"/>
        <v>0</v>
      </c>
      <c r="Q479" s="10">
        <f t="shared" si="137"/>
        <v>0</v>
      </c>
      <c r="R479" s="10">
        <f t="shared" si="138"/>
        <v>0</v>
      </c>
      <c r="S479" s="10">
        <f t="shared" si="139"/>
        <v>0</v>
      </c>
      <c r="T479" s="10">
        <f t="shared" si="140"/>
        <v>0</v>
      </c>
      <c r="U479" s="10">
        <f t="shared" si="141"/>
        <v>0</v>
      </c>
      <c r="V479" s="10">
        <f t="shared" si="142"/>
        <v>0</v>
      </c>
    </row>
    <row r="480" spans="1:22" x14ac:dyDescent="0.2">
      <c r="A480" s="32">
        <v>20</v>
      </c>
      <c r="B480" s="33">
        <v>0.79166666666666696</v>
      </c>
      <c r="C480" s="32">
        <f>'2300z'!E29</f>
        <v>9</v>
      </c>
      <c r="D480" s="32">
        <f>'2300z'!F29</f>
        <v>13</v>
      </c>
      <c r="E480" s="32">
        <f t="shared" si="143"/>
        <v>90</v>
      </c>
      <c r="F480" s="10">
        <f t="shared" si="144"/>
        <v>0</v>
      </c>
      <c r="G480" s="10">
        <f t="shared" si="145"/>
        <v>0</v>
      </c>
      <c r="H480" s="10">
        <f t="shared" si="128"/>
        <v>0</v>
      </c>
      <c r="I480" s="10">
        <f t="shared" si="129"/>
        <v>0</v>
      </c>
      <c r="J480" s="10">
        <f t="shared" si="130"/>
        <v>1</v>
      </c>
      <c r="K480" s="10">
        <f t="shared" si="131"/>
        <v>0</v>
      </c>
      <c r="L480" s="10">
        <f t="shared" si="132"/>
        <v>0</v>
      </c>
      <c r="M480" s="10">
        <f t="shared" si="133"/>
        <v>0</v>
      </c>
      <c r="N480" s="10">
        <f t="shared" si="134"/>
        <v>0</v>
      </c>
      <c r="O480" s="10">
        <f t="shared" si="135"/>
        <v>0</v>
      </c>
      <c r="P480" s="10">
        <f t="shared" si="136"/>
        <v>0</v>
      </c>
      <c r="Q480" s="10">
        <f t="shared" si="137"/>
        <v>0</v>
      </c>
      <c r="R480" s="10">
        <f t="shared" si="138"/>
        <v>0</v>
      </c>
      <c r="S480" s="10">
        <f t="shared" si="139"/>
        <v>0</v>
      </c>
      <c r="T480" s="10">
        <f t="shared" si="140"/>
        <v>0</v>
      </c>
      <c r="U480" s="10">
        <f t="shared" si="141"/>
        <v>0</v>
      </c>
      <c r="V480" s="10">
        <f t="shared" si="142"/>
        <v>0</v>
      </c>
    </row>
    <row r="481" spans="1:22" x14ac:dyDescent="0.2">
      <c r="A481" s="32">
        <v>20</v>
      </c>
      <c r="B481" s="33">
        <v>0.83333333333333304</v>
      </c>
      <c r="C481" s="32">
        <f>'0000z'!E29</f>
        <v>8</v>
      </c>
      <c r="D481" s="32">
        <f>'0000z'!F29</f>
        <v>10</v>
      </c>
      <c r="E481" s="32">
        <f t="shared" si="143"/>
        <v>80</v>
      </c>
      <c r="F481" s="10">
        <f t="shared" si="144"/>
        <v>0</v>
      </c>
      <c r="G481" s="10">
        <f t="shared" si="145"/>
        <v>0</v>
      </c>
      <c r="H481" s="10">
        <f t="shared" si="128"/>
        <v>0</v>
      </c>
      <c r="I481" s="10">
        <f t="shared" si="129"/>
        <v>0</v>
      </c>
      <c r="J481" s="10">
        <f t="shared" si="130"/>
        <v>1</v>
      </c>
      <c r="K481" s="10">
        <f t="shared" si="131"/>
        <v>0</v>
      </c>
      <c r="L481" s="10">
        <f t="shared" si="132"/>
        <v>0</v>
      </c>
      <c r="M481" s="10">
        <f t="shared" si="133"/>
        <v>0</v>
      </c>
      <c r="N481" s="10">
        <f t="shared" si="134"/>
        <v>0</v>
      </c>
      <c r="O481" s="10">
        <f t="shared" si="135"/>
        <v>0</v>
      </c>
      <c r="P481" s="10">
        <f t="shared" si="136"/>
        <v>0</v>
      </c>
      <c r="Q481" s="10">
        <f t="shared" si="137"/>
        <v>0</v>
      </c>
      <c r="R481" s="10">
        <f t="shared" si="138"/>
        <v>0</v>
      </c>
      <c r="S481" s="10">
        <f t="shared" si="139"/>
        <v>0</v>
      </c>
      <c r="T481" s="10">
        <f t="shared" si="140"/>
        <v>0</v>
      </c>
      <c r="U481" s="10">
        <f t="shared" si="141"/>
        <v>0</v>
      </c>
      <c r="V481" s="10">
        <f t="shared" si="142"/>
        <v>0</v>
      </c>
    </row>
    <row r="482" spans="1:22" x14ac:dyDescent="0.2">
      <c r="A482" s="32">
        <v>20</v>
      </c>
      <c r="B482" s="33">
        <v>0.875</v>
      </c>
      <c r="C482" s="32">
        <f>'0100z'!E29</f>
        <v>9</v>
      </c>
      <c r="D482" s="32">
        <f>'0100z'!F29</f>
        <v>10</v>
      </c>
      <c r="E482" s="32">
        <f t="shared" si="143"/>
        <v>90</v>
      </c>
      <c r="F482" s="10">
        <f t="shared" si="144"/>
        <v>0</v>
      </c>
      <c r="G482" s="10">
        <f t="shared" si="145"/>
        <v>0</v>
      </c>
      <c r="H482" s="10">
        <f t="shared" si="128"/>
        <v>0</v>
      </c>
      <c r="I482" s="10">
        <f t="shared" si="129"/>
        <v>0</v>
      </c>
      <c r="J482" s="10">
        <f t="shared" si="130"/>
        <v>1</v>
      </c>
      <c r="K482" s="10">
        <f t="shared" si="131"/>
        <v>0</v>
      </c>
      <c r="L482" s="10">
        <f t="shared" si="132"/>
        <v>0</v>
      </c>
      <c r="M482" s="10">
        <f t="shared" si="133"/>
        <v>0</v>
      </c>
      <c r="N482" s="10">
        <f t="shared" si="134"/>
        <v>0</v>
      </c>
      <c r="O482" s="10">
        <f t="shared" si="135"/>
        <v>0</v>
      </c>
      <c r="P482" s="10">
        <f t="shared" si="136"/>
        <v>0</v>
      </c>
      <c r="Q482" s="10">
        <f t="shared" si="137"/>
        <v>0</v>
      </c>
      <c r="R482" s="10">
        <f t="shared" si="138"/>
        <v>0</v>
      </c>
      <c r="S482" s="10">
        <f t="shared" si="139"/>
        <v>0</v>
      </c>
      <c r="T482" s="10">
        <f t="shared" si="140"/>
        <v>0</v>
      </c>
      <c r="U482" s="10">
        <f t="shared" si="141"/>
        <v>0</v>
      </c>
      <c r="V482" s="10">
        <f t="shared" si="142"/>
        <v>0</v>
      </c>
    </row>
    <row r="483" spans="1:22" x14ac:dyDescent="0.2">
      <c r="A483" s="32">
        <v>20</v>
      </c>
      <c r="B483" s="33">
        <v>0.91666666666666696</v>
      </c>
      <c r="C483" s="32">
        <f>'0200z'!E29</f>
        <v>10</v>
      </c>
      <c r="D483" s="32">
        <f>'0200z'!F29</f>
        <v>11</v>
      </c>
      <c r="E483" s="32">
        <f t="shared" si="143"/>
        <v>100</v>
      </c>
      <c r="F483" s="10">
        <f t="shared" si="144"/>
        <v>0</v>
      </c>
      <c r="G483" s="10">
        <f t="shared" si="145"/>
        <v>0</v>
      </c>
      <c r="H483" s="10">
        <f t="shared" si="128"/>
        <v>0</v>
      </c>
      <c r="I483" s="10">
        <f t="shared" si="129"/>
        <v>0</v>
      </c>
      <c r="J483" s="10">
        <f t="shared" si="130"/>
        <v>1</v>
      </c>
      <c r="K483" s="10">
        <f t="shared" si="131"/>
        <v>0</v>
      </c>
      <c r="L483" s="10">
        <f t="shared" si="132"/>
        <v>0</v>
      </c>
      <c r="M483" s="10">
        <f t="shared" si="133"/>
        <v>0</v>
      </c>
      <c r="N483" s="10">
        <f t="shared" si="134"/>
        <v>0</v>
      </c>
      <c r="O483" s="10">
        <f t="shared" si="135"/>
        <v>0</v>
      </c>
      <c r="P483" s="10">
        <f t="shared" si="136"/>
        <v>0</v>
      </c>
      <c r="Q483" s="10">
        <f t="shared" si="137"/>
        <v>0</v>
      </c>
      <c r="R483" s="10">
        <f t="shared" si="138"/>
        <v>0</v>
      </c>
      <c r="S483" s="10">
        <f t="shared" si="139"/>
        <v>0</v>
      </c>
      <c r="T483" s="10">
        <f t="shared" si="140"/>
        <v>0</v>
      </c>
      <c r="U483" s="10">
        <f t="shared" si="141"/>
        <v>0</v>
      </c>
      <c r="V483" s="10">
        <f t="shared" si="142"/>
        <v>0</v>
      </c>
    </row>
    <row r="484" spans="1:22" x14ac:dyDescent="0.2">
      <c r="A484" s="32">
        <v>20</v>
      </c>
      <c r="B484" s="33">
        <v>0.95833333333333304</v>
      </c>
      <c r="C484" s="32">
        <f>'0300z'!E29</f>
        <v>9</v>
      </c>
      <c r="D484" s="32">
        <f>'0300z'!F29</f>
        <v>12</v>
      </c>
      <c r="E484" s="32">
        <f t="shared" si="143"/>
        <v>90</v>
      </c>
      <c r="F484" s="10">
        <f t="shared" si="144"/>
        <v>0</v>
      </c>
      <c r="G484" s="10">
        <f t="shared" si="145"/>
        <v>0</v>
      </c>
      <c r="H484" s="10">
        <f t="shared" si="128"/>
        <v>0</v>
      </c>
      <c r="I484" s="10">
        <f t="shared" si="129"/>
        <v>0</v>
      </c>
      <c r="J484" s="10">
        <f t="shared" si="130"/>
        <v>1</v>
      </c>
      <c r="K484" s="10">
        <f t="shared" si="131"/>
        <v>0</v>
      </c>
      <c r="L484" s="10">
        <f t="shared" si="132"/>
        <v>0</v>
      </c>
      <c r="M484" s="10">
        <f t="shared" si="133"/>
        <v>0</v>
      </c>
      <c r="N484" s="10">
        <f t="shared" si="134"/>
        <v>0</v>
      </c>
      <c r="O484" s="10">
        <f t="shared" si="135"/>
        <v>0</v>
      </c>
      <c r="P484" s="10">
        <f t="shared" si="136"/>
        <v>0</v>
      </c>
      <c r="Q484" s="10">
        <f t="shared" si="137"/>
        <v>0</v>
      </c>
      <c r="R484" s="10">
        <f t="shared" si="138"/>
        <v>0</v>
      </c>
      <c r="S484" s="10">
        <f t="shared" si="139"/>
        <v>0</v>
      </c>
      <c r="T484" s="10">
        <f t="shared" si="140"/>
        <v>0</v>
      </c>
      <c r="U484" s="10">
        <f t="shared" si="141"/>
        <v>0</v>
      </c>
      <c r="V484" s="10">
        <f t="shared" si="142"/>
        <v>0</v>
      </c>
    </row>
    <row r="485" spans="1:22" x14ac:dyDescent="0.2">
      <c r="A485" s="32">
        <v>21</v>
      </c>
      <c r="B485" s="33">
        <v>0</v>
      </c>
      <c r="C485" s="32">
        <f>'0400z'!E30</f>
        <v>8</v>
      </c>
      <c r="D485" s="32">
        <f>'0400z'!F30</f>
        <v>13</v>
      </c>
      <c r="E485" s="32">
        <f t="shared" si="143"/>
        <v>80</v>
      </c>
      <c r="F485" s="10">
        <f t="shared" si="144"/>
        <v>0</v>
      </c>
      <c r="G485" s="10">
        <f t="shared" si="145"/>
        <v>0</v>
      </c>
      <c r="H485" s="10">
        <f t="shared" si="128"/>
        <v>0</v>
      </c>
      <c r="I485" s="10">
        <f t="shared" si="129"/>
        <v>0</v>
      </c>
      <c r="J485" s="10">
        <f t="shared" si="130"/>
        <v>1</v>
      </c>
      <c r="K485" s="10">
        <f t="shared" si="131"/>
        <v>0</v>
      </c>
      <c r="L485" s="10">
        <f t="shared" si="132"/>
        <v>0</v>
      </c>
      <c r="M485" s="10">
        <f t="shared" si="133"/>
        <v>0</v>
      </c>
      <c r="N485" s="10">
        <f t="shared" si="134"/>
        <v>0</v>
      </c>
      <c r="O485" s="10">
        <f t="shared" si="135"/>
        <v>0</v>
      </c>
      <c r="P485" s="10">
        <f t="shared" si="136"/>
        <v>0</v>
      </c>
      <c r="Q485" s="10">
        <f t="shared" si="137"/>
        <v>0</v>
      </c>
      <c r="R485" s="10">
        <f t="shared" si="138"/>
        <v>0</v>
      </c>
      <c r="S485" s="10">
        <f t="shared" si="139"/>
        <v>0</v>
      </c>
      <c r="T485" s="10">
        <f t="shared" si="140"/>
        <v>0</v>
      </c>
      <c r="U485" s="10">
        <f t="shared" si="141"/>
        <v>0</v>
      </c>
      <c r="V485" s="10">
        <f t="shared" si="142"/>
        <v>0</v>
      </c>
    </row>
    <row r="486" spans="1:22" x14ac:dyDescent="0.2">
      <c r="A486" s="32">
        <v>21</v>
      </c>
      <c r="B486" s="33">
        <v>4.1666666666666664E-2</v>
      </c>
      <c r="C486" s="32">
        <f>'0500z'!E30</f>
        <v>8</v>
      </c>
      <c r="D486" s="32">
        <f>'0500z'!F30</f>
        <v>12</v>
      </c>
      <c r="E486" s="32">
        <f t="shared" si="143"/>
        <v>80</v>
      </c>
      <c r="F486" s="10">
        <f t="shared" si="144"/>
        <v>0</v>
      </c>
      <c r="G486" s="10">
        <f t="shared" si="145"/>
        <v>0</v>
      </c>
      <c r="H486" s="10">
        <f t="shared" si="128"/>
        <v>0</v>
      </c>
      <c r="I486" s="10">
        <f t="shared" si="129"/>
        <v>0</v>
      </c>
      <c r="J486" s="10">
        <f t="shared" si="130"/>
        <v>1</v>
      </c>
      <c r="K486" s="10">
        <f t="shared" si="131"/>
        <v>0</v>
      </c>
      <c r="L486" s="10">
        <f t="shared" si="132"/>
        <v>0</v>
      </c>
      <c r="M486" s="10">
        <f t="shared" si="133"/>
        <v>0</v>
      </c>
      <c r="N486" s="10">
        <f t="shared" si="134"/>
        <v>0</v>
      </c>
      <c r="O486" s="10">
        <f t="shared" si="135"/>
        <v>0</v>
      </c>
      <c r="P486" s="10">
        <f t="shared" si="136"/>
        <v>0</v>
      </c>
      <c r="Q486" s="10">
        <f t="shared" si="137"/>
        <v>0</v>
      </c>
      <c r="R486" s="10">
        <f t="shared" si="138"/>
        <v>0</v>
      </c>
      <c r="S486" s="10">
        <f t="shared" si="139"/>
        <v>0</v>
      </c>
      <c r="T486" s="10">
        <f t="shared" si="140"/>
        <v>0</v>
      </c>
      <c r="U486" s="10">
        <f t="shared" si="141"/>
        <v>0</v>
      </c>
      <c r="V486" s="10">
        <f t="shared" si="142"/>
        <v>0</v>
      </c>
    </row>
    <row r="487" spans="1:22" x14ac:dyDescent="0.2">
      <c r="A487" s="32">
        <v>21</v>
      </c>
      <c r="B487" s="33">
        <v>8.3333333333333329E-2</v>
      </c>
      <c r="C487" s="32">
        <f>'0600z'!E30</f>
        <v>10</v>
      </c>
      <c r="D487" s="32">
        <f>'0600z'!F30</f>
        <v>12</v>
      </c>
      <c r="E487" s="32">
        <f t="shared" si="143"/>
        <v>100</v>
      </c>
      <c r="F487" s="10">
        <f t="shared" si="144"/>
        <v>0</v>
      </c>
      <c r="G487" s="10">
        <f t="shared" si="145"/>
        <v>0</v>
      </c>
      <c r="H487" s="10">
        <f t="shared" si="128"/>
        <v>0</v>
      </c>
      <c r="I487" s="10">
        <f t="shared" si="129"/>
        <v>0</v>
      </c>
      <c r="J487" s="10">
        <f t="shared" si="130"/>
        <v>1</v>
      </c>
      <c r="K487" s="10">
        <f t="shared" si="131"/>
        <v>0</v>
      </c>
      <c r="L487" s="10">
        <f t="shared" si="132"/>
        <v>0</v>
      </c>
      <c r="M487" s="10">
        <f t="shared" si="133"/>
        <v>0</v>
      </c>
      <c r="N487" s="10">
        <f t="shared" si="134"/>
        <v>0</v>
      </c>
      <c r="O487" s="10">
        <f t="shared" si="135"/>
        <v>0</v>
      </c>
      <c r="P487" s="10">
        <f t="shared" si="136"/>
        <v>0</v>
      </c>
      <c r="Q487" s="10">
        <f t="shared" si="137"/>
        <v>0</v>
      </c>
      <c r="R487" s="10">
        <f t="shared" si="138"/>
        <v>0</v>
      </c>
      <c r="S487" s="10">
        <f t="shared" si="139"/>
        <v>0</v>
      </c>
      <c r="T487" s="10">
        <f t="shared" si="140"/>
        <v>0</v>
      </c>
      <c r="U487" s="10">
        <f t="shared" si="141"/>
        <v>0</v>
      </c>
      <c r="V487" s="10">
        <f t="shared" si="142"/>
        <v>0</v>
      </c>
    </row>
    <row r="488" spans="1:22" x14ac:dyDescent="0.2">
      <c r="A488" s="32">
        <v>21</v>
      </c>
      <c r="B488" s="33">
        <v>0.125</v>
      </c>
      <c r="C488" s="32">
        <f>'0700z'!E30</f>
        <v>9</v>
      </c>
      <c r="D488" s="32">
        <f>'0700z'!F30</f>
        <v>10</v>
      </c>
      <c r="E488" s="32">
        <f t="shared" si="143"/>
        <v>90</v>
      </c>
      <c r="F488" s="10">
        <f t="shared" si="144"/>
        <v>0</v>
      </c>
      <c r="G488" s="10">
        <f t="shared" si="145"/>
        <v>0</v>
      </c>
      <c r="H488" s="10">
        <f t="shared" si="128"/>
        <v>0</v>
      </c>
      <c r="I488" s="10">
        <f t="shared" si="129"/>
        <v>0</v>
      </c>
      <c r="J488" s="10">
        <f t="shared" si="130"/>
        <v>1</v>
      </c>
      <c r="K488" s="10">
        <f t="shared" si="131"/>
        <v>0</v>
      </c>
      <c r="L488" s="10">
        <f t="shared" si="132"/>
        <v>0</v>
      </c>
      <c r="M488" s="10">
        <f t="shared" si="133"/>
        <v>0</v>
      </c>
      <c r="N488" s="10">
        <f t="shared" si="134"/>
        <v>0</v>
      </c>
      <c r="O488" s="10">
        <f t="shared" si="135"/>
        <v>0</v>
      </c>
      <c r="P488" s="10">
        <f t="shared" si="136"/>
        <v>0</v>
      </c>
      <c r="Q488" s="10">
        <f t="shared" si="137"/>
        <v>0</v>
      </c>
      <c r="R488" s="10">
        <f t="shared" si="138"/>
        <v>0</v>
      </c>
      <c r="S488" s="10">
        <f t="shared" si="139"/>
        <v>0</v>
      </c>
      <c r="T488" s="10">
        <f t="shared" si="140"/>
        <v>0</v>
      </c>
      <c r="U488" s="10">
        <f t="shared" si="141"/>
        <v>0</v>
      </c>
      <c r="V488" s="10">
        <f t="shared" si="142"/>
        <v>0</v>
      </c>
    </row>
    <row r="489" spans="1:22" x14ac:dyDescent="0.2">
      <c r="A489" s="32">
        <v>21</v>
      </c>
      <c r="B489" s="33">
        <v>0.16666666666666699</v>
      </c>
      <c r="C489" s="32">
        <f>'0800z'!E30</f>
        <v>9</v>
      </c>
      <c r="D489" s="32">
        <f>'0800z'!F30</f>
        <v>10</v>
      </c>
      <c r="E489" s="32">
        <f t="shared" si="143"/>
        <v>90</v>
      </c>
      <c r="F489" s="10">
        <f t="shared" si="144"/>
        <v>0</v>
      </c>
      <c r="G489" s="10">
        <f t="shared" si="145"/>
        <v>0</v>
      </c>
      <c r="H489" s="10">
        <f t="shared" si="128"/>
        <v>0</v>
      </c>
      <c r="I489" s="10">
        <f t="shared" si="129"/>
        <v>0</v>
      </c>
      <c r="J489" s="10">
        <f t="shared" si="130"/>
        <v>1</v>
      </c>
      <c r="K489" s="10">
        <f t="shared" si="131"/>
        <v>0</v>
      </c>
      <c r="L489" s="10">
        <f t="shared" si="132"/>
        <v>0</v>
      </c>
      <c r="M489" s="10">
        <f t="shared" si="133"/>
        <v>0</v>
      </c>
      <c r="N489" s="10">
        <f t="shared" si="134"/>
        <v>0</v>
      </c>
      <c r="O489" s="10">
        <f t="shared" si="135"/>
        <v>0</v>
      </c>
      <c r="P489" s="10">
        <f t="shared" si="136"/>
        <v>0</v>
      </c>
      <c r="Q489" s="10">
        <f t="shared" si="137"/>
        <v>0</v>
      </c>
      <c r="R489" s="10">
        <f t="shared" si="138"/>
        <v>0</v>
      </c>
      <c r="S489" s="10">
        <f t="shared" si="139"/>
        <v>0</v>
      </c>
      <c r="T489" s="10">
        <f t="shared" si="140"/>
        <v>0</v>
      </c>
      <c r="U489" s="10">
        <f t="shared" si="141"/>
        <v>0</v>
      </c>
      <c r="V489" s="10">
        <f t="shared" si="142"/>
        <v>0</v>
      </c>
    </row>
    <row r="490" spans="1:22" x14ac:dyDescent="0.2">
      <c r="A490" s="32">
        <v>21</v>
      </c>
      <c r="B490" s="33">
        <v>0.20833333333333301</v>
      </c>
      <c r="C490" s="32">
        <f>'0900z'!E30</f>
        <v>8</v>
      </c>
      <c r="D490" s="32">
        <f>'0900z'!F30</f>
        <v>14</v>
      </c>
      <c r="E490" s="32">
        <f t="shared" si="143"/>
        <v>80</v>
      </c>
      <c r="F490" s="10">
        <f t="shared" si="144"/>
        <v>0</v>
      </c>
      <c r="G490" s="10">
        <f t="shared" si="145"/>
        <v>0</v>
      </c>
      <c r="H490" s="10">
        <f t="shared" si="128"/>
        <v>0</v>
      </c>
      <c r="I490" s="10">
        <f t="shared" si="129"/>
        <v>0</v>
      </c>
      <c r="J490" s="10">
        <f t="shared" si="130"/>
        <v>1</v>
      </c>
      <c r="K490" s="10">
        <f t="shared" si="131"/>
        <v>0</v>
      </c>
      <c r="L490" s="10">
        <f t="shared" si="132"/>
        <v>0</v>
      </c>
      <c r="M490" s="10">
        <f t="shared" si="133"/>
        <v>0</v>
      </c>
      <c r="N490" s="10">
        <f t="shared" si="134"/>
        <v>0</v>
      </c>
      <c r="O490" s="10">
        <f t="shared" si="135"/>
        <v>0</v>
      </c>
      <c r="P490" s="10">
        <f t="shared" si="136"/>
        <v>0</v>
      </c>
      <c r="Q490" s="10">
        <f t="shared" si="137"/>
        <v>0</v>
      </c>
      <c r="R490" s="10">
        <f t="shared" si="138"/>
        <v>0</v>
      </c>
      <c r="S490" s="10">
        <f t="shared" si="139"/>
        <v>0</v>
      </c>
      <c r="T490" s="10">
        <f t="shared" si="140"/>
        <v>0</v>
      </c>
      <c r="U490" s="10">
        <f t="shared" si="141"/>
        <v>0</v>
      </c>
      <c r="V490" s="10">
        <f t="shared" si="142"/>
        <v>0</v>
      </c>
    </row>
    <row r="491" spans="1:22" x14ac:dyDescent="0.2">
      <c r="A491" s="32">
        <v>21</v>
      </c>
      <c r="B491" s="33">
        <v>0.25</v>
      </c>
      <c r="C491" s="32">
        <f>'1000z'!E30</f>
        <v>8</v>
      </c>
      <c r="D491" s="32">
        <f>'1000z'!F30</f>
        <v>11</v>
      </c>
      <c r="E491" s="32">
        <f t="shared" si="143"/>
        <v>80</v>
      </c>
      <c r="F491" s="10">
        <f t="shared" si="144"/>
        <v>0</v>
      </c>
      <c r="G491" s="10">
        <f t="shared" si="145"/>
        <v>0</v>
      </c>
      <c r="H491" s="10">
        <f t="shared" si="128"/>
        <v>0</v>
      </c>
      <c r="I491" s="10">
        <f t="shared" si="129"/>
        <v>0</v>
      </c>
      <c r="J491" s="10">
        <f t="shared" si="130"/>
        <v>1</v>
      </c>
      <c r="K491" s="10">
        <f t="shared" si="131"/>
        <v>0</v>
      </c>
      <c r="L491" s="10">
        <f t="shared" si="132"/>
        <v>0</v>
      </c>
      <c r="M491" s="10">
        <f t="shared" si="133"/>
        <v>0</v>
      </c>
      <c r="N491" s="10">
        <f t="shared" si="134"/>
        <v>0</v>
      </c>
      <c r="O491" s="10">
        <f t="shared" si="135"/>
        <v>0</v>
      </c>
      <c r="P491" s="10">
        <f t="shared" si="136"/>
        <v>0</v>
      </c>
      <c r="Q491" s="10">
        <f t="shared" si="137"/>
        <v>0</v>
      </c>
      <c r="R491" s="10">
        <f t="shared" si="138"/>
        <v>0</v>
      </c>
      <c r="S491" s="10">
        <f t="shared" si="139"/>
        <v>0</v>
      </c>
      <c r="T491" s="10">
        <f t="shared" si="140"/>
        <v>0</v>
      </c>
      <c r="U491" s="10">
        <f t="shared" si="141"/>
        <v>0</v>
      </c>
      <c r="V491" s="10">
        <f t="shared" si="142"/>
        <v>0</v>
      </c>
    </row>
    <row r="492" spans="1:22" x14ac:dyDescent="0.2">
      <c r="A492" s="32">
        <v>21</v>
      </c>
      <c r="B492" s="33">
        <v>0.29166666666666702</v>
      </c>
      <c r="C492" s="32">
        <f>'1100z'!E30</f>
        <v>8</v>
      </c>
      <c r="D492" s="32">
        <f>'1100z'!F30</f>
        <v>11</v>
      </c>
      <c r="E492" s="32">
        <f t="shared" si="143"/>
        <v>80</v>
      </c>
      <c r="F492" s="10">
        <f t="shared" si="144"/>
        <v>0</v>
      </c>
      <c r="G492" s="10">
        <f t="shared" si="145"/>
        <v>0</v>
      </c>
      <c r="H492" s="10">
        <f t="shared" si="128"/>
        <v>0</v>
      </c>
      <c r="I492" s="10">
        <f t="shared" si="129"/>
        <v>0</v>
      </c>
      <c r="J492" s="10">
        <f t="shared" si="130"/>
        <v>1</v>
      </c>
      <c r="K492" s="10">
        <f t="shared" si="131"/>
        <v>0</v>
      </c>
      <c r="L492" s="10">
        <f t="shared" si="132"/>
        <v>0</v>
      </c>
      <c r="M492" s="10">
        <f t="shared" si="133"/>
        <v>0</v>
      </c>
      <c r="N492" s="10">
        <f t="shared" si="134"/>
        <v>0</v>
      </c>
      <c r="O492" s="10">
        <f t="shared" si="135"/>
        <v>0</v>
      </c>
      <c r="P492" s="10">
        <f t="shared" si="136"/>
        <v>0</v>
      </c>
      <c r="Q492" s="10">
        <f t="shared" si="137"/>
        <v>0</v>
      </c>
      <c r="R492" s="10">
        <f t="shared" si="138"/>
        <v>0</v>
      </c>
      <c r="S492" s="10">
        <f t="shared" si="139"/>
        <v>0</v>
      </c>
      <c r="T492" s="10">
        <f t="shared" si="140"/>
        <v>0</v>
      </c>
      <c r="U492" s="10">
        <f t="shared" si="141"/>
        <v>0</v>
      </c>
      <c r="V492" s="10">
        <f t="shared" si="142"/>
        <v>0</v>
      </c>
    </row>
    <row r="493" spans="1:22" x14ac:dyDescent="0.2">
      <c r="A493" s="32">
        <v>21</v>
      </c>
      <c r="B493" s="33">
        <v>0.33333333333333298</v>
      </c>
      <c r="C493" s="32">
        <f>'1200z'!E30</f>
        <v>9</v>
      </c>
      <c r="D493" s="32">
        <f>'1200z'!F30</f>
        <v>13</v>
      </c>
      <c r="E493" s="32">
        <f t="shared" si="143"/>
        <v>90</v>
      </c>
      <c r="F493" s="10">
        <f t="shared" si="144"/>
        <v>0</v>
      </c>
      <c r="G493" s="10">
        <f t="shared" si="145"/>
        <v>0</v>
      </c>
      <c r="H493" s="10">
        <f t="shared" si="128"/>
        <v>0</v>
      </c>
      <c r="I493" s="10">
        <f t="shared" si="129"/>
        <v>0</v>
      </c>
      <c r="J493" s="10">
        <f t="shared" si="130"/>
        <v>1</v>
      </c>
      <c r="K493" s="10">
        <f t="shared" si="131"/>
        <v>0</v>
      </c>
      <c r="L493" s="10">
        <f t="shared" si="132"/>
        <v>0</v>
      </c>
      <c r="M493" s="10">
        <f t="shared" si="133"/>
        <v>0</v>
      </c>
      <c r="N493" s="10">
        <f t="shared" si="134"/>
        <v>0</v>
      </c>
      <c r="O493" s="10">
        <f t="shared" si="135"/>
        <v>0</v>
      </c>
      <c r="P493" s="10">
        <f t="shared" si="136"/>
        <v>0</v>
      </c>
      <c r="Q493" s="10">
        <f t="shared" si="137"/>
        <v>0</v>
      </c>
      <c r="R493" s="10">
        <f t="shared" si="138"/>
        <v>0</v>
      </c>
      <c r="S493" s="10">
        <f t="shared" si="139"/>
        <v>0</v>
      </c>
      <c r="T493" s="10">
        <f t="shared" si="140"/>
        <v>0</v>
      </c>
      <c r="U493" s="10">
        <f t="shared" si="141"/>
        <v>0</v>
      </c>
      <c r="V493" s="10">
        <f t="shared" si="142"/>
        <v>0</v>
      </c>
    </row>
    <row r="494" spans="1:22" x14ac:dyDescent="0.2">
      <c r="A494" s="32">
        <v>21</v>
      </c>
      <c r="B494" s="33">
        <v>0.375</v>
      </c>
      <c r="C494" s="32">
        <f>'1300z'!E30</f>
        <v>10</v>
      </c>
      <c r="D494" s="32">
        <f>'1300z'!F30</f>
        <v>13</v>
      </c>
      <c r="E494" s="32">
        <f t="shared" si="143"/>
        <v>100</v>
      </c>
      <c r="F494" s="10">
        <f t="shared" si="144"/>
        <v>0</v>
      </c>
      <c r="G494" s="10">
        <f t="shared" si="145"/>
        <v>0</v>
      </c>
      <c r="H494" s="10">
        <f t="shared" si="128"/>
        <v>0</v>
      </c>
      <c r="I494" s="10">
        <f t="shared" si="129"/>
        <v>0</v>
      </c>
      <c r="J494" s="10">
        <f t="shared" si="130"/>
        <v>1</v>
      </c>
      <c r="K494" s="10">
        <f t="shared" si="131"/>
        <v>0</v>
      </c>
      <c r="L494" s="10">
        <f t="shared" si="132"/>
        <v>0</v>
      </c>
      <c r="M494" s="10">
        <f t="shared" si="133"/>
        <v>0</v>
      </c>
      <c r="N494" s="10">
        <f t="shared" si="134"/>
        <v>0</v>
      </c>
      <c r="O494" s="10">
        <f t="shared" si="135"/>
        <v>0</v>
      </c>
      <c r="P494" s="10">
        <f t="shared" si="136"/>
        <v>0</v>
      </c>
      <c r="Q494" s="10">
        <f t="shared" si="137"/>
        <v>0</v>
      </c>
      <c r="R494" s="10">
        <f t="shared" si="138"/>
        <v>0</v>
      </c>
      <c r="S494" s="10">
        <f t="shared" si="139"/>
        <v>0</v>
      </c>
      <c r="T494" s="10">
        <f t="shared" si="140"/>
        <v>0</v>
      </c>
      <c r="U494" s="10">
        <f t="shared" si="141"/>
        <v>0</v>
      </c>
      <c r="V494" s="10">
        <f t="shared" si="142"/>
        <v>0</v>
      </c>
    </row>
    <row r="495" spans="1:22" x14ac:dyDescent="0.2">
      <c r="A495" s="32">
        <v>21</v>
      </c>
      <c r="B495" s="33">
        <v>0.41666666666666702</v>
      </c>
      <c r="C495" s="32">
        <f>'1400z'!E30</f>
        <v>9</v>
      </c>
      <c r="D495" s="32">
        <f>'1400z'!F30</f>
        <v>14</v>
      </c>
      <c r="E495" s="32">
        <f t="shared" si="143"/>
        <v>90</v>
      </c>
      <c r="F495" s="10">
        <f t="shared" si="144"/>
        <v>0</v>
      </c>
      <c r="G495" s="10">
        <f t="shared" si="145"/>
        <v>0</v>
      </c>
      <c r="H495" s="10">
        <f t="shared" si="128"/>
        <v>0</v>
      </c>
      <c r="I495" s="10">
        <f t="shared" si="129"/>
        <v>0</v>
      </c>
      <c r="J495" s="10">
        <f t="shared" si="130"/>
        <v>1</v>
      </c>
      <c r="K495" s="10">
        <f t="shared" si="131"/>
        <v>0</v>
      </c>
      <c r="L495" s="10">
        <f t="shared" si="132"/>
        <v>0</v>
      </c>
      <c r="M495" s="10">
        <f t="shared" si="133"/>
        <v>0</v>
      </c>
      <c r="N495" s="10">
        <f t="shared" si="134"/>
        <v>0</v>
      </c>
      <c r="O495" s="10">
        <f t="shared" si="135"/>
        <v>0</v>
      </c>
      <c r="P495" s="10">
        <f t="shared" si="136"/>
        <v>0</v>
      </c>
      <c r="Q495" s="10">
        <f t="shared" si="137"/>
        <v>0</v>
      </c>
      <c r="R495" s="10">
        <f t="shared" si="138"/>
        <v>0</v>
      </c>
      <c r="S495" s="10">
        <f t="shared" si="139"/>
        <v>0</v>
      </c>
      <c r="T495" s="10">
        <f t="shared" si="140"/>
        <v>0</v>
      </c>
      <c r="U495" s="10">
        <f t="shared" si="141"/>
        <v>0</v>
      </c>
      <c r="V495" s="10">
        <f t="shared" si="142"/>
        <v>0</v>
      </c>
    </row>
    <row r="496" spans="1:22" x14ac:dyDescent="0.2">
      <c r="A496" s="32">
        <v>21</v>
      </c>
      <c r="B496" s="33">
        <v>0.45833333333333298</v>
      </c>
      <c r="C496" s="32">
        <f>'1500z'!E30</f>
        <v>11</v>
      </c>
      <c r="D496" s="32">
        <f>'1500z'!F30</f>
        <v>14</v>
      </c>
      <c r="E496" s="32">
        <f t="shared" si="143"/>
        <v>110</v>
      </c>
      <c r="F496" s="10">
        <f t="shared" si="144"/>
        <v>0</v>
      </c>
      <c r="G496" s="10">
        <f t="shared" si="145"/>
        <v>0</v>
      </c>
      <c r="H496" s="10">
        <f t="shared" si="128"/>
        <v>0</v>
      </c>
      <c r="I496" s="10">
        <f t="shared" si="129"/>
        <v>0</v>
      </c>
      <c r="J496" s="10">
        <f t="shared" si="130"/>
        <v>0</v>
      </c>
      <c r="K496" s="10">
        <f t="shared" si="131"/>
        <v>1</v>
      </c>
      <c r="L496" s="10">
        <f t="shared" si="132"/>
        <v>0</v>
      </c>
      <c r="M496" s="10">
        <f t="shared" si="133"/>
        <v>0</v>
      </c>
      <c r="N496" s="10">
        <f t="shared" si="134"/>
        <v>0</v>
      </c>
      <c r="O496" s="10">
        <f t="shared" si="135"/>
        <v>0</v>
      </c>
      <c r="P496" s="10">
        <f t="shared" si="136"/>
        <v>0</v>
      </c>
      <c r="Q496" s="10">
        <f t="shared" si="137"/>
        <v>0</v>
      </c>
      <c r="R496" s="10">
        <f t="shared" si="138"/>
        <v>0</v>
      </c>
      <c r="S496" s="10">
        <f t="shared" si="139"/>
        <v>0</v>
      </c>
      <c r="T496" s="10">
        <f t="shared" si="140"/>
        <v>0</v>
      </c>
      <c r="U496" s="10">
        <f t="shared" si="141"/>
        <v>0</v>
      </c>
      <c r="V496" s="10">
        <f t="shared" si="142"/>
        <v>0</v>
      </c>
    </row>
    <row r="497" spans="1:22" x14ac:dyDescent="0.2">
      <c r="A497" s="32">
        <v>21</v>
      </c>
      <c r="B497" s="33">
        <v>0.5</v>
      </c>
      <c r="C497" s="32">
        <f>'1600z'!E30</f>
        <v>10</v>
      </c>
      <c r="D497" s="32">
        <f>'1600z'!F30</f>
        <v>14</v>
      </c>
      <c r="E497" s="32">
        <f t="shared" si="143"/>
        <v>100</v>
      </c>
      <c r="F497" s="10">
        <f t="shared" si="144"/>
        <v>0</v>
      </c>
      <c r="G497" s="10">
        <f t="shared" si="145"/>
        <v>0</v>
      </c>
      <c r="H497" s="10">
        <f t="shared" si="128"/>
        <v>0</v>
      </c>
      <c r="I497" s="10">
        <f t="shared" si="129"/>
        <v>0</v>
      </c>
      <c r="J497" s="10">
        <f t="shared" si="130"/>
        <v>1</v>
      </c>
      <c r="K497" s="10">
        <f t="shared" si="131"/>
        <v>0</v>
      </c>
      <c r="L497" s="10">
        <f t="shared" si="132"/>
        <v>0</v>
      </c>
      <c r="M497" s="10">
        <f t="shared" si="133"/>
        <v>0</v>
      </c>
      <c r="N497" s="10">
        <f t="shared" si="134"/>
        <v>0</v>
      </c>
      <c r="O497" s="10">
        <f t="shared" si="135"/>
        <v>0</v>
      </c>
      <c r="P497" s="10">
        <f t="shared" si="136"/>
        <v>0</v>
      </c>
      <c r="Q497" s="10">
        <f t="shared" si="137"/>
        <v>0</v>
      </c>
      <c r="R497" s="10">
        <f t="shared" si="138"/>
        <v>0</v>
      </c>
      <c r="S497" s="10">
        <f t="shared" si="139"/>
        <v>0</v>
      </c>
      <c r="T497" s="10">
        <f t="shared" si="140"/>
        <v>0</v>
      </c>
      <c r="U497" s="10">
        <f t="shared" si="141"/>
        <v>0</v>
      </c>
      <c r="V497" s="10">
        <f t="shared" si="142"/>
        <v>0</v>
      </c>
    </row>
    <row r="498" spans="1:22" x14ac:dyDescent="0.2">
      <c r="A498" s="32">
        <v>21</v>
      </c>
      <c r="B498" s="33">
        <v>0.54166666666666696</v>
      </c>
      <c r="C498" s="32">
        <f>'1700z'!E30</f>
        <v>11</v>
      </c>
      <c r="D498" s="32">
        <f>'1700z'!F30</f>
        <v>14</v>
      </c>
      <c r="E498" s="32">
        <f t="shared" si="143"/>
        <v>110</v>
      </c>
      <c r="F498" s="10">
        <f t="shared" si="144"/>
        <v>0</v>
      </c>
      <c r="G498" s="10">
        <f t="shared" si="145"/>
        <v>0</v>
      </c>
      <c r="H498" s="10">
        <f t="shared" si="128"/>
        <v>0</v>
      </c>
      <c r="I498" s="10">
        <f t="shared" si="129"/>
        <v>0</v>
      </c>
      <c r="J498" s="10">
        <f t="shared" si="130"/>
        <v>0</v>
      </c>
      <c r="K498" s="10">
        <f t="shared" si="131"/>
        <v>1</v>
      </c>
      <c r="L498" s="10">
        <f t="shared" si="132"/>
        <v>0</v>
      </c>
      <c r="M498" s="10">
        <f t="shared" si="133"/>
        <v>0</v>
      </c>
      <c r="N498" s="10">
        <f t="shared" si="134"/>
        <v>0</v>
      </c>
      <c r="O498" s="10">
        <f t="shared" si="135"/>
        <v>0</v>
      </c>
      <c r="P498" s="10">
        <f t="shared" si="136"/>
        <v>0</v>
      </c>
      <c r="Q498" s="10">
        <f t="shared" si="137"/>
        <v>0</v>
      </c>
      <c r="R498" s="10">
        <f t="shared" si="138"/>
        <v>0</v>
      </c>
      <c r="S498" s="10">
        <f t="shared" si="139"/>
        <v>0</v>
      </c>
      <c r="T498" s="10">
        <f t="shared" si="140"/>
        <v>0</v>
      </c>
      <c r="U498" s="10">
        <f t="shared" si="141"/>
        <v>0</v>
      </c>
      <c r="V498" s="10">
        <f t="shared" si="142"/>
        <v>0</v>
      </c>
    </row>
    <row r="499" spans="1:22" x14ac:dyDescent="0.2">
      <c r="A499" s="32">
        <v>21</v>
      </c>
      <c r="B499" s="33">
        <v>0.58333333333333304</v>
      </c>
      <c r="C499" s="32">
        <f>'1800z'!E30</f>
        <v>11</v>
      </c>
      <c r="D499" s="32">
        <f>'1800z'!F30</f>
        <v>14</v>
      </c>
      <c r="E499" s="32">
        <f t="shared" si="143"/>
        <v>110</v>
      </c>
      <c r="F499" s="10">
        <f t="shared" si="144"/>
        <v>0</v>
      </c>
      <c r="G499" s="10">
        <f t="shared" si="145"/>
        <v>0</v>
      </c>
      <c r="H499" s="10">
        <f t="shared" si="128"/>
        <v>0</v>
      </c>
      <c r="I499" s="10">
        <f t="shared" si="129"/>
        <v>0</v>
      </c>
      <c r="J499" s="10">
        <f t="shared" si="130"/>
        <v>0</v>
      </c>
      <c r="K499" s="10">
        <f t="shared" si="131"/>
        <v>1</v>
      </c>
      <c r="L499" s="10">
        <f t="shared" si="132"/>
        <v>0</v>
      </c>
      <c r="M499" s="10">
        <f t="shared" si="133"/>
        <v>0</v>
      </c>
      <c r="N499" s="10">
        <f t="shared" si="134"/>
        <v>0</v>
      </c>
      <c r="O499" s="10">
        <f t="shared" si="135"/>
        <v>0</v>
      </c>
      <c r="P499" s="10">
        <f t="shared" si="136"/>
        <v>0</v>
      </c>
      <c r="Q499" s="10">
        <f t="shared" si="137"/>
        <v>0</v>
      </c>
      <c r="R499" s="10">
        <f t="shared" si="138"/>
        <v>0</v>
      </c>
      <c r="S499" s="10">
        <f t="shared" si="139"/>
        <v>0</v>
      </c>
      <c r="T499" s="10">
        <f t="shared" si="140"/>
        <v>0</v>
      </c>
      <c r="U499" s="10">
        <f t="shared" si="141"/>
        <v>0</v>
      </c>
      <c r="V499" s="10">
        <f t="shared" si="142"/>
        <v>0</v>
      </c>
    </row>
    <row r="500" spans="1:22" x14ac:dyDescent="0.2">
      <c r="A500" s="32">
        <v>21</v>
      </c>
      <c r="B500" s="33">
        <v>0.625</v>
      </c>
      <c r="C500" s="32">
        <f>'1900z'!E30</f>
        <v>9</v>
      </c>
      <c r="D500" s="32">
        <f>'1900z'!F30</f>
        <v>13</v>
      </c>
      <c r="E500" s="32">
        <f t="shared" si="143"/>
        <v>90</v>
      </c>
      <c r="F500" s="10">
        <f t="shared" si="144"/>
        <v>0</v>
      </c>
      <c r="G500" s="10">
        <f t="shared" si="145"/>
        <v>0</v>
      </c>
      <c r="H500" s="10">
        <f t="shared" si="128"/>
        <v>0</v>
      </c>
      <c r="I500" s="10">
        <f t="shared" si="129"/>
        <v>0</v>
      </c>
      <c r="J500" s="10">
        <f t="shared" si="130"/>
        <v>1</v>
      </c>
      <c r="K500" s="10">
        <f t="shared" si="131"/>
        <v>0</v>
      </c>
      <c r="L500" s="10">
        <f t="shared" si="132"/>
        <v>0</v>
      </c>
      <c r="M500" s="10">
        <f t="shared" si="133"/>
        <v>0</v>
      </c>
      <c r="N500" s="10">
        <f t="shared" si="134"/>
        <v>0</v>
      </c>
      <c r="O500" s="10">
        <f t="shared" si="135"/>
        <v>0</v>
      </c>
      <c r="P500" s="10">
        <f t="shared" si="136"/>
        <v>0</v>
      </c>
      <c r="Q500" s="10">
        <f t="shared" si="137"/>
        <v>0</v>
      </c>
      <c r="R500" s="10">
        <f t="shared" si="138"/>
        <v>0</v>
      </c>
      <c r="S500" s="10">
        <f t="shared" si="139"/>
        <v>0</v>
      </c>
      <c r="T500" s="10">
        <f t="shared" si="140"/>
        <v>0</v>
      </c>
      <c r="U500" s="10">
        <f t="shared" si="141"/>
        <v>0</v>
      </c>
      <c r="V500" s="10">
        <f t="shared" si="142"/>
        <v>0</v>
      </c>
    </row>
    <row r="501" spans="1:22" x14ac:dyDescent="0.2">
      <c r="A501" s="32">
        <v>21</v>
      </c>
      <c r="B501" s="33">
        <v>0.66666666666666696</v>
      </c>
      <c r="C501" s="32">
        <f>'2000z'!E30</f>
        <v>10</v>
      </c>
      <c r="D501" s="32">
        <f>'2000z'!F30</f>
        <v>13</v>
      </c>
      <c r="E501" s="32">
        <f t="shared" si="143"/>
        <v>100</v>
      </c>
      <c r="F501" s="10">
        <f t="shared" si="144"/>
        <v>0</v>
      </c>
      <c r="G501" s="10">
        <f t="shared" si="145"/>
        <v>0</v>
      </c>
      <c r="H501" s="10">
        <f t="shared" si="128"/>
        <v>0</v>
      </c>
      <c r="I501" s="10">
        <f t="shared" si="129"/>
        <v>0</v>
      </c>
      <c r="J501" s="10">
        <f t="shared" si="130"/>
        <v>1</v>
      </c>
      <c r="K501" s="10">
        <f t="shared" si="131"/>
        <v>0</v>
      </c>
      <c r="L501" s="10">
        <f t="shared" si="132"/>
        <v>0</v>
      </c>
      <c r="M501" s="10">
        <f t="shared" si="133"/>
        <v>0</v>
      </c>
      <c r="N501" s="10">
        <f t="shared" si="134"/>
        <v>0</v>
      </c>
      <c r="O501" s="10">
        <f t="shared" si="135"/>
        <v>0</v>
      </c>
      <c r="P501" s="10">
        <f t="shared" si="136"/>
        <v>0</v>
      </c>
      <c r="Q501" s="10">
        <f t="shared" si="137"/>
        <v>0</v>
      </c>
      <c r="R501" s="10">
        <f t="shared" si="138"/>
        <v>0</v>
      </c>
      <c r="S501" s="10">
        <f t="shared" si="139"/>
        <v>0</v>
      </c>
      <c r="T501" s="10">
        <f t="shared" si="140"/>
        <v>0</v>
      </c>
      <c r="U501" s="10">
        <f t="shared" si="141"/>
        <v>0</v>
      </c>
      <c r="V501" s="10">
        <f t="shared" si="142"/>
        <v>0</v>
      </c>
    </row>
    <row r="502" spans="1:22" x14ac:dyDescent="0.2">
      <c r="A502" s="32">
        <v>21</v>
      </c>
      <c r="B502" s="33">
        <v>0.70833333333333304</v>
      </c>
      <c r="C502" s="32">
        <f>'2100z'!E30</f>
        <v>11</v>
      </c>
      <c r="D502" s="32">
        <f>'2100z'!F30</f>
        <v>13</v>
      </c>
      <c r="E502" s="32">
        <f t="shared" si="143"/>
        <v>110</v>
      </c>
      <c r="F502" s="10">
        <f t="shared" si="144"/>
        <v>0</v>
      </c>
      <c r="G502" s="10">
        <f t="shared" si="145"/>
        <v>0</v>
      </c>
      <c r="H502" s="10">
        <f t="shared" si="128"/>
        <v>0</v>
      </c>
      <c r="I502" s="10">
        <f t="shared" si="129"/>
        <v>0</v>
      </c>
      <c r="J502" s="10">
        <f t="shared" si="130"/>
        <v>0</v>
      </c>
      <c r="K502" s="10">
        <f t="shared" si="131"/>
        <v>1</v>
      </c>
      <c r="L502" s="10">
        <f t="shared" si="132"/>
        <v>0</v>
      </c>
      <c r="M502" s="10">
        <f t="shared" si="133"/>
        <v>0</v>
      </c>
      <c r="N502" s="10">
        <f t="shared" si="134"/>
        <v>0</v>
      </c>
      <c r="O502" s="10">
        <f t="shared" si="135"/>
        <v>0</v>
      </c>
      <c r="P502" s="10">
        <f t="shared" si="136"/>
        <v>0</v>
      </c>
      <c r="Q502" s="10">
        <f t="shared" si="137"/>
        <v>0</v>
      </c>
      <c r="R502" s="10">
        <f t="shared" si="138"/>
        <v>0</v>
      </c>
      <c r="S502" s="10">
        <f t="shared" si="139"/>
        <v>0</v>
      </c>
      <c r="T502" s="10">
        <f t="shared" si="140"/>
        <v>0</v>
      </c>
      <c r="U502" s="10">
        <f t="shared" si="141"/>
        <v>0</v>
      </c>
      <c r="V502" s="10">
        <f t="shared" si="142"/>
        <v>0</v>
      </c>
    </row>
    <row r="503" spans="1:22" x14ac:dyDescent="0.2">
      <c r="A503" s="32">
        <v>21</v>
      </c>
      <c r="B503" s="33">
        <v>0.75</v>
      </c>
      <c r="C503" s="32">
        <f>'2200z'!E30</f>
        <v>8</v>
      </c>
      <c r="D503" s="32">
        <f>'2200z'!F30</f>
        <v>9</v>
      </c>
      <c r="E503" s="32">
        <f t="shared" si="143"/>
        <v>80</v>
      </c>
      <c r="F503" s="10">
        <f t="shared" si="144"/>
        <v>0</v>
      </c>
      <c r="G503" s="10">
        <f t="shared" si="145"/>
        <v>0</v>
      </c>
      <c r="H503" s="10">
        <f t="shared" si="128"/>
        <v>0</v>
      </c>
      <c r="I503" s="10">
        <f t="shared" si="129"/>
        <v>0</v>
      </c>
      <c r="J503" s="10">
        <f t="shared" si="130"/>
        <v>1</v>
      </c>
      <c r="K503" s="10">
        <f t="shared" si="131"/>
        <v>0</v>
      </c>
      <c r="L503" s="10">
        <f t="shared" si="132"/>
        <v>0</v>
      </c>
      <c r="M503" s="10">
        <f t="shared" si="133"/>
        <v>0</v>
      </c>
      <c r="N503" s="10">
        <f t="shared" si="134"/>
        <v>0</v>
      </c>
      <c r="O503" s="10">
        <f t="shared" si="135"/>
        <v>0</v>
      </c>
      <c r="P503" s="10">
        <f t="shared" si="136"/>
        <v>0</v>
      </c>
      <c r="Q503" s="10">
        <f t="shared" si="137"/>
        <v>0</v>
      </c>
      <c r="R503" s="10">
        <f t="shared" si="138"/>
        <v>0</v>
      </c>
      <c r="S503" s="10">
        <f t="shared" si="139"/>
        <v>0</v>
      </c>
      <c r="T503" s="10">
        <f t="shared" si="140"/>
        <v>0</v>
      </c>
      <c r="U503" s="10">
        <f t="shared" si="141"/>
        <v>0</v>
      </c>
      <c r="V503" s="10">
        <f t="shared" si="142"/>
        <v>0</v>
      </c>
    </row>
    <row r="504" spans="1:22" x14ac:dyDescent="0.2">
      <c r="A504" s="32">
        <v>21</v>
      </c>
      <c r="B504" s="33">
        <v>0.79166666666666696</v>
      </c>
      <c r="C504" s="32">
        <f>'2300z'!E30</f>
        <v>9</v>
      </c>
      <c r="D504" s="32">
        <f>'2300z'!F30</f>
        <v>9</v>
      </c>
      <c r="E504" s="32">
        <f t="shared" si="143"/>
        <v>90</v>
      </c>
      <c r="F504" s="10">
        <f t="shared" si="144"/>
        <v>0</v>
      </c>
      <c r="G504" s="10">
        <f t="shared" si="145"/>
        <v>0</v>
      </c>
      <c r="H504" s="10">
        <f t="shared" si="128"/>
        <v>0</v>
      </c>
      <c r="I504" s="10">
        <f t="shared" si="129"/>
        <v>0</v>
      </c>
      <c r="J504" s="10">
        <f t="shared" si="130"/>
        <v>1</v>
      </c>
      <c r="K504" s="10">
        <f t="shared" si="131"/>
        <v>0</v>
      </c>
      <c r="L504" s="10">
        <f t="shared" si="132"/>
        <v>0</v>
      </c>
      <c r="M504" s="10">
        <f t="shared" si="133"/>
        <v>0</v>
      </c>
      <c r="N504" s="10">
        <f t="shared" si="134"/>
        <v>0</v>
      </c>
      <c r="O504" s="10">
        <f t="shared" si="135"/>
        <v>0</v>
      </c>
      <c r="P504" s="10">
        <f t="shared" si="136"/>
        <v>0</v>
      </c>
      <c r="Q504" s="10">
        <f t="shared" si="137"/>
        <v>0</v>
      </c>
      <c r="R504" s="10">
        <f t="shared" si="138"/>
        <v>0</v>
      </c>
      <c r="S504" s="10">
        <f t="shared" si="139"/>
        <v>0</v>
      </c>
      <c r="T504" s="10">
        <f t="shared" si="140"/>
        <v>0</v>
      </c>
      <c r="U504" s="10">
        <f t="shared" si="141"/>
        <v>0</v>
      </c>
      <c r="V504" s="10">
        <f t="shared" si="142"/>
        <v>0</v>
      </c>
    </row>
    <row r="505" spans="1:22" x14ac:dyDescent="0.2">
      <c r="A505" s="32">
        <v>21</v>
      </c>
      <c r="B505" s="33">
        <v>0.83333333333333304</v>
      </c>
      <c r="C505" s="32">
        <f>'0000z'!E30</f>
        <v>8</v>
      </c>
      <c r="D505" s="32">
        <f>'0000z'!F30</f>
        <v>11</v>
      </c>
      <c r="E505" s="32">
        <f t="shared" si="143"/>
        <v>80</v>
      </c>
      <c r="F505" s="10">
        <f t="shared" si="144"/>
        <v>0</v>
      </c>
      <c r="G505" s="10">
        <f t="shared" si="145"/>
        <v>0</v>
      </c>
      <c r="H505" s="10">
        <f t="shared" si="128"/>
        <v>0</v>
      </c>
      <c r="I505" s="10">
        <f t="shared" si="129"/>
        <v>0</v>
      </c>
      <c r="J505" s="10">
        <f t="shared" si="130"/>
        <v>1</v>
      </c>
      <c r="K505" s="10">
        <f t="shared" si="131"/>
        <v>0</v>
      </c>
      <c r="L505" s="10">
        <f t="shared" si="132"/>
        <v>0</v>
      </c>
      <c r="M505" s="10">
        <f t="shared" si="133"/>
        <v>0</v>
      </c>
      <c r="N505" s="10">
        <f t="shared" si="134"/>
        <v>0</v>
      </c>
      <c r="O505" s="10">
        <f t="shared" si="135"/>
        <v>0</v>
      </c>
      <c r="P505" s="10">
        <f t="shared" si="136"/>
        <v>0</v>
      </c>
      <c r="Q505" s="10">
        <f t="shared" si="137"/>
        <v>0</v>
      </c>
      <c r="R505" s="10">
        <f t="shared" si="138"/>
        <v>0</v>
      </c>
      <c r="S505" s="10">
        <f t="shared" si="139"/>
        <v>0</v>
      </c>
      <c r="T505" s="10">
        <f t="shared" si="140"/>
        <v>0</v>
      </c>
      <c r="U505" s="10">
        <f t="shared" si="141"/>
        <v>0</v>
      </c>
      <c r="V505" s="10">
        <f t="shared" si="142"/>
        <v>0</v>
      </c>
    </row>
    <row r="506" spans="1:22" x14ac:dyDescent="0.2">
      <c r="A506" s="32">
        <v>21</v>
      </c>
      <c r="B506" s="33">
        <v>0.875</v>
      </c>
      <c r="C506" s="32">
        <f>'0100z'!E30</f>
        <v>8</v>
      </c>
      <c r="D506" s="32">
        <f>'0100z'!F30</f>
        <v>11</v>
      </c>
      <c r="E506" s="32">
        <f t="shared" si="143"/>
        <v>80</v>
      </c>
      <c r="F506" s="10">
        <f t="shared" si="144"/>
        <v>0</v>
      </c>
      <c r="G506" s="10">
        <f t="shared" si="145"/>
        <v>0</v>
      </c>
      <c r="H506" s="10">
        <f t="shared" si="128"/>
        <v>0</v>
      </c>
      <c r="I506" s="10">
        <f t="shared" si="129"/>
        <v>0</v>
      </c>
      <c r="J506" s="10">
        <f t="shared" si="130"/>
        <v>1</v>
      </c>
      <c r="K506" s="10">
        <f t="shared" si="131"/>
        <v>0</v>
      </c>
      <c r="L506" s="10">
        <f t="shared" si="132"/>
        <v>0</v>
      </c>
      <c r="M506" s="10">
        <f t="shared" si="133"/>
        <v>0</v>
      </c>
      <c r="N506" s="10">
        <f t="shared" si="134"/>
        <v>0</v>
      </c>
      <c r="O506" s="10">
        <f t="shared" si="135"/>
        <v>0</v>
      </c>
      <c r="P506" s="10">
        <f t="shared" si="136"/>
        <v>0</v>
      </c>
      <c r="Q506" s="10">
        <f t="shared" si="137"/>
        <v>0</v>
      </c>
      <c r="R506" s="10">
        <f t="shared" si="138"/>
        <v>0</v>
      </c>
      <c r="S506" s="10">
        <f t="shared" si="139"/>
        <v>0</v>
      </c>
      <c r="T506" s="10">
        <f t="shared" si="140"/>
        <v>0</v>
      </c>
      <c r="U506" s="10">
        <f t="shared" si="141"/>
        <v>0</v>
      </c>
      <c r="V506" s="10">
        <f t="shared" si="142"/>
        <v>0</v>
      </c>
    </row>
    <row r="507" spans="1:22" x14ac:dyDescent="0.2">
      <c r="A507" s="32">
        <v>21</v>
      </c>
      <c r="B507" s="33">
        <v>0.91666666666666696</v>
      </c>
      <c r="C507" s="32">
        <f>'0200z'!E30</f>
        <v>8</v>
      </c>
      <c r="D507" s="32">
        <f>'0200z'!F30</f>
        <v>10</v>
      </c>
      <c r="E507" s="32">
        <f t="shared" si="143"/>
        <v>80</v>
      </c>
      <c r="F507" s="10">
        <f t="shared" si="144"/>
        <v>0</v>
      </c>
      <c r="G507" s="10">
        <f t="shared" si="145"/>
        <v>0</v>
      </c>
      <c r="H507" s="10">
        <f t="shared" si="128"/>
        <v>0</v>
      </c>
      <c r="I507" s="10">
        <f t="shared" si="129"/>
        <v>0</v>
      </c>
      <c r="J507" s="10">
        <f t="shared" si="130"/>
        <v>1</v>
      </c>
      <c r="K507" s="10">
        <f t="shared" si="131"/>
        <v>0</v>
      </c>
      <c r="L507" s="10">
        <f t="shared" si="132"/>
        <v>0</v>
      </c>
      <c r="M507" s="10">
        <f t="shared" si="133"/>
        <v>0</v>
      </c>
      <c r="N507" s="10">
        <f t="shared" si="134"/>
        <v>0</v>
      </c>
      <c r="O507" s="10">
        <f t="shared" si="135"/>
        <v>0</v>
      </c>
      <c r="P507" s="10">
        <f t="shared" si="136"/>
        <v>0</v>
      </c>
      <c r="Q507" s="10">
        <f t="shared" si="137"/>
        <v>0</v>
      </c>
      <c r="R507" s="10">
        <f t="shared" si="138"/>
        <v>0</v>
      </c>
      <c r="S507" s="10">
        <f t="shared" si="139"/>
        <v>0</v>
      </c>
      <c r="T507" s="10">
        <f t="shared" si="140"/>
        <v>0</v>
      </c>
      <c r="U507" s="10">
        <f t="shared" si="141"/>
        <v>0</v>
      </c>
      <c r="V507" s="10">
        <f t="shared" si="142"/>
        <v>0</v>
      </c>
    </row>
    <row r="508" spans="1:22" x14ac:dyDescent="0.2">
      <c r="A508" s="32">
        <v>21</v>
      </c>
      <c r="B508" s="33">
        <v>0.95833333333333304</v>
      </c>
      <c r="C508" s="32">
        <f>'0300z'!E30</f>
        <v>7</v>
      </c>
      <c r="D508" s="32">
        <f>'0300z'!F30</f>
        <v>8</v>
      </c>
      <c r="E508" s="32">
        <f t="shared" si="143"/>
        <v>70</v>
      </c>
      <c r="F508" s="10">
        <f t="shared" si="144"/>
        <v>0</v>
      </c>
      <c r="G508" s="10">
        <f t="shared" si="145"/>
        <v>0</v>
      </c>
      <c r="H508" s="10">
        <f t="shared" si="128"/>
        <v>0</v>
      </c>
      <c r="I508" s="10">
        <f t="shared" si="129"/>
        <v>1</v>
      </c>
      <c r="J508" s="10">
        <f t="shared" si="130"/>
        <v>0</v>
      </c>
      <c r="K508" s="10">
        <f t="shared" si="131"/>
        <v>0</v>
      </c>
      <c r="L508" s="10">
        <f t="shared" si="132"/>
        <v>0</v>
      </c>
      <c r="M508" s="10">
        <f t="shared" si="133"/>
        <v>0</v>
      </c>
      <c r="N508" s="10">
        <f t="shared" si="134"/>
        <v>0</v>
      </c>
      <c r="O508" s="10">
        <f t="shared" si="135"/>
        <v>0</v>
      </c>
      <c r="P508" s="10">
        <f t="shared" si="136"/>
        <v>0</v>
      </c>
      <c r="Q508" s="10">
        <f t="shared" si="137"/>
        <v>0</v>
      </c>
      <c r="R508" s="10">
        <f t="shared" si="138"/>
        <v>0</v>
      </c>
      <c r="S508" s="10">
        <f t="shared" si="139"/>
        <v>0</v>
      </c>
      <c r="T508" s="10">
        <f t="shared" si="140"/>
        <v>0</v>
      </c>
      <c r="U508" s="10">
        <f t="shared" si="141"/>
        <v>0</v>
      </c>
      <c r="V508" s="10">
        <f t="shared" si="142"/>
        <v>0</v>
      </c>
    </row>
    <row r="509" spans="1:22" x14ac:dyDescent="0.2">
      <c r="A509" s="32">
        <v>22</v>
      </c>
      <c r="B509" s="33">
        <v>0</v>
      </c>
      <c r="C509" s="32">
        <f>'0400z'!E31</f>
        <v>6</v>
      </c>
      <c r="D509" s="32">
        <f>'0400z'!F31</f>
        <v>7</v>
      </c>
      <c r="E509" s="32">
        <f t="shared" si="143"/>
        <v>60</v>
      </c>
      <c r="F509" s="10">
        <f t="shared" si="144"/>
        <v>0</v>
      </c>
      <c r="G509" s="10">
        <f t="shared" si="145"/>
        <v>0</v>
      </c>
      <c r="H509" s="10">
        <f t="shared" si="128"/>
        <v>0</v>
      </c>
      <c r="I509" s="10">
        <f t="shared" si="129"/>
        <v>1</v>
      </c>
      <c r="J509" s="10">
        <f t="shared" si="130"/>
        <v>0</v>
      </c>
      <c r="K509" s="10">
        <f t="shared" si="131"/>
        <v>0</v>
      </c>
      <c r="L509" s="10">
        <f t="shared" si="132"/>
        <v>0</v>
      </c>
      <c r="M509" s="10">
        <f t="shared" si="133"/>
        <v>0</v>
      </c>
      <c r="N509" s="10">
        <f t="shared" si="134"/>
        <v>0</v>
      </c>
      <c r="O509" s="10">
        <f t="shared" si="135"/>
        <v>0</v>
      </c>
      <c r="P509" s="10">
        <f t="shared" si="136"/>
        <v>0</v>
      </c>
      <c r="Q509" s="10">
        <f t="shared" si="137"/>
        <v>0</v>
      </c>
      <c r="R509" s="10">
        <f t="shared" si="138"/>
        <v>0</v>
      </c>
      <c r="S509" s="10">
        <f t="shared" si="139"/>
        <v>0</v>
      </c>
      <c r="T509" s="10">
        <f t="shared" si="140"/>
        <v>0</v>
      </c>
      <c r="U509" s="10">
        <f t="shared" si="141"/>
        <v>0</v>
      </c>
      <c r="V509" s="10">
        <f t="shared" si="142"/>
        <v>0</v>
      </c>
    </row>
    <row r="510" spans="1:22" x14ac:dyDescent="0.2">
      <c r="A510" s="32">
        <v>22</v>
      </c>
      <c r="B510" s="33">
        <v>4.1666666666666664E-2</v>
      </c>
      <c r="C510" s="32">
        <f>'0500z'!E31</f>
        <v>6</v>
      </c>
      <c r="D510" s="32">
        <f>'0500z'!F31</f>
        <v>5</v>
      </c>
      <c r="E510" s="32">
        <f t="shared" si="143"/>
        <v>60</v>
      </c>
      <c r="F510" s="10">
        <f t="shared" si="144"/>
        <v>0</v>
      </c>
      <c r="G510" s="10">
        <f t="shared" si="145"/>
        <v>0</v>
      </c>
      <c r="H510" s="10">
        <f t="shared" si="128"/>
        <v>0</v>
      </c>
      <c r="I510" s="10">
        <f t="shared" si="129"/>
        <v>1</v>
      </c>
      <c r="J510" s="10">
        <f t="shared" si="130"/>
        <v>0</v>
      </c>
      <c r="K510" s="10">
        <f t="shared" si="131"/>
        <v>0</v>
      </c>
      <c r="L510" s="10">
        <f t="shared" si="132"/>
        <v>0</v>
      </c>
      <c r="M510" s="10">
        <f t="shared" si="133"/>
        <v>0</v>
      </c>
      <c r="N510" s="10">
        <f t="shared" si="134"/>
        <v>0</v>
      </c>
      <c r="O510" s="10">
        <f t="shared" si="135"/>
        <v>0</v>
      </c>
      <c r="P510" s="10">
        <f t="shared" si="136"/>
        <v>0</v>
      </c>
      <c r="Q510" s="10">
        <f t="shared" si="137"/>
        <v>0</v>
      </c>
      <c r="R510" s="10">
        <f t="shared" si="138"/>
        <v>0</v>
      </c>
      <c r="S510" s="10">
        <f t="shared" si="139"/>
        <v>0</v>
      </c>
      <c r="T510" s="10">
        <f t="shared" si="140"/>
        <v>0</v>
      </c>
      <c r="U510" s="10">
        <f t="shared" si="141"/>
        <v>0</v>
      </c>
      <c r="V510" s="10">
        <f t="shared" si="142"/>
        <v>0</v>
      </c>
    </row>
    <row r="511" spans="1:22" x14ac:dyDescent="0.2">
      <c r="A511" s="32">
        <v>22</v>
      </c>
      <c r="B511" s="33">
        <v>8.3333333333333329E-2</v>
      </c>
      <c r="C511" s="32">
        <f>'0600z'!E31</f>
        <v>4</v>
      </c>
      <c r="D511" s="32">
        <f>'0600z'!F31</f>
        <v>5</v>
      </c>
      <c r="E511" s="32">
        <f t="shared" si="143"/>
        <v>40</v>
      </c>
      <c r="F511" s="10">
        <f t="shared" si="144"/>
        <v>0</v>
      </c>
      <c r="G511" s="10">
        <f t="shared" si="145"/>
        <v>0</v>
      </c>
      <c r="H511" s="10">
        <f t="shared" si="128"/>
        <v>1</v>
      </c>
      <c r="I511" s="10">
        <f t="shared" si="129"/>
        <v>0</v>
      </c>
      <c r="J511" s="10">
        <f t="shared" si="130"/>
        <v>0</v>
      </c>
      <c r="K511" s="10">
        <f t="shared" si="131"/>
        <v>0</v>
      </c>
      <c r="L511" s="10">
        <f t="shared" si="132"/>
        <v>0</v>
      </c>
      <c r="M511" s="10">
        <f t="shared" si="133"/>
        <v>0</v>
      </c>
      <c r="N511" s="10">
        <f t="shared" si="134"/>
        <v>0</v>
      </c>
      <c r="O511" s="10">
        <f t="shared" si="135"/>
        <v>0</v>
      </c>
      <c r="P511" s="10">
        <f t="shared" si="136"/>
        <v>0</v>
      </c>
      <c r="Q511" s="10">
        <f t="shared" si="137"/>
        <v>0</v>
      </c>
      <c r="R511" s="10">
        <f t="shared" si="138"/>
        <v>0</v>
      </c>
      <c r="S511" s="10">
        <f t="shared" si="139"/>
        <v>0</v>
      </c>
      <c r="T511" s="10">
        <f t="shared" si="140"/>
        <v>0</v>
      </c>
      <c r="U511" s="10">
        <f t="shared" si="141"/>
        <v>0</v>
      </c>
      <c r="V511" s="10">
        <f t="shared" si="142"/>
        <v>0</v>
      </c>
    </row>
    <row r="512" spans="1:22" x14ac:dyDescent="0.2">
      <c r="A512" s="32">
        <v>22</v>
      </c>
      <c r="B512" s="33">
        <v>0.125</v>
      </c>
      <c r="C512" s="32">
        <f>'0700z'!E31</f>
        <v>5</v>
      </c>
      <c r="D512" s="32">
        <f>'0700z'!F31</f>
        <v>12</v>
      </c>
      <c r="E512" s="32">
        <f t="shared" si="143"/>
        <v>50</v>
      </c>
      <c r="F512" s="10">
        <f t="shared" si="144"/>
        <v>0</v>
      </c>
      <c r="G512" s="10">
        <f t="shared" si="145"/>
        <v>0</v>
      </c>
      <c r="H512" s="10">
        <f t="shared" si="128"/>
        <v>1</v>
      </c>
      <c r="I512" s="10">
        <f t="shared" si="129"/>
        <v>0</v>
      </c>
      <c r="J512" s="10">
        <f t="shared" si="130"/>
        <v>0</v>
      </c>
      <c r="K512" s="10">
        <f t="shared" si="131"/>
        <v>0</v>
      </c>
      <c r="L512" s="10">
        <f t="shared" si="132"/>
        <v>0</v>
      </c>
      <c r="M512" s="10">
        <f t="shared" si="133"/>
        <v>0</v>
      </c>
      <c r="N512" s="10">
        <f t="shared" si="134"/>
        <v>0</v>
      </c>
      <c r="O512" s="10">
        <f t="shared" si="135"/>
        <v>0</v>
      </c>
      <c r="P512" s="10">
        <f t="shared" si="136"/>
        <v>0</v>
      </c>
      <c r="Q512" s="10">
        <f t="shared" si="137"/>
        <v>0</v>
      </c>
      <c r="R512" s="10">
        <f t="shared" si="138"/>
        <v>0</v>
      </c>
      <c r="S512" s="10">
        <f t="shared" si="139"/>
        <v>0</v>
      </c>
      <c r="T512" s="10">
        <f t="shared" si="140"/>
        <v>0</v>
      </c>
      <c r="U512" s="10">
        <f t="shared" si="141"/>
        <v>0</v>
      </c>
      <c r="V512" s="10">
        <f t="shared" si="142"/>
        <v>0</v>
      </c>
    </row>
    <row r="513" spans="1:22" x14ac:dyDescent="0.2">
      <c r="A513" s="32">
        <v>22</v>
      </c>
      <c r="B513" s="33">
        <v>0.16666666666666699</v>
      </c>
      <c r="C513" s="32">
        <f>'0800z'!E31</f>
        <v>6</v>
      </c>
      <c r="D513" s="32">
        <f>'0800z'!F31</f>
        <v>7</v>
      </c>
      <c r="E513" s="32">
        <f t="shared" si="143"/>
        <v>60</v>
      </c>
      <c r="F513" s="10">
        <f t="shared" si="144"/>
        <v>0</v>
      </c>
      <c r="G513" s="10">
        <f t="shared" si="145"/>
        <v>0</v>
      </c>
      <c r="H513" s="10">
        <f t="shared" si="128"/>
        <v>0</v>
      </c>
      <c r="I513" s="10">
        <f t="shared" si="129"/>
        <v>1</v>
      </c>
      <c r="J513" s="10">
        <f t="shared" si="130"/>
        <v>0</v>
      </c>
      <c r="K513" s="10">
        <f t="shared" si="131"/>
        <v>0</v>
      </c>
      <c r="L513" s="10">
        <f t="shared" si="132"/>
        <v>0</v>
      </c>
      <c r="M513" s="10">
        <f t="shared" si="133"/>
        <v>0</v>
      </c>
      <c r="N513" s="10">
        <f t="shared" si="134"/>
        <v>0</v>
      </c>
      <c r="O513" s="10">
        <f t="shared" si="135"/>
        <v>0</v>
      </c>
      <c r="P513" s="10">
        <f t="shared" si="136"/>
        <v>0</v>
      </c>
      <c r="Q513" s="10">
        <f t="shared" si="137"/>
        <v>0</v>
      </c>
      <c r="R513" s="10">
        <f t="shared" si="138"/>
        <v>0</v>
      </c>
      <c r="S513" s="10">
        <f t="shared" si="139"/>
        <v>0</v>
      </c>
      <c r="T513" s="10">
        <f t="shared" si="140"/>
        <v>0</v>
      </c>
      <c r="U513" s="10">
        <f t="shared" si="141"/>
        <v>0</v>
      </c>
      <c r="V513" s="10">
        <f t="shared" si="142"/>
        <v>0</v>
      </c>
    </row>
    <row r="514" spans="1:22" x14ac:dyDescent="0.2">
      <c r="A514" s="32">
        <v>22</v>
      </c>
      <c r="B514" s="33">
        <v>0.20833333333333301</v>
      </c>
      <c r="C514" s="32">
        <f>'0900z'!E31</f>
        <v>7</v>
      </c>
      <c r="D514" s="32">
        <f>'0900z'!F31</f>
        <v>6</v>
      </c>
      <c r="E514" s="32">
        <f t="shared" si="143"/>
        <v>70</v>
      </c>
      <c r="F514" s="10">
        <f t="shared" si="144"/>
        <v>0</v>
      </c>
      <c r="G514" s="10">
        <f t="shared" si="145"/>
        <v>0</v>
      </c>
      <c r="H514" s="10">
        <f t="shared" si="128"/>
        <v>0</v>
      </c>
      <c r="I514" s="10">
        <f t="shared" si="129"/>
        <v>1</v>
      </c>
      <c r="J514" s="10">
        <f t="shared" si="130"/>
        <v>0</v>
      </c>
      <c r="K514" s="10">
        <f t="shared" si="131"/>
        <v>0</v>
      </c>
      <c r="L514" s="10">
        <f t="shared" si="132"/>
        <v>0</v>
      </c>
      <c r="M514" s="10">
        <f t="shared" si="133"/>
        <v>0</v>
      </c>
      <c r="N514" s="10">
        <f t="shared" si="134"/>
        <v>0</v>
      </c>
      <c r="O514" s="10">
        <f t="shared" si="135"/>
        <v>0</v>
      </c>
      <c r="P514" s="10">
        <f t="shared" si="136"/>
        <v>0</v>
      </c>
      <c r="Q514" s="10">
        <f t="shared" si="137"/>
        <v>0</v>
      </c>
      <c r="R514" s="10">
        <f t="shared" si="138"/>
        <v>0</v>
      </c>
      <c r="S514" s="10">
        <f t="shared" si="139"/>
        <v>0</v>
      </c>
      <c r="T514" s="10">
        <f t="shared" si="140"/>
        <v>0</v>
      </c>
      <c r="U514" s="10">
        <f t="shared" si="141"/>
        <v>0</v>
      </c>
      <c r="V514" s="10">
        <f t="shared" si="142"/>
        <v>0</v>
      </c>
    </row>
    <row r="515" spans="1:22" x14ac:dyDescent="0.2">
      <c r="A515" s="32">
        <v>22</v>
      </c>
      <c r="B515" s="33">
        <v>0.25</v>
      </c>
      <c r="C515" s="32">
        <f>'1000z'!E31</f>
        <v>7</v>
      </c>
      <c r="D515" s="32">
        <f>'1000z'!F31</f>
        <v>11</v>
      </c>
      <c r="E515" s="32">
        <f t="shared" si="143"/>
        <v>70</v>
      </c>
      <c r="F515" s="10">
        <f t="shared" si="144"/>
        <v>0</v>
      </c>
      <c r="G515" s="10">
        <f t="shared" si="145"/>
        <v>0</v>
      </c>
      <c r="H515" s="10">
        <f t="shared" si="128"/>
        <v>0</v>
      </c>
      <c r="I515" s="10">
        <f t="shared" si="129"/>
        <v>1</v>
      </c>
      <c r="J515" s="10">
        <f t="shared" si="130"/>
        <v>0</v>
      </c>
      <c r="K515" s="10">
        <f t="shared" si="131"/>
        <v>0</v>
      </c>
      <c r="L515" s="10">
        <f t="shared" si="132"/>
        <v>0</v>
      </c>
      <c r="M515" s="10">
        <f t="shared" si="133"/>
        <v>0</v>
      </c>
      <c r="N515" s="10">
        <f t="shared" si="134"/>
        <v>0</v>
      </c>
      <c r="O515" s="10">
        <f t="shared" si="135"/>
        <v>0</v>
      </c>
      <c r="P515" s="10">
        <f t="shared" si="136"/>
        <v>0</v>
      </c>
      <c r="Q515" s="10">
        <f t="shared" si="137"/>
        <v>0</v>
      </c>
      <c r="R515" s="10">
        <f t="shared" si="138"/>
        <v>0</v>
      </c>
      <c r="S515" s="10">
        <f t="shared" si="139"/>
        <v>0</v>
      </c>
      <c r="T515" s="10">
        <f t="shared" si="140"/>
        <v>0</v>
      </c>
      <c r="U515" s="10">
        <f t="shared" si="141"/>
        <v>0</v>
      </c>
      <c r="V515" s="10">
        <f t="shared" si="142"/>
        <v>0</v>
      </c>
    </row>
    <row r="516" spans="1:22" x14ac:dyDescent="0.2">
      <c r="A516" s="32">
        <v>22</v>
      </c>
      <c r="B516" s="33">
        <v>0.29166666666666702</v>
      </c>
      <c r="C516" s="32">
        <f>'1100z'!E31</f>
        <v>9</v>
      </c>
      <c r="D516" s="32">
        <f>'1100z'!F31</f>
        <v>12</v>
      </c>
      <c r="E516" s="32">
        <f t="shared" si="143"/>
        <v>90</v>
      </c>
      <c r="F516" s="10">
        <f t="shared" si="144"/>
        <v>0</v>
      </c>
      <c r="G516" s="10">
        <f t="shared" si="145"/>
        <v>0</v>
      </c>
      <c r="H516" s="10">
        <f t="shared" si="128"/>
        <v>0</v>
      </c>
      <c r="I516" s="10">
        <f t="shared" si="129"/>
        <v>0</v>
      </c>
      <c r="J516" s="10">
        <f t="shared" si="130"/>
        <v>1</v>
      </c>
      <c r="K516" s="10">
        <f t="shared" si="131"/>
        <v>0</v>
      </c>
      <c r="L516" s="10">
        <f t="shared" si="132"/>
        <v>0</v>
      </c>
      <c r="M516" s="10">
        <f t="shared" si="133"/>
        <v>0</v>
      </c>
      <c r="N516" s="10">
        <f t="shared" si="134"/>
        <v>0</v>
      </c>
      <c r="O516" s="10">
        <f t="shared" si="135"/>
        <v>0</v>
      </c>
      <c r="P516" s="10">
        <f t="shared" si="136"/>
        <v>0</v>
      </c>
      <c r="Q516" s="10">
        <f t="shared" si="137"/>
        <v>0</v>
      </c>
      <c r="R516" s="10">
        <f t="shared" si="138"/>
        <v>0</v>
      </c>
      <c r="S516" s="10">
        <f t="shared" si="139"/>
        <v>0</v>
      </c>
      <c r="T516" s="10">
        <f t="shared" si="140"/>
        <v>0</v>
      </c>
      <c r="U516" s="10">
        <f t="shared" si="141"/>
        <v>0</v>
      </c>
      <c r="V516" s="10">
        <f t="shared" si="142"/>
        <v>0</v>
      </c>
    </row>
    <row r="517" spans="1:22" x14ac:dyDescent="0.2">
      <c r="A517" s="32">
        <v>22</v>
      </c>
      <c r="B517" s="33">
        <v>0.33333333333333298</v>
      </c>
      <c r="C517" s="32">
        <f>'1200z'!E31</f>
        <v>9</v>
      </c>
      <c r="D517" s="32">
        <f>'1200z'!F31</f>
        <v>13</v>
      </c>
      <c r="E517" s="32">
        <f t="shared" si="143"/>
        <v>90</v>
      </c>
      <c r="F517" s="10">
        <f t="shared" si="144"/>
        <v>0</v>
      </c>
      <c r="G517" s="10">
        <f t="shared" si="145"/>
        <v>0</v>
      </c>
      <c r="H517" s="10">
        <f t="shared" si="128"/>
        <v>0</v>
      </c>
      <c r="I517" s="10">
        <f t="shared" si="129"/>
        <v>0</v>
      </c>
      <c r="J517" s="10">
        <f t="shared" si="130"/>
        <v>1</v>
      </c>
      <c r="K517" s="10">
        <f t="shared" si="131"/>
        <v>0</v>
      </c>
      <c r="L517" s="10">
        <f t="shared" si="132"/>
        <v>0</v>
      </c>
      <c r="M517" s="10">
        <f t="shared" si="133"/>
        <v>0</v>
      </c>
      <c r="N517" s="10">
        <f t="shared" si="134"/>
        <v>0</v>
      </c>
      <c r="O517" s="10">
        <f t="shared" si="135"/>
        <v>0</v>
      </c>
      <c r="P517" s="10">
        <f t="shared" si="136"/>
        <v>0</v>
      </c>
      <c r="Q517" s="10">
        <f t="shared" si="137"/>
        <v>0</v>
      </c>
      <c r="R517" s="10">
        <f t="shared" si="138"/>
        <v>0</v>
      </c>
      <c r="S517" s="10">
        <f t="shared" si="139"/>
        <v>0</v>
      </c>
      <c r="T517" s="10">
        <f t="shared" si="140"/>
        <v>0</v>
      </c>
      <c r="U517" s="10">
        <f t="shared" si="141"/>
        <v>0</v>
      </c>
      <c r="V517" s="10">
        <f t="shared" si="142"/>
        <v>0</v>
      </c>
    </row>
    <row r="518" spans="1:22" x14ac:dyDescent="0.2">
      <c r="A518" s="32">
        <v>22</v>
      </c>
      <c r="B518" s="33">
        <v>0.375</v>
      </c>
      <c r="C518" s="32">
        <f>'1300z'!E31</f>
        <v>8</v>
      </c>
      <c r="D518" s="32">
        <f>'1300z'!F31</f>
        <v>8</v>
      </c>
      <c r="E518" s="32">
        <f t="shared" si="143"/>
        <v>80</v>
      </c>
      <c r="F518" s="10">
        <f t="shared" si="144"/>
        <v>0</v>
      </c>
      <c r="G518" s="10">
        <f t="shared" si="145"/>
        <v>0</v>
      </c>
      <c r="H518" s="10">
        <f t="shared" ref="H518:H581" si="146">IF(E518&gt;33.75,IF(E518&lt;=56.25,1,0),0)</f>
        <v>0</v>
      </c>
      <c r="I518" s="10">
        <f t="shared" ref="I518:I581" si="147">IF(E518&gt;56.25,IF(E518&lt;=78.75,1,0),0)</f>
        <v>0</v>
      </c>
      <c r="J518" s="10">
        <f t="shared" ref="J518:J581" si="148">IF(E518&gt;78.75,IF(E518&lt;=101.25,1,0),0)</f>
        <v>1</v>
      </c>
      <c r="K518" s="10">
        <f t="shared" ref="K518:K581" si="149">IF(E518&gt;101.25,IF(E518&lt;=123.75,1,0),0)</f>
        <v>0</v>
      </c>
      <c r="L518" s="10">
        <f t="shared" ref="L518:L581" si="150">IF(E518&gt;123.75,IF(E518&lt;=146.25,1,0),0)</f>
        <v>0</v>
      </c>
      <c r="M518" s="10">
        <f t="shared" ref="M518:M581" si="151">IF(E518&gt;146.25,IF(E518&lt;=168.75,1,0),0)</f>
        <v>0</v>
      </c>
      <c r="N518" s="10">
        <f t="shared" ref="N518:N581" si="152">IF(E518&gt;168.75,IF(E518&lt;=191.25,1,0),0)</f>
        <v>0</v>
      </c>
      <c r="O518" s="10">
        <f t="shared" ref="O518:O581" si="153">IF(E518&gt;191.25,IF(E518&lt;=213.75,1,0),0)</f>
        <v>0</v>
      </c>
      <c r="P518" s="10">
        <f t="shared" ref="P518:P581" si="154">IF(E518&gt;213.75,IF(E518&lt;=236.25,1,0),0)</f>
        <v>0</v>
      </c>
      <c r="Q518" s="10">
        <f t="shared" ref="Q518:Q581" si="155">IF(E518&gt;236.25,IF(E518&lt;=258.75,1,0),0)</f>
        <v>0</v>
      </c>
      <c r="R518" s="10">
        <f t="shared" ref="R518:R581" si="156">IF(E518&gt;258.75,IF(E518&lt;=281.25,1,0),0)</f>
        <v>0</v>
      </c>
      <c r="S518" s="10">
        <f t="shared" ref="S518:S581" si="157">IF(E518&gt;281.25,IF(E518&lt;=303.75,1,0),0)</f>
        <v>0</v>
      </c>
      <c r="T518" s="10">
        <f t="shared" ref="T518:T581" si="158">IF(E518&gt;303.75,IF(E518&lt;=326.25,1,0),0)</f>
        <v>0</v>
      </c>
      <c r="U518" s="10">
        <f t="shared" ref="U518:U581" si="159">IF(E518&gt;326.25,IF(E518&lt;=348.75,1,0),0)</f>
        <v>0</v>
      </c>
      <c r="V518" s="10">
        <f t="shared" ref="V518:V581" si="160">IF(E518&gt;348.75,IF(E518&lt;=360,1,0),0)</f>
        <v>0</v>
      </c>
    </row>
    <row r="519" spans="1:22" x14ac:dyDescent="0.2">
      <c r="A519" s="32">
        <v>22</v>
      </c>
      <c r="B519" s="33">
        <v>0.41666666666666702</v>
      </c>
      <c r="C519" s="32">
        <f>'1400z'!E31</f>
        <v>9</v>
      </c>
      <c r="D519" s="32">
        <f>'1400z'!F31</f>
        <v>14</v>
      </c>
      <c r="E519" s="32">
        <f t="shared" ref="E519:E582" si="161">(C519*10)</f>
        <v>90</v>
      </c>
      <c r="F519" s="10">
        <f t="shared" ref="F519:F582" si="162">IF(E519&gt;0,IF(E519&lt;=11.25,1,0),0)</f>
        <v>0</v>
      </c>
      <c r="G519" s="10">
        <f t="shared" ref="G519:G582" si="163">IF(E519&gt;11.25,IF(E519&lt;=33.75,1,0),0)</f>
        <v>0</v>
      </c>
      <c r="H519" s="10">
        <f t="shared" si="146"/>
        <v>0</v>
      </c>
      <c r="I519" s="10">
        <f t="shared" si="147"/>
        <v>0</v>
      </c>
      <c r="J519" s="10">
        <f t="shared" si="148"/>
        <v>1</v>
      </c>
      <c r="K519" s="10">
        <f t="shared" si="149"/>
        <v>0</v>
      </c>
      <c r="L519" s="10">
        <f t="shared" si="150"/>
        <v>0</v>
      </c>
      <c r="M519" s="10">
        <f t="shared" si="151"/>
        <v>0</v>
      </c>
      <c r="N519" s="10">
        <f t="shared" si="152"/>
        <v>0</v>
      </c>
      <c r="O519" s="10">
        <f t="shared" si="153"/>
        <v>0</v>
      </c>
      <c r="P519" s="10">
        <f t="shared" si="154"/>
        <v>0</v>
      </c>
      <c r="Q519" s="10">
        <f t="shared" si="155"/>
        <v>0</v>
      </c>
      <c r="R519" s="10">
        <f t="shared" si="156"/>
        <v>0</v>
      </c>
      <c r="S519" s="10">
        <f t="shared" si="157"/>
        <v>0</v>
      </c>
      <c r="T519" s="10">
        <f t="shared" si="158"/>
        <v>0</v>
      </c>
      <c r="U519" s="10">
        <f t="shared" si="159"/>
        <v>0</v>
      </c>
      <c r="V519" s="10">
        <f t="shared" si="160"/>
        <v>0</v>
      </c>
    </row>
    <row r="520" spans="1:22" x14ac:dyDescent="0.2">
      <c r="A520" s="32">
        <v>22</v>
      </c>
      <c r="B520" s="33">
        <v>0.45833333333333298</v>
      </c>
      <c r="C520" s="32">
        <f>'1500z'!E31</f>
        <v>12</v>
      </c>
      <c r="D520" s="32">
        <f>'1500z'!F31</f>
        <v>13</v>
      </c>
      <c r="E520" s="32">
        <f t="shared" si="161"/>
        <v>120</v>
      </c>
      <c r="F520" s="10">
        <f t="shared" si="162"/>
        <v>0</v>
      </c>
      <c r="G520" s="10">
        <f t="shared" si="163"/>
        <v>0</v>
      </c>
      <c r="H520" s="10">
        <f t="shared" si="146"/>
        <v>0</v>
      </c>
      <c r="I520" s="10">
        <f t="shared" si="147"/>
        <v>0</v>
      </c>
      <c r="J520" s="10">
        <f t="shared" si="148"/>
        <v>0</v>
      </c>
      <c r="K520" s="10">
        <f t="shared" si="149"/>
        <v>1</v>
      </c>
      <c r="L520" s="10">
        <f t="shared" si="150"/>
        <v>0</v>
      </c>
      <c r="M520" s="10">
        <f t="shared" si="151"/>
        <v>0</v>
      </c>
      <c r="N520" s="10">
        <f t="shared" si="152"/>
        <v>0</v>
      </c>
      <c r="O520" s="10">
        <f t="shared" si="153"/>
        <v>0</v>
      </c>
      <c r="P520" s="10">
        <f t="shared" si="154"/>
        <v>0</v>
      </c>
      <c r="Q520" s="10">
        <f t="shared" si="155"/>
        <v>0</v>
      </c>
      <c r="R520" s="10">
        <f t="shared" si="156"/>
        <v>0</v>
      </c>
      <c r="S520" s="10">
        <f t="shared" si="157"/>
        <v>0</v>
      </c>
      <c r="T520" s="10">
        <f t="shared" si="158"/>
        <v>0</v>
      </c>
      <c r="U520" s="10">
        <f t="shared" si="159"/>
        <v>0</v>
      </c>
      <c r="V520" s="10">
        <f t="shared" si="160"/>
        <v>0</v>
      </c>
    </row>
    <row r="521" spans="1:22" x14ac:dyDescent="0.2">
      <c r="A521" s="32">
        <v>22</v>
      </c>
      <c r="B521" s="33">
        <v>0.5</v>
      </c>
      <c r="C521" s="32">
        <f>'1600z'!E31</f>
        <v>9</v>
      </c>
      <c r="D521" s="32">
        <f>'1600z'!F31</f>
        <v>16</v>
      </c>
      <c r="E521" s="32">
        <f t="shared" si="161"/>
        <v>90</v>
      </c>
      <c r="F521" s="10">
        <f t="shared" si="162"/>
        <v>0</v>
      </c>
      <c r="G521" s="10">
        <f t="shared" si="163"/>
        <v>0</v>
      </c>
      <c r="H521" s="10">
        <f t="shared" si="146"/>
        <v>0</v>
      </c>
      <c r="I521" s="10">
        <f t="shared" si="147"/>
        <v>0</v>
      </c>
      <c r="J521" s="10">
        <f t="shared" si="148"/>
        <v>1</v>
      </c>
      <c r="K521" s="10">
        <f t="shared" si="149"/>
        <v>0</v>
      </c>
      <c r="L521" s="10">
        <f t="shared" si="150"/>
        <v>0</v>
      </c>
      <c r="M521" s="10">
        <f t="shared" si="151"/>
        <v>0</v>
      </c>
      <c r="N521" s="10">
        <f t="shared" si="152"/>
        <v>0</v>
      </c>
      <c r="O521" s="10">
        <f t="shared" si="153"/>
        <v>0</v>
      </c>
      <c r="P521" s="10">
        <f t="shared" si="154"/>
        <v>0</v>
      </c>
      <c r="Q521" s="10">
        <f t="shared" si="155"/>
        <v>0</v>
      </c>
      <c r="R521" s="10">
        <f t="shared" si="156"/>
        <v>0</v>
      </c>
      <c r="S521" s="10">
        <f t="shared" si="157"/>
        <v>0</v>
      </c>
      <c r="T521" s="10">
        <f t="shared" si="158"/>
        <v>0</v>
      </c>
      <c r="U521" s="10">
        <f t="shared" si="159"/>
        <v>0</v>
      </c>
      <c r="V521" s="10">
        <f t="shared" si="160"/>
        <v>0</v>
      </c>
    </row>
    <row r="522" spans="1:22" x14ac:dyDescent="0.2">
      <c r="A522" s="32">
        <v>22</v>
      </c>
      <c r="B522" s="33">
        <v>0.54166666666666696</v>
      </c>
      <c r="C522" s="32">
        <f>'1700z'!E31</f>
        <v>6</v>
      </c>
      <c r="D522" s="32">
        <f>'1700z'!F31</f>
        <v>12</v>
      </c>
      <c r="E522" s="32">
        <f t="shared" si="161"/>
        <v>60</v>
      </c>
      <c r="F522" s="10">
        <f t="shared" si="162"/>
        <v>0</v>
      </c>
      <c r="G522" s="10">
        <f t="shared" si="163"/>
        <v>0</v>
      </c>
      <c r="H522" s="10">
        <f t="shared" si="146"/>
        <v>0</v>
      </c>
      <c r="I522" s="10">
        <f t="shared" si="147"/>
        <v>1</v>
      </c>
      <c r="J522" s="10">
        <f t="shared" si="148"/>
        <v>0</v>
      </c>
      <c r="K522" s="10">
        <f t="shared" si="149"/>
        <v>0</v>
      </c>
      <c r="L522" s="10">
        <f t="shared" si="150"/>
        <v>0</v>
      </c>
      <c r="M522" s="10">
        <f t="shared" si="151"/>
        <v>0</v>
      </c>
      <c r="N522" s="10">
        <f t="shared" si="152"/>
        <v>0</v>
      </c>
      <c r="O522" s="10">
        <f t="shared" si="153"/>
        <v>0</v>
      </c>
      <c r="P522" s="10">
        <f t="shared" si="154"/>
        <v>0</v>
      </c>
      <c r="Q522" s="10">
        <f t="shared" si="155"/>
        <v>0</v>
      </c>
      <c r="R522" s="10">
        <f t="shared" si="156"/>
        <v>0</v>
      </c>
      <c r="S522" s="10">
        <f t="shared" si="157"/>
        <v>0</v>
      </c>
      <c r="T522" s="10">
        <f t="shared" si="158"/>
        <v>0</v>
      </c>
      <c r="U522" s="10">
        <f t="shared" si="159"/>
        <v>0</v>
      </c>
      <c r="V522" s="10">
        <f t="shared" si="160"/>
        <v>0</v>
      </c>
    </row>
    <row r="523" spans="1:22" x14ac:dyDescent="0.2">
      <c r="A523" s="32">
        <v>22</v>
      </c>
      <c r="B523" s="33">
        <v>0.58333333333333304</v>
      </c>
      <c r="C523" s="32">
        <f>'1800z'!E31</f>
        <v>8</v>
      </c>
      <c r="D523" s="32">
        <f>'1800z'!F31</f>
        <v>15</v>
      </c>
      <c r="E523" s="32">
        <f t="shared" si="161"/>
        <v>80</v>
      </c>
      <c r="F523" s="10">
        <f t="shared" si="162"/>
        <v>0</v>
      </c>
      <c r="G523" s="10">
        <f t="shared" si="163"/>
        <v>0</v>
      </c>
      <c r="H523" s="10">
        <f t="shared" si="146"/>
        <v>0</v>
      </c>
      <c r="I523" s="10">
        <f t="shared" si="147"/>
        <v>0</v>
      </c>
      <c r="J523" s="10">
        <f t="shared" si="148"/>
        <v>1</v>
      </c>
      <c r="K523" s="10">
        <f t="shared" si="149"/>
        <v>0</v>
      </c>
      <c r="L523" s="10">
        <f t="shared" si="150"/>
        <v>0</v>
      </c>
      <c r="M523" s="10">
        <f t="shared" si="151"/>
        <v>0</v>
      </c>
      <c r="N523" s="10">
        <f t="shared" si="152"/>
        <v>0</v>
      </c>
      <c r="O523" s="10">
        <f t="shared" si="153"/>
        <v>0</v>
      </c>
      <c r="P523" s="10">
        <f t="shared" si="154"/>
        <v>0</v>
      </c>
      <c r="Q523" s="10">
        <f t="shared" si="155"/>
        <v>0</v>
      </c>
      <c r="R523" s="10">
        <f t="shared" si="156"/>
        <v>0</v>
      </c>
      <c r="S523" s="10">
        <f t="shared" si="157"/>
        <v>0</v>
      </c>
      <c r="T523" s="10">
        <f t="shared" si="158"/>
        <v>0</v>
      </c>
      <c r="U523" s="10">
        <f t="shared" si="159"/>
        <v>0</v>
      </c>
      <c r="V523" s="10">
        <f t="shared" si="160"/>
        <v>0</v>
      </c>
    </row>
    <row r="524" spans="1:22" x14ac:dyDescent="0.2">
      <c r="A524" s="32">
        <v>22</v>
      </c>
      <c r="B524" s="33">
        <v>0.625</v>
      </c>
      <c r="C524" s="32">
        <f>'1900z'!E31</f>
        <v>6</v>
      </c>
      <c r="D524" s="32">
        <f>'1900z'!F31</f>
        <v>18</v>
      </c>
      <c r="E524" s="32">
        <f t="shared" si="161"/>
        <v>60</v>
      </c>
      <c r="F524" s="10">
        <f t="shared" si="162"/>
        <v>0</v>
      </c>
      <c r="G524" s="10">
        <f t="shared" si="163"/>
        <v>0</v>
      </c>
      <c r="H524" s="10">
        <f t="shared" si="146"/>
        <v>0</v>
      </c>
      <c r="I524" s="10">
        <f t="shared" si="147"/>
        <v>1</v>
      </c>
      <c r="J524" s="10">
        <f t="shared" si="148"/>
        <v>0</v>
      </c>
      <c r="K524" s="10">
        <f t="shared" si="149"/>
        <v>0</v>
      </c>
      <c r="L524" s="10">
        <f t="shared" si="150"/>
        <v>0</v>
      </c>
      <c r="M524" s="10">
        <f t="shared" si="151"/>
        <v>0</v>
      </c>
      <c r="N524" s="10">
        <f t="shared" si="152"/>
        <v>0</v>
      </c>
      <c r="O524" s="10">
        <f t="shared" si="153"/>
        <v>0</v>
      </c>
      <c r="P524" s="10">
        <f t="shared" si="154"/>
        <v>0</v>
      </c>
      <c r="Q524" s="10">
        <f t="shared" si="155"/>
        <v>0</v>
      </c>
      <c r="R524" s="10">
        <f t="shared" si="156"/>
        <v>0</v>
      </c>
      <c r="S524" s="10">
        <f t="shared" si="157"/>
        <v>0</v>
      </c>
      <c r="T524" s="10">
        <f t="shared" si="158"/>
        <v>0</v>
      </c>
      <c r="U524" s="10">
        <f t="shared" si="159"/>
        <v>0</v>
      </c>
      <c r="V524" s="10">
        <f t="shared" si="160"/>
        <v>0</v>
      </c>
    </row>
    <row r="525" spans="1:22" x14ac:dyDescent="0.2">
      <c r="A525" s="32">
        <v>22</v>
      </c>
      <c r="B525" s="33">
        <v>0.66666666666666696</v>
      </c>
      <c r="C525" s="32">
        <f>'2000z'!E31</f>
        <v>7</v>
      </c>
      <c r="D525" s="32">
        <f>'2000z'!F31</f>
        <v>16</v>
      </c>
      <c r="E525" s="32">
        <f t="shared" si="161"/>
        <v>70</v>
      </c>
      <c r="F525" s="10">
        <f t="shared" si="162"/>
        <v>0</v>
      </c>
      <c r="G525" s="10">
        <f t="shared" si="163"/>
        <v>0</v>
      </c>
      <c r="H525" s="10">
        <f t="shared" si="146"/>
        <v>0</v>
      </c>
      <c r="I525" s="10">
        <f t="shared" si="147"/>
        <v>1</v>
      </c>
      <c r="J525" s="10">
        <f t="shared" si="148"/>
        <v>0</v>
      </c>
      <c r="K525" s="10">
        <f t="shared" si="149"/>
        <v>0</v>
      </c>
      <c r="L525" s="10">
        <f t="shared" si="150"/>
        <v>0</v>
      </c>
      <c r="M525" s="10">
        <f t="shared" si="151"/>
        <v>0</v>
      </c>
      <c r="N525" s="10">
        <f t="shared" si="152"/>
        <v>0</v>
      </c>
      <c r="O525" s="10">
        <f t="shared" si="153"/>
        <v>0</v>
      </c>
      <c r="P525" s="10">
        <f t="shared" si="154"/>
        <v>0</v>
      </c>
      <c r="Q525" s="10">
        <f t="shared" si="155"/>
        <v>0</v>
      </c>
      <c r="R525" s="10">
        <f t="shared" si="156"/>
        <v>0</v>
      </c>
      <c r="S525" s="10">
        <f t="shared" si="157"/>
        <v>0</v>
      </c>
      <c r="T525" s="10">
        <f t="shared" si="158"/>
        <v>0</v>
      </c>
      <c r="U525" s="10">
        <f t="shared" si="159"/>
        <v>0</v>
      </c>
      <c r="V525" s="10">
        <f t="shared" si="160"/>
        <v>0</v>
      </c>
    </row>
    <row r="526" spans="1:22" x14ac:dyDescent="0.2">
      <c r="A526" s="32">
        <v>22</v>
      </c>
      <c r="B526" s="33">
        <v>0.70833333333333304</v>
      </c>
      <c r="C526" s="32">
        <f>'2100z'!E31</f>
        <v>7</v>
      </c>
      <c r="D526" s="32">
        <f>'2100z'!F31</f>
        <v>14</v>
      </c>
      <c r="E526" s="32">
        <f t="shared" si="161"/>
        <v>70</v>
      </c>
      <c r="F526" s="10">
        <f t="shared" si="162"/>
        <v>0</v>
      </c>
      <c r="G526" s="10">
        <f t="shared" si="163"/>
        <v>0</v>
      </c>
      <c r="H526" s="10">
        <f t="shared" si="146"/>
        <v>0</v>
      </c>
      <c r="I526" s="10">
        <f t="shared" si="147"/>
        <v>1</v>
      </c>
      <c r="J526" s="10">
        <f t="shared" si="148"/>
        <v>0</v>
      </c>
      <c r="K526" s="10">
        <f t="shared" si="149"/>
        <v>0</v>
      </c>
      <c r="L526" s="10">
        <f t="shared" si="150"/>
        <v>0</v>
      </c>
      <c r="M526" s="10">
        <f t="shared" si="151"/>
        <v>0</v>
      </c>
      <c r="N526" s="10">
        <f t="shared" si="152"/>
        <v>0</v>
      </c>
      <c r="O526" s="10">
        <f t="shared" si="153"/>
        <v>0</v>
      </c>
      <c r="P526" s="10">
        <f t="shared" si="154"/>
        <v>0</v>
      </c>
      <c r="Q526" s="10">
        <f t="shared" si="155"/>
        <v>0</v>
      </c>
      <c r="R526" s="10">
        <f t="shared" si="156"/>
        <v>0</v>
      </c>
      <c r="S526" s="10">
        <f t="shared" si="157"/>
        <v>0</v>
      </c>
      <c r="T526" s="10">
        <f t="shared" si="158"/>
        <v>0</v>
      </c>
      <c r="U526" s="10">
        <f t="shared" si="159"/>
        <v>0</v>
      </c>
      <c r="V526" s="10">
        <f t="shared" si="160"/>
        <v>0</v>
      </c>
    </row>
    <row r="527" spans="1:22" x14ac:dyDescent="0.2">
      <c r="A527" s="32">
        <v>22</v>
      </c>
      <c r="B527" s="33">
        <v>0.75</v>
      </c>
      <c r="C527" s="32">
        <f>'2200z'!E31</f>
        <v>7</v>
      </c>
      <c r="D527" s="32">
        <f>'2200z'!F31</f>
        <v>12</v>
      </c>
      <c r="E527" s="32">
        <f t="shared" si="161"/>
        <v>70</v>
      </c>
      <c r="F527" s="10">
        <f t="shared" si="162"/>
        <v>0</v>
      </c>
      <c r="G527" s="10">
        <f t="shared" si="163"/>
        <v>0</v>
      </c>
      <c r="H527" s="10">
        <f t="shared" si="146"/>
        <v>0</v>
      </c>
      <c r="I527" s="10">
        <f t="shared" si="147"/>
        <v>1</v>
      </c>
      <c r="J527" s="10">
        <f t="shared" si="148"/>
        <v>0</v>
      </c>
      <c r="K527" s="10">
        <f t="shared" si="149"/>
        <v>0</v>
      </c>
      <c r="L527" s="10">
        <f t="shared" si="150"/>
        <v>0</v>
      </c>
      <c r="M527" s="10">
        <f t="shared" si="151"/>
        <v>0</v>
      </c>
      <c r="N527" s="10">
        <f t="shared" si="152"/>
        <v>0</v>
      </c>
      <c r="O527" s="10">
        <f t="shared" si="153"/>
        <v>0</v>
      </c>
      <c r="P527" s="10">
        <f t="shared" si="154"/>
        <v>0</v>
      </c>
      <c r="Q527" s="10">
        <f t="shared" si="155"/>
        <v>0</v>
      </c>
      <c r="R527" s="10">
        <f t="shared" si="156"/>
        <v>0</v>
      </c>
      <c r="S527" s="10">
        <f t="shared" si="157"/>
        <v>0</v>
      </c>
      <c r="T527" s="10">
        <f t="shared" si="158"/>
        <v>0</v>
      </c>
      <c r="U527" s="10">
        <f t="shared" si="159"/>
        <v>0</v>
      </c>
      <c r="V527" s="10">
        <f t="shared" si="160"/>
        <v>0</v>
      </c>
    </row>
    <row r="528" spans="1:22" x14ac:dyDescent="0.2">
      <c r="A528" s="32">
        <v>22</v>
      </c>
      <c r="B528" s="33">
        <v>0.79166666666666696</v>
      </c>
      <c r="C528" s="32">
        <f>'2300z'!E31</f>
        <v>6</v>
      </c>
      <c r="D528" s="32">
        <f>'2300z'!F31</f>
        <v>4</v>
      </c>
      <c r="E528" s="32">
        <f t="shared" si="161"/>
        <v>60</v>
      </c>
      <c r="F528" s="10">
        <f t="shared" si="162"/>
        <v>0</v>
      </c>
      <c r="G528" s="10">
        <f t="shared" si="163"/>
        <v>0</v>
      </c>
      <c r="H528" s="10">
        <f t="shared" si="146"/>
        <v>0</v>
      </c>
      <c r="I528" s="10">
        <f t="shared" si="147"/>
        <v>1</v>
      </c>
      <c r="J528" s="10">
        <f t="shared" si="148"/>
        <v>0</v>
      </c>
      <c r="K528" s="10">
        <f t="shared" si="149"/>
        <v>0</v>
      </c>
      <c r="L528" s="10">
        <f t="shared" si="150"/>
        <v>0</v>
      </c>
      <c r="M528" s="10">
        <f t="shared" si="151"/>
        <v>0</v>
      </c>
      <c r="N528" s="10">
        <f t="shared" si="152"/>
        <v>0</v>
      </c>
      <c r="O528" s="10">
        <f t="shared" si="153"/>
        <v>0</v>
      </c>
      <c r="P528" s="10">
        <f t="shared" si="154"/>
        <v>0</v>
      </c>
      <c r="Q528" s="10">
        <f t="shared" si="155"/>
        <v>0</v>
      </c>
      <c r="R528" s="10">
        <f t="shared" si="156"/>
        <v>0</v>
      </c>
      <c r="S528" s="10">
        <f t="shared" si="157"/>
        <v>0</v>
      </c>
      <c r="T528" s="10">
        <f t="shared" si="158"/>
        <v>0</v>
      </c>
      <c r="U528" s="10">
        <f t="shared" si="159"/>
        <v>0</v>
      </c>
      <c r="V528" s="10">
        <f t="shared" si="160"/>
        <v>0</v>
      </c>
    </row>
    <row r="529" spans="1:22" x14ac:dyDescent="0.2">
      <c r="A529" s="32">
        <v>22</v>
      </c>
      <c r="B529" s="33">
        <v>0.83333333333333304</v>
      </c>
      <c r="C529" s="32">
        <f>'0000z'!E31</f>
        <v>6</v>
      </c>
      <c r="D529" s="32">
        <f>'0000z'!F31</f>
        <v>5</v>
      </c>
      <c r="E529" s="32">
        <f t="shared" si="161"/>
        <v>60</v>
      </c>
      <c r="F529" s="10">
        <f t="shared" si="162"/>
        <v>0</v>
      </c>
      <c r="G529" s="10">
        <f t="shared" si="163"/>
        <v>0</v>
      </c>
      <c r="H529" s="10">
        <f t="shared" si="146"/>
        <v>0</v>
      </c>
      <c r="I529" s="10">
        <f t="shared" si="147"/>
        <v>1</v>
      </c>
      <c r="J529" s="10">
        <f t="shared" si="148"/>
        <v>0</v>
      </c>
      <c r="K529" s="10">
        <f t="shared" si="149"/>
        <v>0</v>
      </c>
      <c r="L529" s="10">
        <f t="shared" si="150"/>
        <v>0</v>
      </c>
      <c r="M529" s="10">
        <f t="shared" si="151"/>
        <v>0</v>
      </c>
      <c r="N529" s="10">
        <f t="shared" si="152"/>
        <v>0</v>
      </c>
      <c r="O529" s="10">
        <f t="shared" si="153"/>
        <v>0</v>
      </c>
      <c r="P529" s="10">
        <f t="shared" si="154"/>
        <v>0</v>
      </c>
      <c r="Q529" s="10">
        <f t="shared" si="155"/>
        <v>0</v>
      </c>
      <c r="R529" s="10">
        <f t="shared" si="156"/>
        <v>0</v>
      </c>
      <c r="S529" s="10">
        <f t="shared" si="157"/>
        <v>0</v>
      </c>
      <c r="T529" s="10">
        <f t="shared" si="158"/>
        <v>0</v>
      </c>
      <c r="U529" s="10">
        <f t="shared" si="159"/>
        <v>0</v>
      </c>
      <c r="V529" s="10">
        <f t="shared" si="160"/>
        <v>0</v>
      </c>
    </row>
    <row r="530" spans="1:22" x14ac:dyDescent="0.2">
      <c r="A530" s="32">
        <v>22</v>
      </c>
      <c r="B530" s="33">
        <v>0.875</v>
      </c>
      <c r="C530" s="32">
        <f>'0100z'!E31</f>
        <v>7</v>
      </c>
      <c r="D530" s="32">
        <f>'0100z'!F31</f>
        <v>7</v>
      </c>
      <c r="E530" s="32">
        <f t="shared" si="161"/>
        <v>70</v>
      </c>
      <c r="F530" s="10">
        <f t="shared" si="162"/>
        <v>0</v>
      </c>
      <c r="G530" s="10">
        <f t="shared" si="163"/>
        <v>0</v>
      </c>
      <c r="H530" s="10">
        <f t="shared" si="146"/>
        <v>0</v>
      </c>
      <c r="I530" s="10">
        <f t="shared" si="147"/>
        <v>1</v>
      </c>
      <c r="J530" s="10">
        <f t="shared" si="148"/>
        <v>0</v>
      </c>
      <c r="K530" s="10">
        <f t="shared" si="149"/>
        <v>0</v>
      </c>
      <c r="L530" s="10">
        <f t="shared" si="150"/>
        <v>0</v>
      </c>
      <c r="M530" s="10">
        <f t="shared" si="151"/>
        <v>0</v>
      </c>
      <c r="N530" s="10">
        <f t="shared" si="152"/>
        <v>0</v>
      </c>
      <c r="O530" s="10">
        <f t="shared" si="153"/>
        <v>0</v>
      </c>
      <c r="P530" s="10">
        <f t="shared" si="154"/>
        <v>0</v>
      </c>
      <c r="Q530" s="10">
        <f t="shared" si="155"/>
        <v>0</v>
      </c>
      <c r="R530" s="10">
        <f t="shared" si="156"/>
        <v>0</v>
      </c>
      <c r="S530" s="10">
        <f t="shared" si="157"/>
        <v>0</v>
      </c>
      <c r="T530" s="10">
        <f t="shared" si="158"/>
        <v>0</v>
      </c>
      <c r="U530" s="10">
        <f t="shared" si="159"/>
        <v>0</v>
      </c>
      <c r="V530" s="10">
        <f t="shared" si="160"/>
        <v>0</v>
      </c>
    </row>
    <row r="531" spans="1:22" x14ac:dyDescent="0.2">
      <c r="A531" s="32">
        <v>22</v>
      </c>
      <c r="B531" s="33">
        <v>0.91666666666666696</v>
      </c>
      <c r="C531" s="32">
        <f>'0200z'!E31</f>
        <v>6</v>
      </c>
      <c r="D531" s="32">
        <f>'0200z'!F31</f>
        <v>7</v>
      </c>
      <c r="E531" s="32">
        <f t="shared" si="161"/>
        <v>60</v>
      </c>
      <c r="F531" s="10">
        <f t="shared" si="162"/>
        <v>0</v>
      </c>
      <c r="G531" s="10">
        <f t="shared" si="163"/>
        <v>0</v>
      </c>
      <c r="H531" s="10">
        <f t="shared" si="146"/>
        <v>0</v>
      </c>
      <c r="I531" s="10">
        <f t="shared" si="147"/>
        <v>1</v>
      </c>
      <c r="J531" s="10">
        <f t="shared" si="148"/>
        <v>0</v>
      </c>
      <c r="K531" s="10">
        <f t="shared" si="149"/>
        <v>0</v>
      </c>
      <c r="L531" s="10">
        <f t="shared" si="150"/>
        <v>0</v>
      </c>
      <c r="M531" s="10">
        <f t="shared" si="151"/>
        <v>0</v>
      </c>
      <c r="N531" s="10">
        <f t="shared" si="152"/>
        <v>0</v>
      </c>
      <c r="O531" s="10">
        <f t="shared" si="153"/>
        <v>0</v>
      </c>
      <c r="P531" s="10">
        <f t="shared" si="154"/>
        <v>0</v>
      </c>
      <c r="Q531" s="10">
        <f t="shared" si="155"/>
        <v>0</v>
      </c>
      <c r="R531" s="10">
        <f t="shared" si="156"/>
        <v>0</v>
      </c>
      <c r="S531" s="10">
        <f t="shared" si="157"/>
        <v>0</v>
      </c>
      <c r="T531" s="10">
        <f t="shared" si="158"/>
        <v>0</v>
      </c>
      <c r="U531" s="10">
        <f t="shared" si="159"/>
        <v>0</v>
      </c>
      <c r="V531" s="10">
        <f t="shared" si="160"/>
        <v>0</v>
      </c>
    </row>
    <row r="532" spans="1:22" x14ac:dyDescent="0.2">
      <c r="A532" s="32">
        <v>22</v>
      </c>
      <c r="B532" s="33">
        <v>0.95833333333333304</v>
      </c>
      <c r="C532" s="32">
        <f>'0300z'!E31</f>
        <v>3</v>
      </c>
      <c r="D532" s="32">
        <f>'0300z'!F31</f>
        <v>10</v>
      </c>
      <c r="E532" s="32">
        <f t="shared" si="161"/>
        <v>30</v>
      </c>
      <c r="F532" s="10">
        <f t="shared" si="162"/>
        <v>0</v>
      </c>
      <c r="G532" s="10">
        <f t="shared" si="163"/>
        <v>1</v>
      </c>
      <c r="H532" s="10">
        <f t="shared" si="146"/>
        <v>0</v>
      </c>
      <c r="I532" s="10">
        <f t="shared" si="147"/>
        <v>0</v>
      </c>
      <c r="J532" s="10">
        <f t="shared" si="148"/>
        <v>0</v>
      </c>
      <c r="K532" s="10">
        <f t="shared" si="149"/>
        <v>0</v>
      </c>
      <c r="L532" s="10">
        <f t="shared" si="150"/>
        <v>0</v>
      </c>
      <c r="M532" s="10">
        <f t="shared" si="151"/>
        <v>0</v>
      </c>
      <c r="N532" s="10">
        <f t="shared" si="152"/>
        <v>0</v>
      </c>
      <c r="O532" s="10">
        <f t="shared" si="153"/>
        <v>0</v>
      </c>
      <c r="P532" s="10">
        <f t="shared" si="154"/>
        <v>0</v>
      </c>
      <c r="Q532" s="10">
        <f t="shared" si="155"/>
        <v>0</v>
      </c>
      <c r="R532" s="10">
        <f t="shared" si="156"/>
        <v>0</v>
      </c>
      <c r="S532" s="10">
        <f t="shared" si="157"/>
        <v>0</v>
      </c>
      <c r="T532" s="10">
        <f t="shared" si="158"/>
        <v>0</v>
      </c>
      <c r="U532" s="10">
        <f t="shared" si="159"/>
        <v>0</v>
      </c>
      <c r="V532" s="10">
        <f t="shared" si="160"/>
        <v>0</v>
      </c>
    </row>
    <row r="533" spans="1:22" x14ac:dyDescent="0.2">
      <c r="A533" s="32">
        <v>23</v>
      </c>
      <c r="B533" s="33">
        <v>0</v>
      </c>
      <c r="C533" s="32">
        <f>'0400z'!E32</f>
        <v>6</v>
      </c>
      <c r="D533" s="32">
        <f>'0400z'!F32</f>
        <v>10</v>
      </c>
      <c r="E533" s="32">
        <f t="shared" si="161"/>
        <v>60</v>
      </c>
      <c r="F533" s="10">
        <f t="shared" si="162"/>
        <v>0</v>
      </c>
      <c r="G533" s="10">
        <f t="shared" si="163"/>
        <v>0</v>
      </c>
      <c r="H533" s="10">
        <f t="shared" si="146"/>
        <v>0</v>
      </c>
      <c r="I533" s="10">
        <f t="shared" si="147"/>
        <v>1</v>
      </c>
      <c r="J533" s="10">
        <f t="shared" si="148"/>
        <v>0</v>
      </c>
      <c r="K533" s="10">
        <f t="shared" si="149"/>
        <v>0</v>
      </c>
      <c r="L533" s="10">
        <f t="shared" si="150"/>
        <v>0</v>
      </c>
      <c r="M533" s="10">
        <f t="shared" si="151"/>
        <v>0</v>
      </c>
      <c r="N533" s="10">
        <f t="shared" si="152"/>
        <v>0</v>
      </c>
      <c r="O533" s="10">
        <f t="shared" si="153"/>
        <v>0</v>
      </c>
      <c r="P533" s="10">
        <f t="shared" si="154"/>
        <v>0</v>
      </c>
      <c r="Q533" s="10">
        <f t="shared" si="155"/>
        <v>0</v>
      </c>
      <c r="R533" s="10">
        <f t="shared" si="156"/>
        <v>0</v>
      </c>
      <c r="S533" s="10">
        <f t="shared" si="157"/>
        <v>0</v>
      </c>
      <c r="T533" s="10">
        <f t="shared" si="158"/>
        <v>0</v>
      </c>
      <c r="U533" s="10">
        <f t="shared" si="159"/>
        <v>0</v>
      </c>
      <c r="V533" s="10">
        <f t="shared" si="160"/>
        <v>0</v>
      </c>
    </row>
    <row r="534" spans="1:22" x14ac:dyDescent="0.2">
      <c r="A534" s="32">
        <v>23</v>
      </c>
      <c r="B534" s="33">
        <v>4.1666666666666664E-2</v>
      </c>
      <c r="C534" s="32">
        <f>'0500z'!E32</f>
        <v>7</v>
      </c>
      <c r="D534" s="32">
        <f>'0500z'!F32</f>
        <v>10</v>
      </c>
      <c r="E534" s="32">
        <f t="shared" si="161"/>
        <v>70</v>
      </c>
      <c r="F534" s="10">
        <f t="shared" si="162"/>
        <v>0</v>
      </c>
      <c r="G534" s="10">
        <f t="shared" si="163"/>
        <v>0</v>
      </c>
      <c r="H534" s="10">
        <f t="shared" si="146"/>
        <v>0</v>
      </c>
      <c r="I534" s="10">
        <f t="shared" si="147"/>
        <v>1</v>
      </c>
      <c r="J534" s="10">
        <f t="shared" si="148"/>
        <v>0</v>
      </c>
      <c r="K534" s="10">
        <f t="shared" si="149"/>
        <v>0</v>
      </c>
      <c r="L534" s="10">
        <f t="shared" si="150"/>
        <v>0</v>
      </c>
      <c r="M534" s="10">
        <f t="shared" si="151"/>
        <v>0</v>
      </c>
      <c r="N534" s="10">
        <f t="shared" si="152"/>
        <v>0</v>
      </c>
      <c r="O534" s="10">
        <f t="shared" si="153"/>
        <v>0</v>
      </c>
      <c r="P534" s="10">
        <f t="shared" si="154"/>
        <v>0</v>
      </c>
      <c r="Q534" s="10">
        <f t="shared" si="155"/>
        <v>0</v>
      </c>
      <c r="R534" s="10">
        <f t="shared" si="156"/>
        <v>0</v>
      </c>
      <c r="S534" s="10">
        <f t="shared" si="157"/>
        <v>0</v>
      </c>
      <c r="T534" s="10">
        <f t="shared" si="158"/>
        <v>0</v>
      </c>
      <c r="U534" s="10">
        <f t="shared" si="159"/>
        <v>0</v>
      </c>
      <c r="V534" s="10">
        <f t="shared" si="160"/>
        <v>0</v>
      </c>
    </row>
    <row r="535" spans="1:22" x14ac:dyDescent="0.2">
      <c r="A535" s="32">
        <v>23</v>
      </c>
      <c r="B535" s="33">
        <v>8.3333333333333329E-2</v>
      </c>
      <c r="C535" s="32">
        <f>'0600z'!E32</f>
        <v>9</v>
      </c>
      <c r="D535" s="32">
        <f>'0600z'!F32</f>
        <v>10</v>
      </c>
      <c r="E535" s="32">
        <f t="shared" si="161"/>
        <v>90</v>
      </c>
      <c r="F535" s="10">
        <f t="shared" si="162"/>
        <v>0</v>
      </c>
      <c r="G535" s="10">
        <f t="shared" si="163"/>
        <v>0</v>
      </c>
      <c r="H535" s="10">
        <f t="shared" si="146"/>
        <v>0</v>
      </c>
      <c r="I535" s="10">
        <f t="shared" si="147"/>
        <v>0</v>
      </c>
      <c r="J535" s="10">
        <f t="shared" si="148"/>
        <v>1</v>
      </c>
      <c r="K535" s="10">
        <f t="shared" si="149"/>
        <v>0</v>
      </c>
      <c r="L535" s="10">
        <f t="shared" si="150"/>
        <v>0</v>
      </c>
      <c r="M535" s="10">
        <f t="shared" si="151"/>
        <v>0</v>
      </c>
      <c r="N535" s="10">
        <f t="shared" si="152"/>
        <v>0</v>
      </c>
      <c r="O535" s="10">
        <f t="shared" si="153"/>
        <v>0</v>
      </c>
      <c r="P535" s="10">
        <f t="shared" si="154"/>
        <v>0</v>
      </c>
      <c r="Q535" s="10">
        <f t="shared" si="155"/>
        <v>0</v>
      </c>
      <c r="R535" s="10">
        <f t="shared" si="156"/>
        <v>0</v>
      </c>
      <c r="S535" s="10">
        <f t="shared" si="157"/>
        <v>0</v>
      </c>
      <c r="T535" s="10">
        <f t="shared" si="158"/>
        <v>0</v>
      </c>
      <c r="U535" s="10">
        <f t="shared" si="159"/>
        <v>0</v>
      </c>
      <c r="V535" s="10">
        <f t="shared" si="160"/>
        <v>0</v>
      </c>
    </row>
    <row r="536" spans="1:22" x14ac:dyDescent="0.2">
      <c r="A536" s="32">
        <v>23</v>
      </c>
      <c r="B536" s="33">
        <v>0.125</v>
      </c>
      <c r="C536" s="32">
        <f>'0700z'!E32</f>
        <v>5</v>
      </c>
      <c r="D536" s="32">
        <f>'0700z'!F32</f>
        <v>5</v>
      </c>
      <c r="E536" s="32">
        <f t="shared" si="161"/>
        <v>50</v>
      </c>
      <c r="F536" s="10">
        <f t="shared" si="162"/>
        <v>0</v>
      </c>
      <c r="G536" s="10">
        <f t="shared" si="163"/>
        <v>0</v>
      </c>
      <c r="H536" s="10">
        <f t="shared" si="146"/>
        <v>1</v>
      </c>
      <c r="I536" s="10">
        <f t="shared" si="147"/>
        <v>0</v>
      </c>
      <c r="J536" s="10">
        <f t="shared" si="148"/>
        <v>0</v>
      </c>
      <c r="K536" s="10">
        <f t="shared" si="149"/>
        <v>0</v>
      </c>
      <c r="L536" s="10">
        <f t="shared" si="150"/>
        <v>0</v>
      </c>
      <c r="M536" s="10">
        <f t="shared" si="151"/>
        <v>0</v>
      </c>
      <c r="N536" s="10">
        <f t="shared" si="152"/>
        <v>0</v>
      </c>
      <c r="O536" s="10">
        <f t="shared" si="153"/>
        <v>0</v>
      </c>
      <c r="P536" s="10">
        <f t="shared" si="154"/>
        <v>0</v>
      </c>
      <c r="Q536" s="10">
        <f t="shared" si="155"/>
        <v>0</v>
      </c>
      <c r="R536" s="10">
        <f t="shared" si="156"/>
        <v>0</v>
      </c>
      <c r="S536" s="10">
        <f t="shared" si="157"/>
        <v>0</v>
      </c>
      <c r="T536" s="10">
        <f t="shared" si="158"/>
        <v>0</v>
      </c>
      <c r="U536" s="10">
        <f t="shared" si="159"/>
        <v>0</v>
      </c>
      <c r="V536" s="10">
        <f t="shared" si="160"/>
        <v>0</v>
      </c>
    </row>
    <row r="537" spans="1:22" x14ac:dyDescent="0.2">
      <c r="A537" s="32">
        <v>23</v>
      </c>
      <c r="B537" s="33">
        <v>0.16666666666666699</v>
      </c>
      <c r="C537" s="32">
        <f>'0800z'!E32</f>
        <v>6</v>
      </c>
      <c r="D537" s="32">
        <f>'0800z'!F32</f>
        <v>6</v>
      </c>
      <c r="E537" s="32">
        <f t="shared" si="161"/>
        <v>60</v>
      </c>
      <c r="F537" s="10">
        <f t="shared" si="162"/>
        <v>0</v>
      </c>
      <c r="G537" s="10">
        <f t="shared" si="163"/>
        <v>0</v>
      </c>
      <c r="H537" s="10">
        <f t="shared" si="146"/>
        <v>0</v>
      </c>
      <c r="I537" s="10">
        <f t="shared" si="147"/>
        <v>1</v>
      </c>
      <c r="J537" s="10">
        <f t="shared" si="148"/>
        <v>0</v>
      </c>
      <c r="K537" s="10">
        <f t="shared" si="149"/>
        <v>0</v>
      </c>
      <c r="L537" s="10">
        <f t="shared" si="150"/>
        <v>0</v>
      </c>
      <c r="M537" s="10">
        <f t="shared" si="151"/>
        <v>0</v>
      </c>
      <c r="N537" s="10">
        <f t="shared" si="152"/>
        <v>0</v>
      </c>
      <c r="O537" s="10">
        <f t="shared" si="153"/>
        <v>0</v>
      </c>
      <c r="P537" s="10">
        <f t="shared" si="154"/>
        <v>0</v>
      </c>
      <c r="Q537" s="10">
        <f t="shared" si="155"/>
        <v>0</v>
      </c>
      <c r="R537" s="10">
        <f t="shared" si="156"/>
        <v>0</v>
      </c>
      <c r="S537" s="10">
        <f t="shared" si="157"/>
        <v>0</v>
      </c>
      <c r="T537" s="10">
        <f t="shared" si="158"/>
        <v>0</v>
      </c>
      <c r="U537" s="10">
        <f t="shared" si="159"/>
        <v>0</v>
      </c>
      <c r="V537" s="10">
        <f t="shared" si="160"/>
        <v>0</v>
      </c>
    </row>
    <row r="538" spans="1:22" x14ac:dyDescent="0.2">
      <c r="A538" s="32">
        <v>23</v>
      </c>
      <c r="B538" s="33">
        <v>0.20833333333333301</v>
      </c>
      <c r="C538" s="32">
        <f>'0900z'!E32</f>
        <v>7</v>
      </c>
      <c r="D538" s="32">
        <f>'0900z'!F32</f>
        <v>7</v>
      </c>
      <c r="E538" s="32">
        <f t="shared" si="161"/>
        <v>70</v>
      </c>
      <c r="F538" s="10">
        <f t="shared" si="162"/>
        <v>0</v>
      </c>
      <c r="G538" s="10">
        <f t="shared" si="163"/>
        <v>0</v>
      </c>
      <c r="H538" s="10">
        <f t="shared" si="146"/>
        <v>0</v>
      </c>
      <c r="I538" s="10">
        <f t="shared" si="147"/>
        <v>1</v>
      </c>
      <c r="J538" s="10">
        <f t="shared" si="148"/>
        <v>0</v>
      </c>
      <c r="K538" s="10">
        <f t="shared" si="149"/>
        <v>0</v>
      </c>
      <c r="L538" s="10">
        <f t="shared" si="150"/>
        <v>0</v>
      </c>
      <c r="M538" s="10">
        <f t="shared" si="151"/>
        <v>0</v>
      </c>
      <c r="N538" s="10">
        <f t="shared" si="152"/>
        <v>0</v>
      </c>
      <c r="O538" s="10">
        <f t="shared" si="153"/>
        <v>0</v>
      </c>
      <c r="P538" s="10">
        <f t="shared" si="154"/>
        <v>0</v>
      </c>
      <c r="Q538" s="10">
        <f t="shared" si="155"/>
        <v>0</v>
      </c>
      <c r="R538" s="10">
        <f t="shared" si="156"/>
        <v>0</v>
      </c>
      <c r="S538" s="10">
        <f t="shared" si="157"/>
        <v>0</v>
      </c>
      <c r="T538" s="10">
        <f t="shared" si="158"/>
        <v>0</v>
      </c>
      <c r="U538" s="10">
        <f t="shared" si="159"/>
        <v>0</v>
      </c>
      <c r="V538" s="10">
        <f t="shared" si="160"/>
        <v>0</v>
      </c>
    </row>
    <row r="539" spans="1:22" x14ac:dyDescent="0.2">
      <c r="A539" s="32">
        <v>23</v>
      </c>
      <c r="B539" s="33">
        <v>0.25</v>
      </c>
      <c r="C539" s="32">
        <f>'1000z'!E32</f>
        <v>5</v>
      </c>
      <c r="D539" s="32">
        <f>'1000z'!F32</f>
        <v>7</v>
      </c>
      <c r="E539" s="32">
        <f t="shared" si="161"/>
        <v>50</v>
      </c>
      <c r="F539" s="10">
        <f t="shared" si="162"/>
        <v>0</v>
      </c>
      <c r="G539" s="10">
        <f t="shared" si="163"/>
        <v>0</v>
      </c>
      <c r="H539" s="10">
        <f t="shared" si="146"/>
        <v>1</v>
      </c>
      <c r="I539" s="10">
        <f t="shared" si="147"/>
        <v>0</v>
      </c>
      <c r="J539" s="10">
        <f t="shared" si="148"/>
        <v>0</v>
      </c>
      <c r="K539" s="10">
        <f t="shared" si="149"/>
        <v>0</v>
      </c>
      <c r="L539" s="10">
        <f t="shared" si="150"/>
        <v>0</v>
      </c>
      <c r="M539" s="10">
        <f t="shared" si="151"/>
        <v>0</v>
      </c>
      <c r="N539" s="10">
        <f t="shared" si="152"/>
        <v>0</v>
      </c>
      <c r="O539" s="10">
        <f t="shared" si="153"/>
        <v>0</v>
      </c>
      <c r="P539" s="10">
        <f t="shared" si="154"/>
        <v>0</v>
      </c>
      <c r="Q539" s="10">
        <f t="shared" si="155"/>
        <v>0</v>
      </c>
      <c r="R539" s="10">
        <f t="shared" si="156"/>
        <v>0</v>
      </c>
      <c r="S539" s="10">
        <f t="shared" si="157"/>
        <v>0</v>
      </c>
      <c r="T539" s="10">
        <f t="shared" si="158"/>
        <v>0</v>
      </c>
      <c r="U539" s="10">
        <f t="shared" si="159"/>
        <v>0</v>
      </c>
      <c r="V539" s="10">
        <f t="shared" si="160"/>
        <v>0</v>
      </c>
    </row>
    <row r="540" spans="1:22" x14ac:dyDescent="0.2">
      <c r="A540" s="32">
        <v>23</v>
      </c>
      <c r="B540" s="33">
        <v>0.29166666666666702</v>
      </c>
      <c r="C540" s="32">
        <f>'1100z'!E32</f>
        <v>0</v>
      </c>
      <c r="D540" s="32">
        <f>'1100z'!F32</f>
        <v>0</v>
      </c>
      <c r="E540" s="32">
        <f t="shared" si="161"/>
        <v>0</v>
      </c>
      <c r="F540" s="10">
        <f t="shared" si="162"/>
        <v>0</v>
      </c>
      <c r="G540" s="10">
        <f t="shared" si="163"/>
        <v>0</v>
      </c>
      <c r="H540" s="10">
        <f t="shared" si="146"/>
        <v>0</v>
      </c>
      <c r="I540" s="10">
        <f t="shared" si="147"/>
        <v>0</v>
      </c>
      <c r="J540" s="10">
        <f t="shared" si="148"/>
        <v>0</v>
      </c>
      <c r="K540" s="10">
        <f t="shared" si="149"/>
        <v>0</v>
      </c>
      <c r="L540" s="10">
        <f t="shared" si="150"/>
        <v>0</v>
      </c>
      <c r="M540" s="10">
        <f t="shared" si="151"/>
        <v>0</v>
      </c>
      <c r="N540" s="10">
        <f t="shared" si="152"/>
        <v>0</v>
      </c>
      <c r="O540" s="10">
        <f t="shared" si="153"/>
        <v>0</v>
      </c>
      <c r="P540" s="10">
        <f t="shared" si="154"/>
        <v>0</v>
      </c>
      <c r="Q540" s="10">
        <f t="shared" si="155"/>
        <v>0</v>
      </c>
      <c r="R540" s="10">
        <f t="shared" si="156"/>
        <v>0</v>
      </c>
      <c r="S540" s="10">
        <f t="shared" si="157"/>
        <v>0</v>
      </c>
      <c r="T540" s="10">
        <f t="shared" si="158"/>
        <v>0</v>
      </c>
      <c r="U540" s="10">
        <f t="shared" si="159"/>
        <v>0</v>
      </c>
      <c r="V540" s="10">
        <f t="shared" si="160"/>
        <v>0</v>
      </c>
    </row>
    <row r="541" spans="1:22" x14ac:dyDescent="0.2">
      <c r="A541" s="32">
        <v>23</v>
      </c>
      <c r="B541" s="33">
        <v>0.33333333333333298</v>
      </c>
      <c r="C541" s="32">
        <f>'1200z'!E32</f>
        <v>7</v>
      </c>
      <c r="D541" s="32">
        <f>'1200z'!F32</f>
        <v>11</v>
      </c>
      <c r="E541" s="32">
        <f t="shared" si="161"/>
        <v>70</v>
      </c>
      <c r="F541" s="10">
        <f t="shared" si="162"/>
        <v>0</v>
      </c>
      <c r="G541" s="10">
        <f t="shared" si="163"/>
        <v>0</v>
      </c>
      <c r="H541" s="10">
        <f t="shared" si="146"/>
        <v>0</v>
      </c>
      <c r="I541" s="10">
        <f t="shared" si="147"/>
        <v>1</v>
      </c>
      <c r="J541" s="10">
        <f t="shared" si="148"/>
        <v>0</v>
      </c>
      <c r="K541" s="10">
        <f t="shared" si="149"/>
        <v>0</v>
      </c>
      <c r="L541" s="10">
        <f t="shared" si="150"/>
        <v>0</v>
      </c>
      <c r="M541" s="10">
        <f t="shared" si="151"/>
        <v>0</v>
      </c>
      <c r="N541" s="10">
        <f t="shared" si="152"/>
        <v>0</v>
      </c>
      <c r="O541" s="10">
        <f t="shared" si="153"/>
        <v>0</v>
      </c>
      <c r="P541" s="10">
        <f t="shared" si="154"/>
        <v>0</v>
      </c>
      <c r="Q541" s="10">
        <f t="shared" si="155"/>
        <v>0</v>
      </c>
      <c r="R541" s="10">
        <f t="shared" si="156"/>
        <v>0</v>
      </c>
      <c r="S541" s="10">
        <f t="shared" si="157"/>
        <v>0</v>
      </c>
      <c r="T541" s="10">
        <f t="shared" si="158"/>
        <v>0</v>
      </c>
      <c r="U541" s="10">
        <f t="shared" si="159"/>
        <v>0</v>
      </c>
      <c r="V541" s="10">
        <f t="shared" si="160"/>
        <v>0</v>
      </c>
    </row>
    <row r="542" spans="1:22" x14ac:dyDescent="0.2">
      <c r="A542" s="32">
        <v>23</v>
      </c>
      <c r="B542" s="33">
        <v>0.375</v>
      </c>
      <c r="C542" s="32">
        <f>'1300z'!E32</f>
        <v>6</v>
      </c>
      <c r="D542" s="32">
        <f>'1300z'!F32</f>
        <v>12</v>
      </c>
      <c r="E542" s="32">
        <f t="shared" si="161"/>
        <v>60</v>
      </c>
      <c r="F542" s="10">
        <f t="shared" si="162"/>
        <v>0</v>
      </c>
      <c r="G542" s="10">
        <f t="shared" si="163"/>
        <v>0</v>
      </c>
      <c r="H542" s="10">
        <f t="shared" si="146"/>
        <v>0</v>
      </c>
      <c r="I542" s="10">
        <f t="shared" si="147"/>
        <v>1</v>
      </c>
      <c r="J542" s="10">
        <f t="shared" si="148"/>
        <v>0</v>
      </c>
      <c r="K542" s="10">
        <f t="shared" si="149"/>
        <v>0</v>
      </c>
      <c r="L542" s="10">
        <f t="shared" si="150"/>
        <v>0</v>
      </c>
      <c r="M542" s="10">
        <f t="shared" si="151"/>
        <v>0</v>
      </c>
      <c r="N542" s="10">
        <f t="shared" si="152"/>
        <v>0</v>
      </c>
      <c r="O542" s="10">
        <f t="shared" si="153"/>
        <v>0</v>
      </c>
      <c r="P542" s="10">
        <f t="shared" si="154"/>
        <v>0</v>
      </c>
      <c r="Q542" s="10">
        <f t="shared" si="155"/>
        <v>0</v>
      </c>
      <c r="R542" s="10">
        <f t="shared" si="156"/>
        <v>0</v>
      </c>
      <c r="S542" s="10">
        <f t="shared" si="157"/>
        <v>0</v>
      </c>
      <c r="T542" s="10">
        <f t="shared" si="158"/>
        <v>0</v>
      </c>
      <c r="U542" s="10">
        <f t="shared" si="159"/>
        <v>0</v>
      </c>
      <c r="V542" s="10">
        <f t="shared" si="160"/>
        <v>0</v>
      </c>
    </row>
    <row r="543" spans="1:22" x14ac:dyDescent="0.2">
      <c r="A543" s="32">
        <v>23</v>
      </c>
      <c r="B543" s="33">
        <v>0.41666666666666702</v>
      </c>
      <c r="C543" s="32">
        <f>'1400z'!E32</f>
        <v>11</v>
      </c>
      <c r="D543" s="32">
        <f>'1400z'!F32</f>
        <v>12</v>
      </c>
      <c r="E543" s="32">
        <f t="shared" si="161"/>
        <v>110</v>
      </c>
      <c r="F543" s="10">
        <f t="shared" si="162"/>
        <v>0</v>
      </c>
      <c r="G543" s="10">
        <f t="shared" si="163"/>
        <v>0</v>
      </c>
      <c r="H543" s="10">
        <f t="shared" si="146"/>
        <v>0</v>
      </c>
      <c r="I543" s="10">
        <f t="shared" si="147"/>
        <v>0</v>
      </c>
      <c r="J543" s="10">
        <f t="shared" si="148"/>
        <v>0</v>
      </c>
      <c r="K543" s="10">
        <f t="shared" si="149"/>
        <v>1</v>
      </c>
      <c r="L543" s="10">
        <f t="shared" si="150"/>
        <v>0</v>
      </c>
      <c r="M543" s="10">
        <f t="shared" si="151"/>
        <v>0</v>
      </c>
      <c r="N543" s="10">
        <f t="shared" si="152"/>
        <v>0</v>
      </c>
      <c r="O543" s="10">
        <f t="shared" si="153"/>
        <v>0</v>
      </c>
      <c r="P543" s="10">
        <f t="shared" si="154"/>
        <v>0</v>
      </c>
      <c r="Q543" s="10">
        <f t="shared" si="155"/>
        <v>0</v>
      </c>
      <c r="R543" s="10">
        <f t="shared" si="156"/>
        <v>0</v>
      </c>
      <c r="S543" s="10">
        <f t="shared" si="157"/>
        <v>0</v>
      </c>
      <c r="T543" s="10">
        <f t="shared" si="158"/>
        <v>0</v>
      </c>
      <c r="U543" s="10">
        <f t="shared" si="159"/>
        <v>0</v>
      </c>
      <c r="V543" s="10">
        <f t="shared" si="160"/>
        <v>0</v>
      </c>
    </row>
    <row r="544" spans="1:22" x14ac:dyDescent="0.2">
      <c r="A544" s="32">
        <v>23</v>
      </c>
      <c r="B544" s="33">
        <v>0.45833333333333298</v>
      </c>
      <c r="C544" s="32">
        <f>'1500z'!E32</f>
        <v>11</v>
      </c>
      <c r="D544" s="32">
        <f>'1500z'!F32</f>
        <v>15</v>
      </c>
      <c r="E544" s="32">
        <f t="shared" si="161"/>
        <v>110</v>
      </c>
      <c r="F544" s="10">
        <f t="shared" si="162"/>
        <v>0</v>
      </c>
      <c r="G544" s="10">
        <f t="shared" si="163"/>
        <v>0</v>
      </c>
      <c r="H544" s="10">
        <f t="shared" si="146"/>
        <v>0</v>
      </c>
      <c r="I544" s="10">
        <f t="shared" si="147"/>
        <v>0</v>
      </c>
      <c r="J544" s="10">
        <f t="shared" si="148"/>
        <v>0</v>
      </c>
      <c r="K544" s="10">
        <f t="shared" si="149"/>
        <v>1</v>
      </c>
      <c r="L544" s="10">
        <f t="shared" si="150"/>
        <v>0</v>
      </c>
      <c r="M544" s="10">
        <f t="shared" si="151"/>
        <v>0</v>
      </c>
      <c r="N544" s="10">
        <f t="shared" si="152"/>
        <v>0</v>
      </c>
      <c r="O544" s="10">
        <f t="shared" si="153"/>
        <v>0</v>
      </c>
      <c r="P544" s="10">
        <f t="shared" si="154"/>
        <v>0</v>
      </c>
      <c r="Q544" s="10">
        <f t="shared" si="155"/>
        <v>0</v>
      </c>
      <c r="R544" s="10">
        <f t="shared" si="156"/>
        <v>0</v>
      </c>
      <c r="S544" s="10">
        <f t="shared" si="157"/>
        <v>0</v>
      </c>
      <c r="T544" s="10">
        <f t="shared" si="158"/>
        <v>0</v>
      </c>
      <c r="U544" s="10">
        <f t="shared" si="159"/>
        <v>0</v>
      </c>
      <c r="V544" s="10">
        <f t="shared" si="160"/>
        <v>0</v>
      </c>
    </row>
    <row r="545" spans="1:22" x14ac:dyDescent="0.2">
      <c r="A545" s="32">
        <v>23</v>
      </c>
      <c r="B545" s="33">
        <v>0.5</v>
      </c>
      <c r="C545" s="32">
        <f>'1600z'!E32</f>
        <v>11</v>
      </c>
      <c r="D545" s="32">
        <f>'1600z'!F32</f>
        <v>12</v>
      </c>
      <c r="E545" s="32">
        <f t="shared" si="161"/>
        <v>110</v>
      </c>
      <c r="F545" s="10">
        <f t="shared" si="162"/>
        <v>0</v>
      </c>
      <c r="G545" s="10">
        <f t="shared" si="163"/>
        <v>0</v>
      </c>
      <c r="H545" s="10">
        <f t="shared" si="146"/>
        <v>0</v>
      </c>
      <c r="I545" s="10">
        <f t="shared" si="147"/>
        <v>0</v>
      </c>
      <c r="J545" s="10">
        <f t="shared" si="148"/>
        <v>0</v>
      </c>
      <c r="K545" s="10">
        <f t="shared" si="149"/>
        <v>1</v>
      </c>
      <c r="L545" s="10">
        <f t="shared" si="150"/>
        <v>0</v>
      </c>
      <c r="M545" s="10">
        <f t="shared" si="151"/>
        <v>0</v>
      </c>
      <c r="N545" s="10">
        <f t="shared" si="152"/>
        <v>0</v>
      </c>
      <c r="O545" s="10">
        <f t="shared" si="153"/>
        <v>0</v>
      </c>
      <c r="P545" s="10">
        <f t="shared" si="154"/>
        <v>0</v>
      </c>
      <c r="Q545" s="10">
        <f t="shared" si="155"/>
        <v>0</v>
      </c>
      <c r="R545" s="10">
        <f t="shared" si="156"/>
        <v>0</v>
      </c>
      <c r="S545" s="10">
        <f t="shared" si="157"/>
        <v>0</v>
      </c>
      <c r="T545" s="10">
        <f t="shared" si="158"/>
        <v>0</v>
      </c>
      <c r="U545" s="10">
        <f t="shared" si="159"/>
        <v>0</v>
      </c>
      <c r="V545" s="10">
        <f t="shared" si="160"/>
        <v>0</v>
      </c>
    </row>
    <row r="546" spans="1:22" x14ac:dyDescent="0.2">
      <c r="A546" s="32">
        <v>23</v>
      </c>
      <c r="B546" s="33">
        <v>0.54166666666666696</v>
      </c>
      <c r="C546" s="32">
        <f>'1700z'!E32</f>
        <v>12</v>
      </c>
      <c r="D546" s="32">
        <f>'1700z'!F32</f>
        <v>13</v>
      </c>
      <c r="E546" s="32">
        <f t="shared" si="161"/>
        <v>120</v>
      </c>
      <c r="F546" s="10">
        <f t="shared" si="162"/>
        <v>0</v>
      </c>
      <c r="G546" s="10">
        <f t="shared" si="163"/>
        <v>0</v>
      </c>
      <c r="H546" s="10">
        <f t="shared" si="146"/>
        <v>0</v>
      </c>
      <c r="I546" s="10">
        <f t="shared" si="147"/>
        <v>0</v>
      </c>
      <c r="J546" s="10">
        <f t="shared" si="148"/>
        <v>0</v>
      </c>
      <c r="K546" s="10">
        <f t="shared" si="149"/>
        <v>1</v>
      </c>
      <c r="L546" s="10">
        <f t="shared" si="150"/>
        <v>0</v>
      </c>
      <c r="M546" s="10">
        <f t="shared" si="151"/>
        <v>0</v>
      </c>
      <c r="N546" s="10">
        <f t="shared" si="152"/>
        <v>0</v>
      </c>
      <c r="O546" s="10">
        <f t="shared" si="153"/>
        <v>0</v>
      </c>
      <c r="P546" s="10">
        <f t="shared" si="154"/>
        <v>0</v>
      </c>
      <c r="Q546" s="10">
        <f t="shared" si="155"/>
        <v>0</v>
      </c>
      <c r="R546" s="10">
        <f t="shared" si="156"/>
        <v>0</v>
      </c>
      <c r="S546" s="10">
        <f t="shared" si="157"/>
        <v>0</v>
      </c>
      <c r="T546" s="10">
        <f t="shared" si="158"/>
        <v>0</v>
      </c>
      <c r="U546" s="10">
        <f t="shared" si="159"/>
        <v>0</v>
      </c>
      <c r="V546" s="10">
        <f t="shared" si="160"/>
        <v>0</v>
      </c>
    </row>
    <row r="547" spans="1:22" x14ac:dyDescent="0.2">
      <c r="A547" s="32">
        <v>23</v>
      </c>
      <c r="B547" s="33">
        <v>0.58333333333333304</v>
      </c>
      <c r="C547" s="32">
        <f>'1800z'!E32</f>
        <v>12</v>
      </c>
      <c r="D547" s="32">
        <f>'1800z'!F32</f>
        <v>12</v>
      </c>
      <c r="E547" s="32">
        <f t="shared" si="161"/>
        <v>120</v>
      </c>
      <c r="F547" s="10">
        <f t="shared" si="162"/>
        <v>0</v>
      </c>
      <c r="G547" s="10">
        <f t="shared" si="163"/>
        <v>0</v>
      </c>
      <c r="H547" s="10">
        <f t="shared" si="146"/>
        <v>0</v>
      </c>
      <c r="I547" s="10">
        <f t="shared" si="147"/>
        <v>0</v>
      </c>
      <c r="J547" s="10">
        <f t="shared" si="148"/>
        <v>0</v>
      </c>
      <c r="K547" s="10">
        <f t="shared" si="149"/>
        <v>1</v>
      </c>
      <c r="L547" s="10">
        <f t="shared" si="150"/>
        <v>0</v>
      </c>
      <c r="M547" s="10">
        <f t="shared" si="151"/>
        <v>0</v>
      </c>
      <c r="N547" s="10">
        <f t="shared" si="152"/>
        <v>0</v>
      </c>
      <c r="O547" s="10">
        <f t="shared" si="153"/>
        <v>0</v>
      </c>
      <c r="P547" s="10">
        <f t="shared" si="154"/>
        <v>0</v>
      </c>
      <c r="Q547" s="10">
        <f t="shared" si="155"/>
        <v>0</v>
      </c>
      <c r="R547" s="10">
        <f t="shared" si="156"/>
        <v>0</v>
      </c>
      <c r="S547" s="10">
        <f t="shared" si="157"/>
        <v>0</v>
      </c>
      <c r="T547" s="10">
        <f t="shared" si="158"/>
        <v>0</v>
      </c>
      <c r="U547" s="10">
        <f t="shared" si="159"/>
        <v>0</v>
      </c>
      <c r="V547" s="10">
        <f t="shared" si="160"/>
        <v>0</v>
      </c>
    </row>
    <row r="548" spans="1:22" x14ac:dyDescent="0.2">
      <c r="A548" s="32">
        <v>23</v>
      </c>
      <c r="B548" s="33">
        <v>0.625</v>
      </c>
      <c r="C548" s="32">
        <f>'1900z'!E32</f>
        <v>5</v>
      </c>
      <c r="D548" s="32">
        <f>'1900z'!F32</f>
        <v>10</v>
      </c>
      <c r="E548" s="32">
        <f t="shared" si="161"/>
        <v>50</v>
      </c>
      <c r="F548" s="10">
        <f t="shared" si="162"/>
        <v>0</v>
      </c>
      <c r="G548" s="10">
        <f t="shared" si="163"/>
        <v>0</v>
      </c>
      <c r="H548" s="10">
        <f t="shared" si="146"/>
        <v>1</v>
      </c>
      <c r="I548" s="10">
        <f t="shared" si="147"/>
        <v>0</v>
      </c>
      <c r="J548" s="10">
        <f t="shared" si="148"/>
        <v>0</v>
      </c>
      <c r="K548" s="10">
        <f t="shared" si="149"/>
        <v>0</v>
      </c>
      <c r="L548" s="10">
        <f t="shared" si="150"/>
        <v>0</v>
      </c>
      <c r="M548" s="10">
        <f t="shared" si="151"/>
        <v>0</v>
      </c>
      <c r="N548" s="10">
        <f t="shared" si="152"/>
        <v>0</v>
      </c>
      <c r="O548" s="10">
        <f t="shared" si="153"/>
        <v>0</v>
      </c>
      <c r="P548" s="10">
        <f t="shared" si="154"/>
        <v>0</v>
      </c>
      <c r="Q548" s="10">
        <f t="shared" si="155"/>
        <v>0</v>
      </c>
      <c r="R548" s="10">
        <f t="shared" si="156"/>
        <v>0</v>
      </c>
      <c r="S548" s="10">
        <f t="shared" si="157"/>
        <v>0</v>
      </c>
      <c r="T548" s="10">
        <f t="shared" si="158"/>
        <v>0</v>
      </c>
      <c r="U548" s="10">
        <f t="shared" si="159"/>
        <v>0</v>
      </c>
      <c r="V548" s="10">
        <f t="shared" si="160"/>
        <v>0</v>
      </c>
    </row>
    <row r="549" spans="1:22" x14ac:dyDescent="0.2">
      <c r="A549" s="32">
        <v>23</v>
      </c>
      <c r="B549" s="33">
        <v>0.66666666666666696</v>
      </c>
      <c r="C549" s="32">
        <f>'2000z'!E32</f>
        <v>0</v>
      </c>
      <c r="D549" s="32">
        <f>'2000z'!F32</f>
        <v>0</v>
      </c>
      <c r="E549" s="32">
        <f t="shared" si="161"/>
        <v>0</v>
      </c>
      <c r="F549" s="10">
        <f t="shared" si="162"/>
        <v>0</v>
      </c>
      <c r="G549" s="10">
        <f t="shared" si="163"/>
        <v>0</v>
      </c>
      <c r="H549" s="10">
        <f t="shared" si="146"/>
        <v>0</v>
      </c>
      <c r="I549" s="10">
        <f t="shared" si="147"/>
        <v>0</v>
      </c>
      <c r="J549" s="10">
        <f t="shared" si="148"/>
        <v>0</v>
      </c>
      <c r="K549" s="10">
        <f t="shared" si="149"/>
        <v>0</v>
      </c>
      <c r="L549" s="10">
        <f t="shared" si="150"/>
        <v>0</v>
      </c>
      <c r="M549" s="10">
        <f t="shared" si="151"/>
        <v>0</v>
      </c>
      <c r="N549" s="10">
        <f t="shared" si="152"/>
        <v>0</v>
      </c>
      <c r="O549" s="10">
        <f t="shared" si="153"/>
        <v>0</v>
      </c>
      <c r="P549" s="10">
        <f t="shared" si="154"/>
        <v>0</v>
      </c>
      <c r="Q549" s="10">
        <f t="shared" si="155"/>
        <v>0</v>
      </c>
      <c r="R549" s="10">
        <f t="shared" si="156"/>
        <v>0</v>
      </c>
      <c r="S549" s="10">
        <f t="shared" si="157"/>
        <v>0</v>
      </c>
      <c r="T549" s="10">
        <f t="shared" si="158"/>
        <v>0</v>
      </c>
      <c r="U549" s="10">
        <f t="shared" si="159"/>
        <v>0</v>
      </c>
      <c r="V549" s="10">
        <f t="shared" si="160"/>
        <v>0</v>
      </c>
    </row>
    <row r="550" spans="1:22" x14ac:dyDescent="0.2">
      <c r="A550" s="32">
        <v>23</v>
      </c>
      <c r="B550" s="33">
        <v>0.70833333333333304</v>
      </c>
      <c r="C550" s="32">
        <f>'2100z'!E32</f>
        <v>0</v>
      </c>
      <c r="D550" s="32">
        <f>'2100z'!F32</f>
        <v>0</v>
      </c>
      <c r="E550" s="32">
        <f t="shared" si="161"/>
        <v>0</v>
      </c>
      <c r="F550" s="10">
        <f t="shared" si="162"/>
        <v>0</v>
      </c>
      <c r="G550" s="10">
        <f t="shared" si="163"/>
        <v>0</v>
      </c>
      <c r="H550" s="10">
        <f t="shared" si="146"/>
        <v>0</v>
      </c>
      <c r="I550" s="10">
        <f t="shared" si="147"/>
        <v>0</v>
      </c>
      <c r="J550" s="10">
        <f t="shared" si="148"/>
        <v>0</v>
      </c>
      <c r="K550" s="10">
        <f t="shared" si="149"/>
        <v>0</v>
      </c>
      <c r="L550" s="10">
        <f t="shared" si="150"/>
        <v>0</v>
      </c>
      <c r="M550" s="10">
        <f t="shared" si="151"/>
        <v>0</v>
      </c>
      <c r="N550" s="10">
        <f t="shared" si="152"/>
        <v>0</v>
      </c>
      <c r="O550" s="10">
        <f t="shared" si="153"/>
        <v>0</v>
      </c>
      <c r="P550" s="10">
        <f t="shared" si="154"/>
        <v>0</v>
      </c>
      <c r="Q550" s="10">
        <f t="shared" si="155"/>
        <v>0</v>
      </c>
      <c r="R550" s="10">
        <f t="shared" si="156"/>
        <v>0</v>
      </c>
      <c r="S550" s="10">
        <f t="shared" si="157"/>
        <v>0</v>
      </c>
      <c r="T550" s="10">
        <f t="shared" si="158"/>
        <v>0</v>
      </c>
      <c r="U550" s="10">
        <f t="shared" si="159"/>
        <v>0</v>
      </c>
      <c r="V550" s="10">
        <f t="shared" si="160"/>
        <v>0</v>
      </c>
    </row>
    <row r="551" spans="1:22" x14ac:dyDescent="0.2">
      <c r="A551" s="32">
        <v>23</v>
      </c>
      <c r="B551" s="33">
        <v>0.75</v>
      </c>
      <c r="C551" s="32">
        <f>'2200z'!E32</f>
        <v>0</v>
      </c>
      <c r="D551" s="32">
        <f>'2200z'!F32</f>
        <v>0</v>
      </c>
      <c r="E551" s="32">
        <f t="shared" si="161"/>
        <v>0</v>
      </c>
      <c r="F551" s="10">
        <f t="shared" si="162"/>
        <v>0</v>
      </c>
      <c r="G551" s="10">
        <f t="shared" si="163"/>
        <v>0</v>
      </c>
      <c r="H551" s="10">
        <f t="shared" si="146"/>
        <v>0</v>
      </c>
      <c r="I551" s="10">
        <f t="shared" si="147"/>
        <v>0</v>
      </c>
      <c r="J551" s="10">
        <f t="shared" si="148"/>
        <v>0</v>
      </c>
      <c r="K551" s="10">
        <f t="shared" si="149"/>
        <v>0</v>
      </c>
      <c r="L551" s="10">
        <f t="shared" si="150"/>
        <v>0</v>
      </c>
      <c r="M551" s="10">
        <f t="shared" si="151"/>
        <v>0</v>
      </c>
      <c r="N551" s="10">
        <f t="shared" si="152"/>
        <v>0</v>
      </c>
      <c r="O551" s="10">
        <f t="shared" si="153"/>
        <v>0</v>
      </c>
      <c r="P551" s="10">
        <f t="shared" si="154"/>
        <v>0</v>
      </c>
      <c r="Q551" s="10">
        <f t="shared" si="155"/>
        <v>0</v>
      </c>
      <c r="R551" s="10">
        <f t="shared" si="156"/>
        <v>0</v>
      </c>
      <c r="S551" s="10">
        <f t="shared" si="157"/>
        <v>0</v>
      </c>
      <c r="T551" s="10">
        <f t="shared" si="158"/>
        <v>0</v>
      </c>
      <c r="U551" s="10">
        <f t="shared" si="159"/>
        <v>0</v>
      </c>
      <c r="V551" s="10">
        <f t="shared" si="160"/>
        <v>0</v>
      </c>
    </row>
    <row r="552" spans="1:22" x14ac:dyDescent="0.2">
      <c r="A552" s="32">
        <v>23</v>
      </c>
      <c r="B552" s="33">
        <v>0.79166666666666696</v>
      </c>
      <c r="C552" s="32">
        <f>'2300z'!E32</f>
        <v>9</v>
      </c>
      <c r="D552" s="32">
        <f>'2300z'!F32</f>
        <v>4</v>
      </c>
      <c r="E552" s="32">
        <f t="shared" si="161"/>
        <v>90</v>
      </c>
      <c r="F552" s="10">
        <f t="shared" si="162"/>
        <v>0</v>
      </c>
      <c r="G552" s="10">
        <f t="shared" si="163"/>
        <v>0</v>
      </c>
      <c r="H552" s="10">
        <f t="shared" si="146"/>
        <v>0</v>
      </c>
      <c r="I552" s="10">
        <f t="shared" si="147"/>
        <v>0</v>
      </c>
      <c r="J552" s="10">
        <f t="shared" si="148"/>
        <v>1</v>
      </c>
      <c r="K552" s="10">
        <f t="shared" si="149"/>
        <v>0</v>
      </c>
      <c r="L552" s="10">
        <f t="shared" si="150"/>
        <v>0</v>
      </c>
      <c r="M552" s="10">
        <f t="shared" si="151"/>
        <v>0</v>
      </c>
      <c r="N552" s="10">
        <f t="shared" si="152"/>
        <v>0</v>
      </c>
      <c r="O552" s="10">
        <f t="shared" si="153"/>
        <v>0</v>
      </c>
      <c r="P552" s="10">
        <f t="shared" si="154"/>
        <v>0</v>
      </c>
      <c r="Q552" s="10">
        <f t="shared" si="155"/>
        <v>0</v>
      </c>
      <c r="R552" s="10">
        <f t="shared" si="156"/>
        <v>0</v>
      </c>
      <c r="S552" s="10">
        <f t="shared" si="157"/>
        <v>0</v>
      </c>
      <c r="T552" s="10">
        <f t="shared" si="158"/>
        <v>0</v>
      </c>
      <c r="U552" s="10">
        <f t="shared" si="159"/>
        <v>0</v>
      </c>
      <c r="V552" s="10">
        <f t="shared" si="160"/>
        <v>0</v>
      </c>
    </row>
    <row r="553" spans="1:22" x14ac:dyDescent="0.2">
      <c r="A553" s="32">
        <v>23</v>
      </c>
      <c r="B553" s="33">
        <v>0.83333333333333304</v>
      </c>
      <c r="C553" s="32">
        <f>'0000z'!E32</f>
        <v>9</v>
      </c>
      <c r="D553" s="32">
        <f>'0000z'!F32</f>
        <v>5</v>
      </c>
      <c r="E553" s="32">
        <f t="shared" si="161"/>
        <v>90</v>
      </c>
      <c r="F553" s="10">
        <f t="shared" si="162"/>
        <v>0</v>
      </c>
      <c r="G553" s="10">
        <f t="shared" si="163"/>
        <v>0</v>
      </c>
      <c r="H553" s="10">
        <f t="shared" si="146"/>
        <v>0</v>
      </c>
      <c r="I553" s="10">
        <f t="shared" si="147"/>
        <v>0</v>
      </c>
      <c r="J553" s="10">
        <f t="shared" si="148"/>
        <v>1</v>
      </c>
      <c r="K553" s="10">
        <f t="shared" si="149"/>
        <v>0</v>
      </c>
      <c r="L553" s="10">
        <f t="shared" si="150"/>
        <v>0</v>
      </c>
      <c r="M553" s="10">
        <f t="shared" si="151"/>
        <v>0</v>
      </c>
      <c r="N553" s="10">
        <f t="shared" si="152"/>
        <v>0</v>
      </c>
      <c r="O553" s="10">
        <f t="shared" si="153"/>
        <v>0</v>
      </c>
      <c r="P553" s="10">
        <f t="shared" si="154"/>
        <v>0</v>
      </c>
      <c r="Q553" s="10">
        <f t="shared" si="155"/>
        <v>0</v>
      </c>
      <c r="R553" s="10">
        <f t="shared" si="156"/>
        <v>0</v>
      </c>
      <c r="S553" s="10">
        <f t="shared" si="157"/>
        <v>0</v>
      </c>
      <c r="T553" s="10">
        <f t="shared" si="158"/>
        <v>0</v>
      </c>
      <c r="U553" s="10">
        <f t="shared" si="159"/>
        <v>0</v>
      </c>
      <c r="V553" s="10">
        <f t="shared" si="160"/>
        <v>0</v>
      </c>
    </row>
    <row r="554" spans="1:22" x14ac:dyDescent="0.2">
      <c r="A554" s="32">
        <v>23</v>
      </c>
      <c r="B554" s="33">
        <v>0.875</v>
      </c>
      <c r="C554" s="32">
        <f>'0100z'!E32</f>
        <v>7</v>
      </c>
      <c r="D554" s="32">
        <f>'0100z'!F32</f>
        <v>5</v>
      </c>
      <c r="E554" s="32">
        <f t="shared" si="161"/>
        <v>70</v>
      </c>
      <c r="F554" s="10">
        <f t="shared" si="162"/>
        <v>0</v>
      </c>
      <c r="G554" s="10">
        <f t="shared" si="163"/>
        <v>0</v>
      </c>
      <c r="H554" s="10">
        <f t="shared" si="146"/>
        <v>0</v>
      </c>
      <c r="I554" s="10">
        <f t="shared" si="147"/>
        <v>1</v>
      </c>
      <c r="J554" s="10">
        <f t="shared" si="148"/>
        <v>0</v>
      </c>
      <c r="K554" s="10">
        <f t="shared" si="149"/>
        <v>0</v>
      </c>
      <c r="L554" s="10">
        <f t="shared" si="150"/>
        <v>0</v>
      </c>
      <c r="M554" s="10">
        <f t="shared" si="151"/>
        <v>0</v>
      </c>
      <c r="N554" s="10">
        <f t="shared" si="152"/>
        <v>0</v>
      </c>
      <c r="O554" s="10">
        <f t="shared" si="153"/>
        <v>0</v>
      </c>
      <c r="P554" s="10">
        <f t="shared" si="154"/>
        <v>0</v>
      </c>
      <c r="Q554" s="10">
        <f t="shared" si="155"/>
        <v>0</v>
      </c>
      <c r="R554" s="10">
        <f t="shared" si="156"/>
        <v>0</v>
      </c>
      <c r="S554" s="10">
        <f t="shared" si="157"/>
        <v>0</v>
      </c>
      <c r="T554" s="10">
        <f t="shared" si="158"/>
        <v>0</v>
      </c>
      <c r="U554" s="10">
        <f t="shared" si="159"/>
        <v>0</v>
      </c>
      <c r="V554" s="10">
        <f t="shared" si="160"/>
        <v>0</v>
      </c>
    </row>
    <row r="555" spans="1:22" x14ac:dyDescent="0.2">
      <c r="A555" s="32">
        <v>23</v>
      </c>
      <c r="B555" s="33">
        <v>0.91666666666666696</v>
      </c>
      <c r="C555" s="32">
        <f>'0200z'!E32</f>
        <v>7</v>
      </c>
      <c r="D555" s="32">
        <f>'0200z'!F32</f>
        <v>5</v>
      </c>
      <c r="E555" s="32">
        <f t="shared" si="161"/>
        <v>70</v>
      </c>
      <c r="F555" s="10">
        <f t="shared" si="162"/>
        <v>0</v>
      </c>
      <c r="G555" s="10">
        <f t="shared" si="163"/>
        <v>0</v>
      </c>
      <c r="H555" s="10">
        <f t="shared" si="146"/>
        <v>0</v>
      </c>
      <c r="I555" s="10">
        <f t="shared" si="147"/>
        <v>1</v>
      </c>
      <c r="J555" s="10">
        <f t="shared" si="148"/>
        <v>0</v>
      </c>
      <c r="K555" s="10">
        <f t="shared" si="149"/>
        <v>0</v>
      </c>
      <c r="L555" s="10">
        <f t="shared" si="150"/>
        <v>0</v>
      </c>
      <c r="M555" s="10">
        <f t="shared" si="151"/>
        <v>0</v>
      </c>
      <c r="N555" s="10">
        <f t="shared" si="152"/>
        <v>0</v>
      </c>
      <c r="O555" s="10">
        <f t="shared" si="153"/>
        <v>0</v>
      </c>
      <c r="P555" s="10">
        <f t="shared" si="154"/>
        <v>0</v>
      </c>
      <c r="Q555" s="10">
        <f t="shared" si="155"/>
        <v>0</v>
      </c>
      <c r="R555" s="10">
        <f t="shared" si="156"/>
        <v>0</v>
      </c>
      <c r="S555" s="10">
        <f t="shared" si="157"/>
        <v>0</v>
      </c>
      <c r="T555" s="10">
        <f t="shared" si="158"/>
        <v>0</v>
      </c>
      <c r="U555" s="10">
        <f t="shared" si="159"/>
        <v>0</v>
      </c>
      <c r="V555" s="10">
        <f t="shared" si="160"/>
        <v>0</v>
      </c>
    </row>
    <row r="556" spans="1:22" x14ac:dyDescent="0.2">
      <c r="A556" s="32">
        <v>23</v>
      </c>
      <c r="B556" s="33">
        <v>0.95833333333333304</v>
      </c>
      <c r="C556" s="32">
        <f>'0300z'!E32</f>
        <v>99</v>
      </c>
      <c r="D556" s="32">
        <f>'0300z'!F32</f>
        <v>2</v>
      </c>
      <c r="E556" s="32">
        <f t="shared" si="161"/>
        <v>990</v>
      </c>
      <c r="F556" s="10">
        <f t="shared" si="162"/>
        <v>0</v>
      </c>
      <c r="G556" s="10">
        <f t="shared" si="163"/>
        <v>0</v>
      </c>
      <c r="H556" s="10">
        <f t="shared" si="146"/>
        <v>0</v>
      </c>
      <c r="I556" s="10">
        <f t="shared" si="147"/>
        <v>0</v>
      </c>
      <c r="J556" s="10">
        <f t="shared" si="148"/>
        <v>0</v>
      </c>
      <c r="K556" s="10">
        <f t="shared" si="149"/>
        <v>0</v>
      </c>
      <c r="L556" s="10">
        <f t="shared" si="150"/>
        <v>0</v>
      </c>
      <c r="M556" s="10">
        <f t="shared" si="151"/>
        <v>0</v>
      </c>
      <c r="N556" s="10">
        <f t="shared" si="152"/>
        <v>0</v>
      </c>
      <c r="O556" s="10">
        <f t="shared" si="153"/>
        <v>0</v>
      </c>
      <c r="P556" s="10">
        <f t="shared" si="154"/>
        <v>0</v>
      </c>
      <c r="Q556" s="10">
        <f t="shared" si="155"/>
        <v>0</v>
      </c>
      <c r="R556" s="10">
        <f t="shared" si="156"/>
        <v>0</v>
      </c>
      <c r="S556" s="10">
        <f t="shared" si="157"/>
        <v>0</v>
      </c>
      <c r="T556" s="10">
        <f t="shared" si="158"/>
        <v>0</v>
      </c>
      <c r="U556" s="10">
        <f t="shared" si="159"/>
        <v>0</v>
      </c>
      <c r="V556" s="10">
        <f t="shared" si="160"/>
        <v>0</v>
      </c>
    </row>
    <row r="557" spans="1:22" x14ac:dyDescent="0.2">
      <c r="A557" s="32">
        <v>24</v>
      </c>
      <c r="B557" s="33">
        <v>0</v>
      </c>
      <c r="C557" s="32">
        <f>'0400z'!E33</f>
        <v>0</v>
      </c>
      <c r="D557" s="32">
        <f>'0400z'!F33</f>
        <v>0</v>
      </c>
      <c r="E557" s="32">
        <f t="shared" si="161"/>
        <v>0</v>
      </c>
      <c r="F557" s="10">
        <f t="shared" si="162"/>
        <v>0</v>
      </c>
      <c r="G557" s="10">
        <f t="shared" si="163"/>
        <v>0</v>
      </c>
      <c r="H557" s="10">
        <f t="shared" si="146"/>
        <v>0</v>
      </c>
      <c r="I557" s="10">
        <f t="shared" si="147"/>
        <v>0</v>
      </c>
      <c r="J557" s="10">
        <f t="shared" si="148"/>
        <v>0</v>
      </c>
      <c r="K557" s="10">
        <f t="shared" si="149"/>
        <v>0</v>
      </c>
      <c r="L557" s="10">
        <f t="shared" si="150"/>
        <v>0</v>
      </c>
      <c r="M557" s="10">
        <f t="shared" si="151"/>
        <v>0</v>
      </c>
      <c r="N557" s="10">
        <f t="shared" si="152"/>
        <v>0</v>
      </c>
      <c r="O557" s="10">
        <f t="shared" si="153"/>
        <v>0</v>
      </c>
      <c r="P557" s="10">
        <f t="shared" si="154"/>
        <v>0</v>
      </c>
      <c r="Q557" s="10">
        <f t="shared" si="155"/>
        <v>0</v>
      </c>
      <c r="R557" s="10">
        <f t="shared" si="156"/>
        <v>0</v>
      </c>
      <c r="S557" s="10">
        <f t="shared" si="157"/>
        <v>0</v>
      </c>
      <c r="T557" s="10">
        <f t="shared" si="158"/>
        <v>0</v>
      </c>
      <c r="U557" s="10">
        <f t="shared" si="159"/>
        <v>0</v>
      </c>
      <c r="V557" s="10">
        <f t="shared" si="160"/>
        <v>0</v>
      </c>
    </row>
    <row r="558" spans="1:22" x14ac:dyDescent="0.2">
      <c r="A558" s="32">
        <v>24</v>
      </c>
      <c r="B558" s="33">
        <v>4.1666666666666664E-2</v>
      </c>
      <c r="C558" s="32">
        <f>'0500z'!E33</f>
        <v>6</v>
      </c>
      <c r="D558" s="32">
        <f>'0500z'!F33</f>
        <v>6</v>
      </c>
      <c r="E558" s="32">
        <f t="shared" si="161"/>
        <v>60</v>
      </c>
      <c r="F558" s="10">
        <f t="shared" si="162"/>
        <v>0</v>
      </c>
      <c r="G558" s="10">
        <f t="shared" si="163"/>
        <v>0</v>
      </c>
      <c r="H558" s="10">
        <f t="shared" si="146"/>
        <v>0</v>
      </c>
      <c r="I558" s="10">
        <f t="shared" si="147"/>
        <v>1</v>
      </c>
      <c r="J558" s="10">
        <f t="shared" si="148"/>
        <v>0</v>
      </c>
      <c r="K558" s="10">
        <f t="shared" si="149"/>
        <v>0</v>
      </c>
      <c r="L558" s="10">
        <f t="shared" si="150"/>
        <v>0</v>
      </c>
      <c r="M558" s="10">
        <f t="shared" si="151"/>
        <v>0</v>
      </c>
      <c r="N558" s="10">
        <f t="shared" si="152"/>
        <v>0</v>
      </c>
      <c r="O558" s="10">
        <f t="shared" si="153"/>
        <v>0</v>
      </c>
      <c r="P558" s="10">
        <f t="shared" si="154"/>
        <v>0</v>
      </c>
      <c r="Q558" s="10">
        <f t="shared" si="155"/>
        <v>0</v>
      </c>
      <c r="R558" s="10">
        <f t="shared" si="156"/>
        <v>0</v>
      </c>
      <c r="S558" s="10">
        <f t="shared" si="157"/>
        <v>0</v>
      </c>
      <c r="T558" s="10">
        <f t="shared" si="158"/>
        <v>0</v>
      </c>
      <c r="U558" s="10">
        <f t="shared" si="159"/>
        <v>0</v>
      </c>
      <c r="V558" s="10">
        <f t="shared" si="160"/>
        <v>0</v>
      </c>
    </row>
    <row r="559" spans="1:22" x14ac:dyDescent="0.2">
      <c r="A559" s="32">
        <v>24</v>
      </c>
      <c r="B559" s="33">
        <v>8.3333333333333329E-2</v>
      </c>
      <c r="C559" s="32">
        <f>'0600z'!E33</f>
        <v>99</v>
      </c>
      <c r="D559" s="32">
        <f>'0600z'!F33</f>
        <v>2</v>
      </c>
      <c r="E559" s="32">
        <f t="shared" si="161"/>
        <v>990</v>
      </c>
      <c r="F559" s="10">
        <f t="shared" si="162"/>
        <v>0</v>
      </c>
      <c r="G559" s="10">
        <f t="shared" si="163"/>
        <v>0</v>
      </c>
      <c r="H559" s="10">
        <f t="shared" si="146"/>
        <v>0</v>
      </c>
      <c r="I559" s="10">
        <f t="shared" si="147"/>
        <v>0</v>
      </c>
      <c r="J559" s="10">
        <f t="shared" si="148"/>
        <v>0</v>
      </c>
      <c r="K559" s="10">
        <f t="shared" si="149"/>
        <v>0</v>
      </c>
      <c r="L559" s="10">
        <f t="shared" si="150"/>
        <v>0</v>
      </c>
      <c r="M559" s="10">
        <f t="shared" si="151"/>
        <v>0</v>
      </c>
      <c r="N559" s="10">
        <f t="shared" si="152"/>
        <v>0</v>
      </c>
      <c r="O559" s="10">
        <f t="shared" si="153"/>
        <v>0</v>
      </c>
      <c r="P559" s="10">
        <f t="shared" si="154"/>
        <v>0</v>
      </c>
      <c r="Q559" s="10">
        <f t="shared" si="155"/>
        <v>0</v>
      </c>
      <c r="R559" s="10">
        <f t="shared" si="156"/>
        <v>0</v>
      </c>
      <c r="S559" s="10">
        <f t="shared" si="157"/>
        <v>0</v>
      </c>
      <c r="T559" s="10">
        <f t="shared" si="158"/>
        <v>0</v>
      </c>
      <c r="U559" s="10">
        <f t="shared" si="159"/>
        <v>0</v>
      </c>
      <c r="V559" s="10">
        <f t="shared" si="160"/>
        <v>0</v>
      </c>
    </row>
    <row r="560" spans="1:22" x14ac:dyDescent="0.2">
      <c r="A560" s="32">
        <v>24</v>
      </c>
      <c r="B560" s="33">
        <v>0.125</v>
      </c>
      <c r="C560" s="32">
        <f>'0700z'!E33</f>
        <v>3</v>
      </c>
      <c r="D560" s="32">
        <f>'0700z'!F33</f>
        <v>6</v>
      </c>
      <c r="E560" s="32">
        <f t="shared" si="161"/>
        <v>30</v>
      </c>
      <c r="F560" s="10">
        <f t="shared" si="162"/>
        <v>0</v>
      </c>
      <c r="G560" s="10">
        <f t="shared" si="163"/>
        <v>1</v>
      </c>
      <c r="H560" s="10">
        <f t="shared" si="146"/>
        <v>0</v>
      </c>
      <c r="I560" s="10">
        <f t="shared" si="147"/>
        <v>0</v>
      </c>
      <c r="J560" s="10">
        <f t="shared" si="148"/>
        <v>0</v>
      </c>
      <c r="K560" s="10">
        <f t="shared" si="149"/>
        <v>0</v>
      </c>
      <c r="L560" s="10">
        <f t="shared" si="150"/>
        <v>0</v>
      </c>
      <c r="M560" s="10">
        <f t="shared" si="151"/>
        <v>0</v>
      </c>
      <c r="N560" s="10">
        <f t="shared" si="152"/>
        <v>0</v>
      </c>
      <c r="O560" s="10">
        <f t="shared" si="153"/>
        <v>0</v>
      </c>
      <c r="P560" s="10">
        <f t="shared" si="154"/>
        <v>0</v>
      </c>
      <c r="Q560" s="10">
        <f t="shared" si="155"/>
        <v>0</v>
      </c>
      <c r="R560" s="10">
        <f t="shared" si="156"/>
        <v>0</v>
      </c>
      <c r="S560" s="10">
        <f t="shared" si="157"/>
        <v>0</v>
      </c>
      <c r="T560" s="10">
        <f t="shared" si="158"/>
        <v>0</v>
      </c>
      <c r="U560" s="10">
        <f t="shared" si="159"/>
        <v>0</v>
      </c>
      <c r="V560" s="10">
        <f t="shared" si="160"/>
        <v>0</v>
      </c>
    </row>
    <row r="561" spans="1:22" x14ac:dyDescent="0.2">
      <c r="A561" s="32">
        <v>24</v>
      </c>
      <c r="B561" s="33">
        <v>0.16666666666666699</v>
      </c>
      <c r="C561" s="32">
        <f>'0800z'!E33</f>
        <v>1</v>
      </c>
      <c r="D561" s="32">
        <f>'0800z'!F33</f>
        <v>5</v>
      </c>
      <c r="E561" s="32">
        <f t="shared" si="161"/>
        <v>10</v>
      </c>
      <c r="F561" s="10">
        <f t="shared" si="162"/>
        <v>1</v>
      </c>
      <c r="G561" s="10">
        <f t="shared" si="163"/>
        <v>0</v>
      </c>
      <c r="H561" s="10">
        <f t="shared" si="146"/>
        <v>0</v>
      </c>
      <c r="I561" s="10">
        <f t="shared" si="147"/>
        <v>0</v>
      </c>
      <c r="J561" s="10">
        <f t="shared" si="148"/>
        <v>0</v>
      </c>
      <c r="K561" s="10">
        <f t="shared" si="149"/>
        <v>0</v>
      </c>
      <c r="L561" s="10">
        <f t="shared" si="150"/>
        <v>0</v>
      </c>
      <c r="M561" s="10">
        <f t="shared" si="151"/>
        <v>0</v>
      </c>
      <c r="N561" s="10">
        <f t="shared" si="152"/>
        <v>0</v>
      </c>
      <c r="O561" s="10">
        <f t="shared" si="153"/>
        <v>0</v>
      </c>
      <c r="P561" s="10">
        <f t="shared" si="154"/>
        <v>0</v>
      </c>
      <c r="Q561" s="10">
        <f t="shared" si="155"/>
        <v>0</v>
      </c>
      <c r="R561" s="10">
        <f t="shared" si="156"/>
        <v>0</v>
      </c>
      <c r="S561" s="10">
        <f t="shared" si="157"/>
        <v>0</v>
      </c>
      <c r="T561" s="10">
        <f t="shared" si="158"/>
        <v>0</v>
      </c>
      <c r="U561" s="10">
        <f t="shared" si="159"/>
        <v>0</v>
      </c>
      <c r="V561" s="10">
        <f t="shared" si="160"/>
        <v>0</v>
      </c>
    </row>
    <row r="562" spans="1:22" x14ac:dyDescent="0.2">
      <c r="A562" s="32">
        <v>24</v>
      </c>
      <c r="B562" s="33">
        <v>0.20833333333333301</v>
      </c>
      <c r="C562" s="32">
        <f>'0900z'!E33</f>
        <v>2</v>
      </c>
      <c r="D562" s="32">
        <f>'0900z'!F33</f>
        <v>8</v>
      </c>
      <c r="E562" s="32">
        <f t="shared" si="161"/>
        <v>20</v>
      </c>
      <c r="F562" s="10">
        <f t="shared" si="162"/>
        <v>0</v>
      </c>
      <c r="G562" s="10">
        <f t="shared" si="163"/>
        <v>1</v>
      </c>
      <c r="H562" s="10">
        <f t="shared" si="146"/>
        <v>0</v>
      </c>
      <c r="I562" s="10">
        <f t="shared" si="147"/>
        <v>0</v>
      </c>
      <c r="J562" s="10">
        <f t="shared" si="148"/>
        <v>0</v>
      </c>
      <c r="K562" s="10">
        <f t="shared" si="149"/>
        <v>0</v>
      </c>
      <c r="L562" s="10">
        <f t="shared" si="150"/>
        <v>0</v>
      </c>
      <c r="M562" s="10">
        <f t="shared" si="151"/>
        <v>0</v>
      </c>
      <c r="N562" s="10">
        <f t="shared" si="152"/>
        <v>0</v>
      </c>
      <c r="O562" s="10">
        <f t="shared" si="153"/>
        <v>0</v>
      </c>
      <c r="P562" s="10">
        <f t="shared" si="154"/>
        <v>0</v>
      </c>
      <c r="Q562" s="10">
        <f t="shared" si="155"/>
        <v>0</v>
      </c>
      <c r="R562" s="10">
        <f t="shared" si="156"/>
        <v>0</v>
      </c>
      <c r="S562" s="10">
        <f t="shared" si="157"/>
        <v>0</v>
      </c>
      <c r="T562" s="10">
        <f t="shared" si="158"/>
        <v>0</v>
      </c>
      <c r="U562" s="10">
        <f t="shared" si="159"/>
        <v>0</v>
      </c>
      <c r="V562" s="10">
        <f t="shared" si="160"/>
        <v>0</v>
      </c>
    </row>
    <row r="563" spans="1:22" x14ac:dyDescent="0.2">
      <c r="A563" s="32">
        <v>24</v>
      </c>
      <c r="B563" s="33">
        <v>0.25</v>
      </c>
      <c r="C563" s="32">
        <f>'1000z'!E33</f>
        <v>2</v>
      </c>
      <c r="D563" s="32">
        <f>'1000z'!F33</f>
        <v>7</v>
      </c>
      <c r="E563" s="32">
        <f t="shared" si="161"/>
        <v>20</v>
      </c>
      <c r="F563" s="10">
        <f t="shared" si="162"/>
        <v>0</v>
      </c>
      <c r="G563" s="10">
        <f t="shared" si="163"/>
        <v>1</v>
      </c>
      <c r="H563" s="10">
        <f t="shared" si="146"/>
        <v>0</v>
      </c>
      <c r="I563" s="10">
        <f t="shared" si="147"/>
        <v>0</v>
      </c>
      <c r="J563" s="10">
        <f t="shared" si="148"/>
        <v>0</v>
      </c>
      <c r="K563" s="10">
        <f t="shared" si="149"/>
        <v>0</v>
      </c>
      <c r="L563" s="10">
        <f t="shared" si="150"/>
        <v>0</v>
      </c>
      <c r="M563" s="10">
        <f t="shared" si="151"/>
        <v>0</v>
      </c>
      <c r="N563" s="10">
        <f t="shared" si="152"/>
        <v>0</v>
      </c>
      <c r="O563" s="10">
        <f t="shared" si="153"/>
        <v>0</v>
      </c>
      <c r="P563" s="10">
        <f t="shared" si="154"/>
        <v>0</v>
      </c>
      <c r="Q563" s="10">
        <f t="shared" si="155"/>
        <v>0</v>
      </c>
      <c r="R563" s="10">
        <f t="shared" si="156"/>
        <v>0</v>
      </c>
      <c r="S563" s="10">
        <f t="shared" si="157"/>
        <v>0</v>
      </c>
      <c r="T563" s="10">
        <f t="shared" si="158"/>
        <v>0</v>
      </c>
      <c r="U563" s="10">
        <f t="shared" si="159"/>
        <v>0</v>
      </c>
      <c r="V563" s="10">
        <f t="shared" si="160"/>
        <v>0</v>
      </c>
    </row>
    <row r="564" spans="1:22" x14ac:dyDescent="0.2">
      <c r="A564" s="32">
        <v>24</v>
      </c>
      <c r="B564" s="33">
        <v>0.29166666666666702</v>
      </c>
      <c r="C564" s="32">
        <f>'1100z'!E33</f>
        <v>6</v>
      </c>
      <c r="D564" s="32">
        <f>'1100z'!F33</f>
        <v>5</v>
      </c>
      <c r="E564" s="32">
        <f t="shared" si="161"/>
        <v>60</v>
      </c>
      <c r="F564" s="10">
        <f t="shared" si="162"/>
        <v>0</v>
      </c>
      <c r="G564" s="10">
        <f t="shared" si="163"/>
        <v>0</v>
      </c>
      <c r="H564" s="10">
        <f t="shared" si="146"/>
        <v>0</v>
      </c>
      <c r="I564" s="10">
        <f t="shared" si="147"/>
        <v>1</v>
      </c>
      <c r="J564" s="10">
        <f t="shared" si="148"/>
        <v>0</v>
      </c>
      <c r="K564" s="10">
        <f t="shared" si="149"/>
        <v>0</v>
      </c>
      <c r="L564" s="10">
        <f t="shared" si="150"/>
        <v>0</v>
      </c>
      <c r="M564" s="10">
        <f t="shared" si="151"/>
        <v>0</v>
      </c>
      <c r="N564" s="10">
        <f t="shared" si="152"/>
        <v>0</v>
      </c>
      <c r="O564" s="10">
        <f t="shared" si="153"/>
        <v>0</v>
      </c>
      <c r="P564" s="10">
        <f t="shared" si="154"/>
        <v>0</v>
      </c>
      <c r="Q564" s="10">
        <f t="shared" si="155"/>
        <v>0</v>
      </c>
      <c r="R564" s="10">
        <f t="shared" si="156"/>
        <v>0</v>
      </c>
      <c r="S564" s="10">
        <f t="shared" si="157"/>
        <v>0</v>
      </c>
      <c r="T564" s="10">
        <f t="shared" si="158"/>
        <v>0</v>
      </c>
      <c r="U564" s="10">
        <f t="shared" si="159"/>
        <v>0</v>
      </c>
      <c r="V564" s="10">
        <f t="shared" si="160"/>
        <v>0</v>
      </c>
    </row>
    <row r="565" spans="1:22" x14ac:dyDescent="0.2">
      <c r="A565" s="32">
        <v>24</v>
      </c>
      <c r="B565" s="33">
        <v>0.33333333333333298</v>
      </c>
      <c r="C565" s="32">
        <f>'1200z'!E33</f>
        <v>0</v>
      </c>
      <c r="D565" s="32">
        <f>'1200z'!F33</f>
        <v>0</v>
      </c>
      <c r="E565" s="32">
        <f t="shared" si="161"/>
        <v>0</v>
      </c>
      <c r="F565" s="10">
        <f t="shared" si="162"/>
        <v>0</v>
      </c>
      <c r="G565" s="10">
        <f t="shared" si="163"/>
        <v>0</v>
      </c>
      <c r="H565" s="10">
        <f t="shared" si="146"/>
        <v>0</v>
      </c>
      <c r="I565" s="10">
        <f t="shared" si="147"/>
        <v>0</v>
      </c>
      <c r="J565" s="10">
        <f t="shared" si="148"/>
        <v>0</v>
      </c>
      <c r="K565" s="10">
        <f t="shared" si="149"/>
        <v>0</v>
      </c>
      <c r="L565" s="10">
        <f t="shared" si="150"/>
        <v>0</v>
      </c>
      <c r="M565" s="10">
        <f t="shared" si="151"/>
        <v>0</v>
      </c>
      <c r="N565" s="10">
        <f t="shared" si="152"/>
        <v>0</v>
      </c>
      <c r="O565" s="10">
        <f t="shared" si="153"/>
        <v>0</v>
      </c>
      <c r="P565" s="10">
        <f t="shared" si="154"/>
        <v>0</v>
      </c>
      <c r="Q565" s="10">
        <f t="shared" si="155"/>
        <v>0</v>
      </c>
      <c r="R565" s="10">
        <f t="shared" si="156"/>
        <v>0</v>
      </c>
      <c r="S565" s="10">
        <f t="shared" si="157"/>
        <v>0</v>
      </c>
      <c r="T565" s="10">
        <f t="shared" si="158"/>
        <v>0</v>
      </c>
      <c r="U565" s="10">
        <f t="shared" si="159"/>
        <v>0</v>
      </c>
      <c r="V565" s="10">
        <f t="shared" si="160"/>
        <v>0</v>
      </c>
    </row>
    <row r="566" spans="1:22" x14ac:dyDescent="0.2">
      <c r="A566" s="32">
        <v>24</v>
      </c>
      <c r="B566" s="33">
        <v>0.375</v>
      </c>
      <c r="C566" s="32">
        <f>'1300z'!E33</f>
        <v>11</v>
      </c>
      <c r="D566" s="32">
        <f>'1300z'!F33</f>
        <v>9</v>
      </c>
      <c r="E566" s="32">
        <f t="shared" si="161"/>
        <v>110</v>
      </c>
      <c r="F566" s="10">
        <f t="shared" si="162"/>
        <v>0</v>
      </c>
      <c r="G566" s="10">
        <f t="shared" si="163"/>
        <v>0</v>
      </c>
      <c r="H566" s="10">
        <f t="shared" si="146"/>
        <v>0</v>
      </c>
      <c r="I566" s="10">
        <f t="shared" si="147"/>
        <v>0</v>
      </c>
      <c r="J566" s="10">
        <f t="shared" si="148"/>
        <v>0</v>
      </c>
      <c r="K566" s="10">
        <f t="shared" si="149"/>
        <v>1</v>
      </c>
      <c r="L566" s="10">
        <f t="shared" si="150"/>
        <v>0</v>
      </c>
      <c r="M566" s="10">
        <f t="shared" si="151"/>
        <v>0</v>
      </c>
      <c r="N566" s="10">
        <f t="shared" si="152"/>
        <v>0</v>
      </c>
      <c r="O566" s="10">
        <f t="shared" si="153"/>
        <v>0</v>
      </c>
      <c r="P566" s="10">
        <f t="shared" si="154"/>
        <v>0</v>
      </c>
      <c r="Q566" s="10">
        <f t="shared" si="155"/>
        <v>0</v>
      </c>
      <c r="R566" s="10">
        <f t="shared" si="156"/>
        <v>0</v>
      </c>
      <c r="S566" s="10">
        <f t="shared" si="157"/>
        <v>0</v>
      </c>
      <c r="T566" s="10">
        <f t="shared" si="158"/>
        <v>0</v>
      </c>
      <c r="U566" s="10">
        <f t="shared" si="159"/>
        <v>0</v>
      </c>
      <c r="V566" s="10">
        <f t="shared" si="160"/>
        <v>0</v>
      </c>
    </row>
    <row r="567" spans="1:22" x14ac:dyDescent="0.2">
      <c r="A567" s="32">
        <v>24</v>
      </c>
      <c r="B567" s="33">
        <v>0.41666666666666702</v>
      </c>
      <c r="C567" s="32">
        <f>'1400z'!E33</f>
        <v>12</v>
      </c>
      <c r="D567" s="32">
        <f>'1400z'!F33</f>
        <v>11</v>
      </c>
      <c r="E567" s="32">
        <f t="shared" si="161"/>
        <v>120</v>
      </c>
      <c r="F567" s="10">
        <f t="shared" si="162"/>
        <v>0</v>
      </c>
      <c r="G567" s="10">
        <f t="shared" si="163"/>
        <v>0</v>
      </c>
      <c r="H567" s="10">
        <f t="shared" si="146"/>
        <v>0</v>
      </c>
      <c r="I567" s="10">
        <f t="shared" si="147"/>
        <v>0</v>
      </c>
      <c r="J567" s="10">
        <f t="shared" si="148"/>
        <v>0</v>
      </c>
      <c r="K567" s="10">
        <f t="shared" si="149"/>
        <v>1</v>
      </c>
      <c r="L567" s="10">
        <f t="shared" si="150"/>
        <v>0</v>
      </c>
      <c r="M567" s="10">
        <f t="shared" si="151"/>
        <v>0</v>
      </c>
      <c r="N567" s="10">
        <f t="shared" si="152"/>
        <v>0</v>
      </c>
      <c r="O567" s="10">
        <f t="shared" si="153"/>
        <v>0</v>
      </c>
      <c r="P567" s="10">
        <f t="shared" si="154"/>
        <v>0</v>
      </c>
      <c r="Q567" s="10">
        <f t="shared" si="155"/>
        <v>0</v>
      </c>
      <c r="R567" s="10">
        <f t="shared" si="156"/>
        <v>0</v>
      </c>
      <c r="S567" s="10">
        <f t="shared" si="157"/>
        <v>0</v>
      </c>
      <c r="T567" s="10">
        <f t="shared" si="158"/>
        <v>0</v>
      </c>
      <c r="U567" s="10">
        <f t="shared" si="159"/>
        <v>0</v>
      </c>
      <c r="V567" s="10">
        <f t="shared" si="160"/>
        <v>0</v>
      </c>
    </row>
    <row r="568" spans="1:22" x14ac:dyDescent="0.2">
      <c r="A568" s="32">
        <v>24</v>
      </c>
      <c r="B568" s="33">
        <v>0.45833333333333298</v>
      </c>
      <c r="C568" s="32">
        <f>'1500z'!E33</f>
        <v>9</v>
      </c>
      <c r="D568" s="32">
        <f>'1500z'!F33</f>
        <v>10</v>
      </c>
      <c r="E568" s="32">
        <f t="shared" si="161"/>
        <v>90</v>
      </c>
      <c r="F568" s="10">
        <f t="shared" si="162"/>
        <v>0</v>
      </c>
      <c r="G568" s="10">
        <f t="shared" si="163"/>
        <v>0</v>
      </c>
      <c r="H568" s="10">
        <f t="shared" si="146"/>
        <v>0</v>
      </c>
      <c r="I568" s="10">
        <f t="shared" si="147"/>
        <v>0</v>
      </c>
      <c r="J568" s="10">
        <f t="shared" si="148"/>
        <v>1</v>
      </c>
      <c r="K568" s="10">
        <f t="shared" si="149"/>
        <v>0</v>
      </c>
      <c r="L568" s="10">
        <f t="shared" si="150"/>
        <v>0</v>
      </c>
      <c r="M568" s="10">
        <f t="shared" si="151"/>
        <v>0</v>
      </c>
      <c r="N568" s="10">
        <f t="shared" si="152"/>
        <v>0</v>
      </c>
      <c r="O568" s="10">
        <f t="shared" si="153"/>
        <v>0</v>
      </c>
      <c r="P568" s="10">
        <f t="shared" si="154"/>
        <v>0</v>
      </c>
      <c r="Q568" s="10">
        <f t="shared" si="155"/>
        <v>0</v>
      </c>
      <c r="R568" s="10">
        <f t="shared" si="156"/>
        <v>0</v>
      </c>
      <c r="S568" s="10">
        <f t="shared" si="157"/>
        <v>0</v>
      </c>
      <c r="T568" s="10">
        <f t="shared" si="158"/>
        <v>0</v>
      </c>
      <c r="U568" s="10">
        <f t="shared" si="159"/>
        <v>0</v>
      </c>
      <c r="V568" s="10">
        <f t="shared" si="160"/>
        <v>0</v>
      </c>
    </row>
    <row r="569" spans="1:22" x14ac:dyDescent="0.2">
      <c r="A569" s="32">
        <v>24</v>
      </c>
      <c r="B569" s="33">
        <v>0.5</v>
      </c>
      <c r="C569" s="32">
        <f>'1600z'!E33</f>
        <v>11</v>
      </c>
      <c r="D569" s="32">
        <f>'1600z'!F33</f>
        <v>12</v>
      </c>
      <c r="E569" s="32">
        <f t="shared" si="161"/>
        <v>110</v>
      </c>
      <c r="F569" s="10">
        <f t="shared" si="162"/>
        <v>0</v>
      </c>
      <c r="G569" s="10">
        <f t="shared" si="163"/>
        <v>0</v>
      </c>
      <c r="H569" s="10">
        <f t="shared" si="146"/>
        <v>0</v>
      </c>
      <c r="I569" s="10">
        <f t="shared" si="147"/>
        <v>0</v>
      </c>
      <c r="J569" s="10">
        <f t="shared" si="148"/>
        <v>0</v>
      </c>
      <c r="K569" s="10">
        <f t="shared" si="149"/>
        <v>1</v>
      </c>
      <c r="L569" s="10">
        <f t="shared" si="150"/>
        <v>0</v>
      </c>
      <c r="M569" s="10">
        <f t="shared" si="151"/>
        <v>0</v>
      </c>
      <c r="N569" s="10">
        <f t="shared" si="152"/>
        <v>0</v>
      </c>
      <c r="O569" s="10">
        <f t="shared" si="153"/>
        <v>0</v>
      </c>
      <c r="P569" s="10">
        <f t="shared" si="154"/>
        <v>0</v>
      </c>
      <c r="Q569" s="10">
        <f t="shared" si="155"/>
        <v>0</v>
      </c>
      <c r="R569" s="10">
        <f t="shared" si="156"/>
        <v>0</v>
      </c>
      <c r="S569" s="10">
        <f t="shared" si="157"/>
        <v>0</v>
      </c>
      <c r="T569" s="10">
        <f t="shared" si="158"/>
        <v>0</v>
      </c>
      <c r="U569" s="10">
        <f t="shared" si="159"/>
        <v>0</v>
      </c>
      <c r="V569" s="10">
        <f t="shared" si="160"/>
        <v>0</v>
      </c>
    </row>
    <row r="570" spans="1:22" x14ac:dyDescent="0.2">
      <c r="A570" s="32">
        <v>24</v>
      </c>
      <c r="B570" s="33">
        <v>0.54166666666666696</v>
      </c>
      <c r="C570" s="32">
        <f>'1700z'!E33</f>
        <v>2</v>
      </c>
      <c r="D570" s="32">
        <f>'1700z'!F33</f>
        <v>11</v>
      </c>
      <c r="E570" s="32">
        <f t="shared" si="161"/>
        <v>20</v>
      </c>
      <c r="F570" s="10">
        <f t="shared" si="162"/>
        <v>0</v>
      </c>
      <c r="G570" s="10">
        <f t="shared" si="163"/>
        <v>1</v>
      </c>
      <c r="H570" s="10">
        <f t="shared" si="146"/>
        <v>0</v>
      </c>
      <c r="I570" s="10">
        <f t="shared" si="147"/>
        <v>0</v>
      </c>
      <c r="J570" s="10">
        <f t="shared" si="148"/>
        <v>0</v>
      </c>
      <c r="K570" s="10">
        <f t="shared" si="149"/>
        <v>0</v>
      </c>
      <c r="L570" s="10">
        <f t="shared" si="150"/>
        <v>0</v>
      </c>
      <c r="M570" s="10">
        <f t="shared" si="151"/>
        <v>0</v>
      </c>
      <c r="N570" s="10">
        <f t="shared" si="152"/>
        <v>0</v>
      </c>
      <c r="O570" s="10">
        <f t="shared" si="153"/>
        <v>0</v>
      </c>
      <c r="P570" s="10">
        <f t="shared" si="154"/>
        <v>0</v>
      </c>
      <c r="Q570" s="10">
        <f t="shared" si="155"/>
        <v>0</v>
      </c>
      <c r="R570" s="10">
        <f t="shared" si="156"/>
        <v>0</v>
      </c>
      <c r="S570" s="10">
        <f t="shared" si="157"/>
        <v>0</v>
      </c>
      <c r="T570" s="10">
        <f t="shared" si="158"/>
        <v>0</v>
      </c>
      <c r="U570" s="10">
        <f t="shared" si="159"/>
        <v>0</v>
      </c>
      <c r="V570" s="10">
        <f t="shared" si="160"/>
        <v>0</v>
      </c>
    </row>
    <row r="571" spans="1:22" x14ac:dyDescent="0.2">
      <c r="A571" s="32">
        <v>24</v>
      </c>
      <c r="B571" s="33">
        <v>0.58333333333333304</v>
      </c>
      <c r="C571" s="32">
        <f>'1800z'!E33</f>
        <v>3</v>
      </c>
      <c r="D571" s="32">
        <f>'1800z'!F33</f>
        <v>9</v>
      </c>
      <c r="E571" s="32">
        <f t="shared" si="161"/>
        <v>30</v>
      </c>
      <c r="F571" s="10">
        <f t="shared" si="162"/>
        <v>0</v>
      </c>
      <c r="G571" s="10">
        <f t="shared" si="163"/>
        <v>1</v>
      </c>
      <c r="H571" s="10">
        <f t="shared" si="146"/>
        <v>0</v>
      </c>
      <c r="I571" s="10">
        <f t="shared" si="147"/>
        <v>0</v>
      </c>
      <c r="J571" s="10">
        <f t="shared" si="148"/>
        <v>0</v>
      </c>
      <c r="K571" s="10">
        <f t="shared" si="149"/>
        <v>0</v>
      </c>
      <c r="L571" s="10">
        <f t="shared" si="150"/>
        <v>0</v>
      </c>
      <c r="M571" s="10">
        <f t="shared" si="151"/>
        <v>0</v>
      </c>
      <c r="N571" s="10">
        <f t="shared" si="152"/>
        <v>0</v>
      </c>
      <c r="O571" s="10">
        <f t="shared" si="153"/>
        <v>0</v>
      </c>
      <c r="P571" s="10">
        <f t="shared" si="154"/>
        <v>0</v>
      </c>
      <c r="Q571" s="10">
        <f t="shared" si="155"/>
        <v>0</v>
      </c>
      <c r="R571" s="10">
        <f t="shared" si="156"/>
        <v>0</v>
      </c>
      <c r="S571" s="10">
        <f t="shared" si="157"/>
        <v>0</v>
      </c>
      <c r="T571" s="10">
        <f t="shared" si="158"/>
        <v>0</v>
      </c>
      <c r="U571" s="10">
        <f t="shared" si="159"/>
        <v>0</v>
      </c>
      <c r="V571" s="10">
        <f t="shared" si="160"/>
        <v>0</v>
      </c>
    </row>
    <row r="572" spans="1:22" x14ac:dyDescent="0.2">
      <c r="A572" s="32">
        <v>24</v>
      </c>
      <c r="B572" s="33">
        <v>0.625</v>
      </c>
      <c r="C572" s="32">
        <f>'1900z'!E33</f>
        <v>2</v>
      </c>
      <c r="D572" s="32">
        <f>'1900z'!F33</f>
        <v>0</v>
      </c>
      <c r="E572" s="32">
        <f t="shared" si="161"/>
        <v>20</v>
      </c>
      <c r="F572" s="10">
        <f t="shared" si="162"/>
        <v>0</v>
      </c>
      <c r="G572" s="10">
        <f t="shared" si="163"/>
        <v>1</v>
      </c>
      <c r="H572" s="10">
        <f t="shared" si="146"/>
        <v>0</v>
      </c>
      <c r="I572" s="10">
        <f t="shared" si="147"/>
        <v>0</v>
      </c>
      <c r="J572" s="10">
        <f t="shared" si="148"/>
        <v>0</v>
      </c>
      <c r="K572" s="10">
        <f t="shared" si="149"/>
        <v>0</v>
      </c>
      <c r="L572" s="10">
        <f t="shared" si="150"/>
        <v>0</v>
      </c>
      <c r="M572" s="10">
        <f t="shared" si="151"/>
        <v>0</v>
      </c>
      <c r="N572" s="10">
        <f t="shared" si="152"/>
        <v>0</v>
      </c>
      <c r="O572" s="10">
        <f t="shared" si="153"/>
        <v>0</v>
      </c>
      <c r="P572" s="10">
        <f t="shared" si="154"/>
        <v>0</v>
      </c>
      <c r="Q572" s="10">
        <f t="shared" si="155"/>
        <v>0</v>
      </c>
      <c r="R572" s="10">
        <f t="shared" si="156"/>
        <v>0</v>
      </c>
      <c r="S572" s="10">
        <f t="shared" si="157"/>
        <v>0</v>
      </c>
      <c r="T572" s="10">
        <f t="shared" si="158"/>
        <v>0</v>
      </c>
      <c r="U572" s="10">
        <f t="shared" si="159"/>
        <v>0</v>
      </c>
      <c r="V572" s="10">
        <f t="shared" si="160"/>
        <v>0</v>
      </c>
    </row>
    <row r="573" spans="1:22" x14ac:dyDescent="0.2">
      <c r="A573" s="32">
        <v>24</v>
      </c>
      <c r="B573" s="33">
        <v>0.66666666666666696</v>
      </c>
      <c r="C573" s="32">
        <f>'2000z'!E33</f>
        <v>0</v>
      </c>
      <c r="D573" s="32">
        <f>'2000z'!F33</f>
        <v>0</v>
      </c>
      <c r="E573" s="32">
        <f t="shared" si="161"/>
        <v>0</v>
      </c>
      <c r="F573" s="10">
        <f t="shared" si="162"/>
        <v>0</v>
      </c>
      <c r="G573" s="10">
        <f t="shared" si="163"/>
        <v>0</v>
      </c>
      <c r="H573" s="10">
        <f t="shared" si="146"/>
        <v>0</v>
      </c>
      <c r="I573" s="10">
        <f t="shared" si="147"/>
        <v>0</v>
      </c>
      <c r="J573" s="10">
        <f t="shared" si="148"/>
        <v>0</v>
      </c>
      <c r="K573" s="10">
        <f t="shared" si="149"/>
        <v>0</v>
      </c>
      <c r="L573" s="10">
        <f t="shared" si="150"/>
        <v>0</v>
      </c>
      <c r="M573" s="10">
        <f t="shared" si="151"/>
        <v>0</v>
      </c>
      <c r="N573" s="10">
        <f t="shared" si="152"/>
        <v>0</v>
      </c>
      <c r="O573" s="10">
        <f t="shared" si="153"/>
        <v>0</v>
      </c>
      <c r="P573" s="10">
        <f t="shared" si="154"/>
        <v>0</v>
      </c>
      <c r="Q573" s="10">
        <f t="shared" si="155"/>
        <v>0</v>
      </c>
      <c r="R573" s="10">
        <f t="shared" si="156"/>
        <v>0</v>
      </c>
      <c r="S573" s="10">
        <f t="shared" si="157"/>
        <v>0</v>
      </c>
      <c r="T573" s="10">
        <f t="shared" si="158"/>
        <v>0</v>
      </c>
      <c r="U573" s="10">
        <f t="shared" si="159"/>
        <v>0</v>
      </c>
      <c r="V573" s="10">
        <f t="shared" si="160"/>
        <v>0</v>
      </c>
    </row>
    <row r="574" spans="1:22" x14ac:dyDescent="0.2">
      <c r="A574" s="32">
        <v>24</v>
      </c>
      <c r="B574" s="33">
        <v>0.70833333333333304</v>
      </c>
      <c r="C574" s="32">
        <f>'2100z'!E33</f>
        <v>0</v>
      </c>
      <c r="D574" s="32">
        <f>'2100z'!F33</f>
        <v>0</v>
      </c>
      <c r="E574" s="32">
        <f t="shared" si="161"/>
        <v>0</v>
      </c>
      <c r="F574" s="10">
        <f t="shared" si="162"/>
        <v>0</v>
      </c>
      <c r="G574" s="10">
        <f t="shared" si="163"/>
        <v>0</v>
      </c>
      <c r="H574" s="10">
        <f t="shared" si="146"/>
        <v>0</v>
      </c>
      <c r="I574" s="10">
        <f t="shared" si="147"/>
        <v>0</v>
      </c>
      <c r="J574" s="10">
        <f t="shared" si="148"/>
        <v>0</v>
      </c>
      <c r="K574" s="10">
        <f t="shared" si="149"/>
        <v>0</v>
      </c>
      <c r="L574" s="10">
        <f t="shared" si="150"/>
        <v>0</v>
      </c>
      <c r="M574" s="10">
        <f t="shared" si="151"/>
        <v>0</v>
      </c>
      <c r="N574" s="10">
        <f t="shared" si="152"/>
        <v>0</v>
      </c>
      <c r="O574" s="10">
        <f t="shared" si="153"/>
        <v>0</v>
      </c>
      <c r="P574" s="10">
        <f t="shared" si="154"/>
        <v>0</v>
      </c>
      <c r="Q574" s="10">
        <f t="shared" si="155"/>
        <v>0</v>
      </c>
      <c r="R574" s="10">
        <f t="shared" si="156"/>
        <v>0</v>
      </c>
      <c r="S574" s="10">
        <f t="shared" si="157"/>
        <v>0</v>
      </c>
      <c r="T574" s="10">
        <f t="shared" si="158"/>
        <v>0</v>
      </c>
      <c r="U574" s="10">
        <f t="shared" si="159"/>
        <v>0</v>
      </c>
      <c r="V574" s="10">
        <f t="shared" si="160"/>
        <v>0</v>
      </c>
    </row>
    <row r="575" spans="1:22" x14ac:dyDescent="0.2">
      <c r="A575" s="32">
        <v>24</v>
      </c>
      <c r="B575" s="33">
        <v>0.75</v>
      </c>
      <c r="C575" s="32">
        <f>'2200z'!E33</f>
        <v>7</v>
      </c>
      <c r="D575" s="32">
        <f>'2200z'!F33</f>
        <v>5</v>
      </c>
      <c r="E575" s="32">
        <f t="shared" si="161"/>
        <v>70</v>
      </c>
      <c r="F575" s="10">
        <f t="shared" si="162"/>
        <v>0</v>
      </c>
      <c r="G575" s="10">
        <f t="shared" si="163"/>
        <v>0</v>
      </c>
      <c r="H575" s="10">
        <f t="shared" si="146"/>
        <v>0</v>
      </c>
      <c r="I575" s="10">
        <f t="shared" si="147"/>
        <v>1</v>
      </c>
      <c r="J575" s="10">
        <f t="shared" si="148"/>
        <v>0</v>
      </c>
      <c r="K575" s="10">
        <f t="shared" si="149"/>
        <v>0</v>
      </c>
      <c r="L575" s="10">
        <f t="shared" si="150"/>
        <v>0</v>
      </c>
      <c r="M575" s="10">
        <f t="shared" si="151"/>
        <v>0</v>
      </c>
      <c r="N575" s="10">
        <f t="shared" si="152"/>
        <v>0</v>
      </c>
      <c r="O575" s="10">
        <f t="shared" si="153"/>
        <v>0</v>
      </c>
      <c r="P575" s="10">
        <f t="shared" si="154"/>
        <v>0</v>
      </c>
      <c r="Q575" s="10">
        <f t="shared" si="155"/>
        <v>0</v>
      </c>
      <c r="R575" s="10">
        <f t="shared" si="156"/>
        <v>0</v>
      </c>
      <c r="S575" s="10">
        <f t="shared" si="157"/>
        <v>0</v>
      </c>
      <c r="T575" s="10">
        <f t="shared" si="158"/>
        <v>0</v>
      </c>
      <c r="U575" s="10">
        <f t="shared" si="159"/>
        <v>0</v>
      </c>
      <c r="V575" s="10">
        <f t="shared" si="160"/>
        <v>0</v>
      </c>
    </row>
    <row r="576" spans="1:22" x14ac:dyDescent="0.2">
      <c r="A576" s="32">
        <v>24</v>
      </c>
      <c r="B576" s="33">
        <v>0.79166666666666696</v>
      </c>
      <c r="C576" s="32">
        <f>'2300z'!E33</f>
        <v>8</v>
      </c>
      <c r="D576" s="32">
        <f>'2300z'!F33</f>
        <v>10</v>
      </c>
      <c r="E576" s="32">
        <f t="shared" si="161"/>
        <v>80</v>
      </c>
      <c r="F576" s="10">
        <f t="shared" si="162"/>
        <v>0</v>
      </c>
      <c r="G576" s="10">
        <f t="shared" si="163"/>
        <v>0</v>
      </c>
      <c r="H576" s="10">
        <f t="shared" si="146"/>
        <v>0</v>
      </c>
      <c r="I576" s="10">
        <f t="shared" si="147"/>
        <v>0</v>
      </c>
      <c r="J576" s="10">
        <f t="shared" si="148"/>
        <v>1</v>
      </c>
      <c r="K576" s="10">
        <f t="shared" si="149"/>
        <v>0</v>
      </c>
      <c r="L576" s="10">
        <f t="shared" si="150"/>
        <v>0</v>
      </c>
      <c r="M576" s="10">
        <f t="shared" si="151"/>
        <v>0</v>
      </c>
      <c r="N576" s="10">
        <f t="shared" si="152"/>
        <v>0</v>
      </c>
      <c r="O576" s="10">
        <f t="shared" si="153"/>
        <v>0</v>
      </c>
      <c r="P576" s="10">
        <f t="shared" si="154"/>
        <v>0</v>
      </c>
      <c r="Q576" s="10">
        <f t="shared" si="155"/>
        <v>0</v>
      </c>
      <c r="R576" s="10">
        <f t="shared" si="156"/>
        <v>0</v>
      </c>
      <c r="S576" s="10">
        <f t="shared" si="157"/>
        <v>0</v>
      </c>
      <c r="T576" s="10">
        <f t="shared" si="158"/>
        <v>0</v>
      </c>
      <c r="U576" s="10">
        <f t="shared" si="159"/>
        <v>0</v>
      </c>
      <c r="V576" s="10">
        <f t="shared" si="160"/>
        <v>0</v>
      </c>
    </row>
    <row r="577" spans="1:22" x14ac:dyDescent="0.2">
      <c r="A577" s="32">
        <v>24</v>
      </c>
      <c r="B577" s="33">
        <v>0.83333333333333304</v>
      </c>
      <c r="C577" s="32">
        <f>'0000z'!E33</f>
        <v>7</v>
      </c>
      <c r="D577" s="32">
        <f>'0000z'!F33</f>
        <v>5</v>
      </c>
      <c r="E577" s="32">
        <f t="shared" si="161"/>
        <v>70</v>
      </c>
      <c r="F577" s="10">
        <f t="shared" si="162"/>
        <v>0</v>
      </c>
      <c r="G577" s="10">
        <f t="shared" si="163"/>
        <v>0</v>
      </c>
      <c r="H577" s="10">
        <f t="shared" si="146"/>
        <v>0</v>
      </c>
      <c r="I577" s="10">
        <f t="shared" si="147"/>
        <v>1</v>
      </c>
      <c r="J577" s="10">
        <f t="shared" si="148"/>
        <v>0</v>
      </c>
      <c r="K577" s="10">
        <f t="shared" si="149"/>
        <v>0</v>
      </c>
      <c r="L577" s="10">
        <f t="shared" si="150"/>
        <v>0</v>
      </c>
      <c r="M577" s="10">
        <f t="shared" si="151"/>
        <v>0</v>
      </c>
      <c r="N577" s="10">
        <f t="shared" si="152"/>
        <v>0</v>
      </c>
      <c r="O577" s="10">
        <f t="shared" si="153"/>
        <v>0</v>
      </c>
      <c r="P577" s="10">
        <f t="shared" si="154"/>
        <v>0</v>
      </c>
      <c r="Q577" s="10">
        <f t="shared" si="155"/>
        <v>0</v>
      </c>
      <c r="R577" s="10">
        <f t="shared" si="156"/>
        <v>0</v>
      </c>
      <c r="S577" s="10">
        <f t="shared" si="157"/>
        <v>0</v>
      </c>
      <c r="T577" s="10">
        <f t="shared" si="158"/>
        <v>0</v>
      </c>
      <c r="U577" s="10">
        <f t="shared" si="159"/>
        <v>0</v>
      </c>
      <c r="V577" s="10">
        <f t="shared" si="160"/>
        <v>0</v>
      </c>
    </row>
    <row r="578" spans="1:22" x14ac:dyDescent="0.2">
      <c r="A578" s="32">
        <v>24</v>
      </c>
      <c r="B578" s="33">
        <v>0.875</v>
      </c>
      <c r="C578" s="32">
        <f>'0100z'!E33</f>
        <v>8</v>
      </c>
      <c r="D578" s="32">
        <f>'0100z'!F33</f>
        <v>10</v>
      </c>
      <c r="E578" s="32">
        <f t="shared" si="161"/>
        <v>80</v>
      </c>
      <c r="F578" s="10">
        <f t="shared" si="162"/>
        <v>0</v>
      </c>
      <c r="G578" s="10">
        <f t="shared" si="163"/>
        <v>0</v>
      </c>
      <c r="H578" s="10">
        <f t="shared" si="146"/>
        <v>0</v>
      </c>
      <c r="I578" s="10">
        <f t="shared" si="147"/>
        <v>0</v>
      </c>
      <c r="J578" s="10">
        <f t="shared" si="148"/>
        <v>1</v>
      </c>
      <c r="K578" s="10">
        <f t="shared" si="149"/>
        <v>0</v>
      </c>
      <c r="L578" s="10">
        <f t="shared" si="150"/>
        <v>0</v>
      </c>
      <c r="M578" s="10">
        <f t="shared" si="151"/>
        <v>0</v>
      </c>
      <c r="N578" s="10">
        <f t="shared" si="152"/>
        <v>0</v>
      </c>
      <c r="O578" s="10">
        <f t="shared" si="153"/>
        <v>0</v>
      </c>
      <c r="P578" s="10">
        <f t="shared" si="154"/>
        <v>0</v>
      </c>
      <c r="Q578" s="10">
        <f t="shared" si="155"/>
        <v>0</v>
      </c>
      <c r="R578" s="10">
        <f t="shared" si="156"/>
        <v>0</v>
      </c>
      <c r="S578" s="10">
        <f t="shared" si="157"/>
        <v>0</v>
      </c>
      <c r="T578" s="10">
        <f t="shared" si="158"/>
        <v>0</v>
      </c>
      <c r="U578" s="10">
        <f t="shared" si="159"/>
        <v>0</v>
      </c>
      <c r="V578" s="10">
        <f t="shared" si="160"/>
        <v>0</v>
      </c>
    </row>
    <row r="579" spans="1:22" x14ac:dyDescent="0.2">
      <c r="A579" s="32">
        <v>24</v>
      </c>
      <c r="B579" s="33">
        <v>0.91666666666666696</v>
      </c>
      <c r="C579" s="32">
        <f>'0200z'!E33</f>
        <v>6</v>
      </c>
      <c r="D579" s="32">
        <f>'0200z'!F33</f>
        <v>10</v>
      </c>
      <c r="E579" s="32">
        <f t="shared" si="161"/>
        <v>60</v>
      </c>
      <c r="F579" s="10">
        <f t="shared" si="162"/>
        <v>0</v>
      </c>
      <c r="G579" s="10">
        <f t="shared" si="163"/>
        <v>0</v>
      </c>
      <c r="H579" s="10">
        <f t="shared" si="146"/>
        <v>0</v>
      </c>
      <c r="I579" s="10">
        <f t="shared" si="147"/>
        <v>1</v>
      </c>
      <c r="J579" s="10">
        <f t="shared" si="148"/>
        <v>0</v>
      </c>
      <c r="K579" s="10">
        <f t="shared" si="149"/>
        <v>0</v>
      </c>
      <c r="L579" s="10">
        <f t="shared" si="150"/>
        <v>0</v>
      </c>
      <c r="M579" s="10">
        <f t="shared" si="151"/>
        <v>0</v>
      </c>
      <c r="N579" s="10">
        <f t="shared" si="152"/>
        <v>0</v>
      </c>
      <c r="O579" s="10">
        <f t="shared" si="153"/>
        <v>0</v>
      </c>
      <c r="P579" s="10">
        <f t="shared" si="154"/>
        <v>0</v>
      </c>
      <c r="Q579" s="10">
        <f t="shared" si="155"/>
        <v>0</v>
      </c>
      <c r="R579" s="10">
        <f t="shared" si="156"/>
        <v>0</v>
      </c>
      <c r="S579" s="10">
        <f t="shared" si="157"/>
        <v>0</v>
      </c>
      <c r="T579" s="10">
        <f t="shared" si="158"/>
        <v>0</v>
      </c>
      <c r="U579" s="10">
        <f t="shared" si="159"/>
        <v>0</v>
      </c>
      <c r="V579" s="10">
        <f t="shared" si="160"/>
        <v>0</v>
      </c>
    </row>
    <row r="580" spans="1:22" x14ac:dyDescent="0.2">
      <c r="A580" s="32">
        <v>24</v>
      </c>
      <c r="B580" s="33">
        <v>0.95833333333333304</v>
      </c>
      <c r="C580" s="32">
        <f>'0300z'!E33</f>
        <v>8</v>
      </c>
      <c r="D580" s="32">
        <f>'0300z'!F33</f>
        <v>7</v>
      </c>
      <c r="E580" s="32">
        <f t="shared" si="161"/>
        <v>80</v>
      </c>
      <c r="F580" s="10">
        <f t="shared" si="162"/>
        <v>0</v>
      </c>
      <c r="G580" s="10">
        <f t="shared" si="163"/>
        <v>0</v>
      </c>
      <c r="H580" s="10">
        <f t="shared" si="146"/>
        <v>0</v>
      </c>
      <c r="I580" s="10">
        <f t="shared" si="147"/>
        <v>0</v>
      </c>
      <c r="J580" s="10">
        <f t="shared" si="148"/>
        <v>1</v>
      </c>
      <c r="K580" s="10">
        <f t="shared" si="149"/>
        <v>0</v>
      </c>
      <c r="L580" s="10">
        <f t="shared" si="150"/>
        <v>0</v>
      </c>
      <c r="M580" s="10">
        <f t="shared" si="151"/>
        <v>0</v>
      </c>
      <c r="N580" s="10">
        <f t="shared" si="152"/>
        <v>0</v>
      </c>
      <c r="O580" s="10">
        <f t="shared" si="153"/>
        <v>0</v>
      </c>
      <c r="P580" s="10">
        <f t="shared" si="154"/>
        <v>0</v>
      </c>
      <c r="Q580" s="10">
        <f t="shared" si="155"/>
        <v>0</v>
      </c>
      <c r="R580" s="10">
        <f t="shared" si="156"/>
        <v>0</v>
      </c>
      <c r="S580" s="10">
        <f t="shared" si="157"/>
        <v>0</v>
      </c>
      <c r="T580" s="10">
        <f t="shared" si="158"/>
        <v>0</v>
      </c>
      <c r="U580" s="10">
        <f t="shared" si="159"/>
        <v>0</v>
      </c>
      <c r="V580" s="10">
        <f t="shared" si="160"/>
        <v>0</v>
      </c>
    </row>
    <row r="581" spans="1:22" x14ac:dyDescent="0.2">
      <c r="A581" s="32">
        <v>25</v>
      </c>
      <c r="B581" s="33">
        <v>0</v>
      </c>
      <c r="C581" s="32">
        <f>'0400z'!E34</f>
        <v>7</v>
      </c>
      <c r="D581" s="32">
        <f>'0400z'!F34</f>
        <v>5</v>
      </c>
      <c r="E581" s="32">
        <f t="shared" si="161"/>
        <v>70</v>
      </c>
      <c r="F581" s="10">
        <f t="shared" si="162"/>
        <v>0</v>
      </c>
      <c r="G581" s="10">
        <f t="shared" si="163"/>
        <v>0</v>
      </c>
      <c r="H581" s="10">
        <f t="shared" si="146"/>
        <v>0</v>
      </c>
      <c r="I581" s="10">
        <f t="shared" si="147"/>
        <v>1</v>
      </c>
      <c r="J581" s="10">
        <f t="shared" si="148"/>
        <v>0</v>
      </c>
      <c r="K581" s="10">
        <f t="shared" si="149"/>
        <v>0</v>
      </c>
      <c r="L581" s="10">
        <f t="shared" si="150"/>
        <v>0</v>
      </c>
      <c r="M581" s="10">
        <f t="shared" si="151"/>
        <v>0</v>
      </c>
      <c r="N581" s="10">
        <f t="shared" si="152"/>
        <v>0</v>
      </c>
      <c r="O581" s="10">
        <f t="shared" si="153"/>
        <v>0</v>
      </c>
      <c r="P581" s="10">
        <f t="shared" si="154"/>
        <v>0</v>
      </c>
      <c r="Q581" s="10">
        <f t="shared" si="155"/>
        <v>0</v>
      </c>
      <c r="R581" s="10">
        <f t="shared" si="156"/>
        <v>0</v>
      </c>
      <c r="S581" s="10">
        <f t="shared" si="157"/>
        <v>0</v>
      </c>
      <c r="T581" s="10">
        <f t="shared" si="158"/>
        <v>0</v>
      </c>
      <c r="U581" s="10">
        <f t="shared" si="159"/>
        <v>0</v>
      </c>
      <c r="V581" s="10">
        <f t="shared" si="160"/>
        <v>0</v>
      </c>
    </row>
    <row r="582" spans="1:22" x14ac:dyDescent="0.2">
      <c r="A582" s="32">
        <v>25</v>
      </c>
      <c r="B582" s="33">
        <v>4.1666666666666664E-2</v>
      </c>
      <c r="C582" s="32">
        <f>'0500z'!E34</f>
        <v>0</v>
      </c>
      <c r="D582" s="32">
        <f>'0500z'!F34</f>
        <v>0</v>
      </c>
      <c r="E582" s="32">
        <f t="shared" si="161"/>
        <v>0</v>
      </c>
      <c r="F582" s="10">
        <f t="shared" si="162"/>
        <v>0</v>
      </c>
      <c r="G582" s="10">
        <f t="shared" si="163"/>
        <v>0</v>
      </c>
      <c r="H582" s="10">
        <f t="shared" ref="H582:H645" si="164">IF(E582&gt;33.75,IF(E582&lt;=56.25,1,0),0)</f>
        <v>0</v>
      </c>
      <c r="I582" s="10">
        <f t="shared" ref="I582:I645" si="165">IF(E582&gt;56.25,IF(E582&lt;=78.75,1,0),0)</f>
        <v>0</v>
      </c>
      <c r="J582" s="10">
        <f t="shared" ref="J582:J645" si="166">IF(E582&gt;78.75,IF(E582&lt;=101.25,1,0),0)</f>
        <v>0</v>
      </c>
      <c r="K582" s="10">
        <f t="shared" ref="K582:K645" si="167">IF(E582&gt;101.25,IF(E582&lt;=123.75,1,0),0)</f>
        <v>0</v>
      </c>
      <c r="L582" s="10">
        <f t="shared" ref="L582:L645" si="168">IF(E582&gt;123.75,IF(E582&lt;=146.25,1,0),0)</f>
        <v>0</v>
      </c>
      <c r="M582" s="10">
        <f t="shared" ref="M582:M645" si="169">IF(E582&gt;146.25,IF(E582&lt;=168.75,1,0),0)</f>
        <v>0</v>
      </c>
      <c r="N582" s="10">
        <f t="shared" ref="N582:N645" si="170">IF(E582&gt;168.75,IF(E582&lt;=191.25,1,0),0)</f>
        <v>0</v>
      </c>
      <c r="O582" s="10">
        <f t="shared" ref="O582:O645" si="171">IF(E582&gt;191.25,IF(E582&lt;=213.75,1,0),0)</f>
        <v>0</v>
      </c>
      <c r="P582" s="10">
        <f t="shared" ref="P582:P645" si="172">IF(E582&gt;213.75,IF(E582&lt;=236.25,1,0),0)</f>
        <v>0</v>
      </c>
      <c r="Q582" s="10">
        <f t="shared" ref="Q582:Q645" si="173">IF(E582&gt;236.25,IF(E582&lt;=258.75,1,0),0)</f>
        <v>0</v>
      </c>
      <c r="R582" s="10">
        <f t="shared" ref="R582:R645" si="174">IF(E582&gt;258.75,IF(E582&lt;=281.25,1,0),0)</f>
        <v>0</v>
      </c>
      <c r="S582" s="10">
        <f t="shared" ref="S582:S645" si="175">IF(E582&gt;281.25,IF(E582&lt;=303.75,1,0),0)</f>
        <v>0</v>
      </c>
      <c r="T582" s="10">
        <f t="shared" ref="T582:T645" si="176">IF(E582&gt;303.75,IF(E582&lt;=326.25,1,0),0)</f>
        <v>0</v>
      </c>
      <c r="U582" s="10">
        <f t="shared" ref="U582:U645" si="177">IF(E582&gt;326.25,IF(E582&lt;=348.75,1,0),0)</f>
        <v>0</v>
      </c>
      <c r="V582" s="10">
        <f t="shared" ref="V582:V645" si="178">IF(E582&gt;348.75,IF(E582&lt;=360,1,0),0)</f>
        <v>0</v>
      </c>
    </row>
    <row r="583" spans="1:22" x14ac:dyDescent="0.2">
      <c r="A583" s="32">
        <v>25</v>
      </c>
      <c r="B583" s="33">
        <v>8.3333333333333329E-2</v>
      </c>
      <c r="C583" s="32">
        <f>'0600z'!E34</f>
        <v>8</v>
      </c>
      <c r="D583" s="32">
        <f>'0600z'!F34</f>
        <v>5</v>
      </c>
      <c r="E583" s="32">
        <f t="shared" ref="E583:E646" si="179">(C583*10)</f>
        <v>80</v>
      </c>
      <c r="F583" s="10">
        <f t="shared" ref="F583:F646" si="180">IF(E583&gt;0,IF(E583&lt;=11.25,1,0),0)</f>
        <v>0</v>
      </c>
      <c r="G583" s="10">
        <f t="shared" ref="G583:G646" si="181">IF(E583&gt;11.25,IF(E583&lt;=33.75,1,0),0)</f>
        <v>0</v>
      </c>
      <c r="H583" s="10">
        <f t="shared" si="164"/>
        <v>0</v>
      </c>
      <c r="I583" s="10">
        <f t="shared" si="165"/>
        <v>0</v>
      </c>
      <c r="J583" s="10">
        <f t="shared" si="166"/>
        <v>1</v>
      </c>
      <c r="K583" s="10">
        <f t="shared" si="167"/>
        <v>0</v>
      </c>
      <c r="L583" s="10">
        <f t="shared" si="168"/>
        <v>0</v>
      </c>
      <c r="M583" s="10">
        <f t="shared" si="169"/>
        <v>0</v>
      </c>
      <c r="N583" s="10">
        <f t="shared" si="170"/>
        <v>0</v>
      </c>
      <c r="O583" s="10">
        <f t="shared" si="171"/>
        <v>0</v>
      </c>
      <c r="P583" s="10">
        <f t="shared" si="172"/>
        <v>0</v>
      </c>
      <c r="Q583" s="10">
        <f t="shared" si="173"/>
        <v>0</v>
      </c>
      <c r="R583" s="10">
        <f t="shared" si="174"/>
        <v>0</v>
      </c>
      <c r="S583" s="10">
        <f t="shared" si="175"/>
        <v>0</v>
      </c>
      <c r="T583" s="10">
        <f t="shared" si="176"/>
        <v>0</v>
      </c>
      <c r="U583" s="10">
        <f t="shared" si="177"/>
        <v>0</v>
      </c>
      <c r="V583" s="10">
        <f t="shared" si="178"/>
        <v>0</v>
      </c>
    </row>
    <row r="584" spans="1:22" x14ac:dyDescent="0.2">
      <c r="A584" s="32">
        <v>25</v>
      </c>
      <c r="B584" s="33">
        <v>0.125</v>
      </c>
      <c r="C584" s="32">
        <f>'0700z'!E34</f>
        <v>8</v>
      </c>
      <c r="D584" s="32">
        <f>'0700z'!F34</f>
        <v>5</v>
      </c>
      <c r="E584" s="32">
        <f t="shared" si="179"/>
        <v>80</v>
      </c>
      <c r="F584" s="10">
        <f t="shared" si="180"/>
        <v>0</v>
      </c>
      <c r="G584" s="10">
        <f t="shared" si="181"/>
        <v>0</v>
      </c>
      <c r="H584" s="10">
        <f t="shared" si="164"/>
        <v>0</v>
      </c>
      <c r="I584" s="10">
        <f t="shared" si="165"/>
        <v>0</v>
      </c>
      <c r="J584" s="10">
        <f t="shared" si="166"/>
        <v>1</v>
      </c>
      <c r="K584" s="10">
        <f t="shared" si="167"/>
        <v>0</v>
      </c>
      <c r="L584" s="10">
        <f t="shared" si="168"/>
        <v>0</v>
      </c>
      <c r="M584" s="10">
        <f t="shared" si="169"/>
        <v>0</v>
      </c>
      <c r="N584" s="10">
        <f t="shared" si="170"/>
        <v>0</v>
      </c>
      <c r="O584" s="10">
        <f t="shared" si="171"/>
        <v>0</v>
      </c>
      <c r="P584" s="10">
        <f t="shared" si="172"/>
        <v>0</v>
      </c>
      <c r="Q584" s="10">
        <f t="shared" si="173"/>
        <v>0</v>
      </c>
      <c r="R584" s="10">
        <f t="shared" si="174"/>
        <v>0</v>
      </c>
      <c r="S584" s="10">
        <f t="shared" si="175"/>
        <v>0</v>
      </c>
      <c r="T584" s="10">
        <f t="shared" si="176"/>
        <v>0</v>
      </c>
      <c r="U584" s="10">
        <f t="shared" si="177"/>
        <v>0</v>
      </c>
      <c r="V584" s="10">
        <f t="shared" si="178"/>
        <v>0</v>
      </c>
    </row>
    <row r="585" spans="1:22" x14ac:dyDescent="0.2">
      <c r="A585" s="32">
        <v>25</v>
      </c>
      <c r="B585" s="33">
        <v>0.16666666666666699</v>
      </c>
      <c r="C585" s="32">
        <f>'0800z'!E34</f>
        <v>0</v>
      </c>
      <c r="D585" s="32">
        <f>'0800z'!F34</f>
        <v>0</v>
      </c>
      <c r="E585" s="32">
        <f t="shared" si="179"/>
        <v>0</v>
      </c>
      <c r="F585" s="10">
        <f t="shared" si="180"/>
        <v>0</v>
      </c>
      <c r="G585" s="10">
        <f t="shared" si="181"/>
        <v>0</v>
      </c>
      <c r="H585" s="10">
        <f t="shared" si="164"/>
        <v>0</v>
      </c>
      <c r="I585" s="10">
        <f t="shared" si="165"/>
        <v>0</v>
      </c>
      <c r="J585" s="10">
        <f t="shared" si="166"/>
        <v>0</v>
      </c>
      <c r="K585" s="10">
        <f t="shared" si="167"/>
        <v>0</v>
      </c>
      <c r="L585" s="10">
        <f t="shared" si="168"/>
        <v>0</v>
      </c>
      <c r="M585" s="10">
        <f t="shared" si="169"/>
        <v>0</v>
      </c>
      <c r="N585" s="10">
        <f t="shared" si="170"/>
        <v>0</v>
      </c>
      <c r="O585" s="10">
        <f t="shared" si="171"/>
        <v>0</v>
      </c>
      <c r="P585" s="10">
        <f t="shared" si="172"/>
        <v>0</v>
      </c>
      <c r="Q585" s="10">
        <f t="shared" si="173"/>
        <v>0</v>
      </c>
      <c r="R585" s="10">
        <f t="shared" si="174"/>
        <v>0</v>
      </c>
      <c r="S585" s="10">
        <f t="shared" si="175"/>
        <v>0</v>
      </c>
      <c r="T585" s="10">
        <f t="shared" si="176"/>
        <v>0</v>
      </c>
      <c r="U585" s="10">
        <f t="shared" si="177"/>
        <v>0</v>
      </c>
      <c r="V585" s="10">
        <f t="shared" si="178"/>
        <v>0</v>
      </c>
    </row>
    <row r="586" spans="1:22" x14ac:dyDescent="0.2">
      <c r="A586" s="32">
        <v>25</v>
      </c>
      <c r="B586" s="33">
        <v>0.20833333333333301</v>
      </c>
      <c r="C586" s="32">
        <f>'0900z'!E34</f>
        <v>0</v>
      </c>
      <c r="D586" s="32">
        <f>'0900z'!F34</f>
        <v>0</v>
      </c>
      <c r="E586" s="32">
        <f t="shared" si="179"/>
        <v>0</v>
      </c>
      <c r="F586" s="10">
        <f t="shared" si="180"/>
        <v>0</v>
      </c>
      <c r="G586" s="10">
        <f t="shared" si="181"/>
        <v>0</v>
      </c>
      <c r="H586" s="10">
        <f t="shared" si="164"/>
        <v>0</v>
      </c>
      <c r="I586" s="10">
        <f t="shared" si="165"/>
        <v>0</v>
      </c>
      <c r="J586" s="10">
        <f t="shared" si="166"/>
        <v>0</v>
      </c>
      <c r="K586" s="10">
        <f t="shared" si="167"/>
        <v>0</v>
      </c>
      <c r="L586" s="10">
        <f t="shared" si="168"/>
        <v>0</v>
      </c>
      <c r="M586" s="10">
        <f t="shared" si="169"/>
        <v>0</v>
      </c>
      <c r="N586" s="10">
        <f t="shared" si="170"/>
        <v>0</v>
      </c>
      <c r="O586" s="10">
        <f t="shared" si="171"/>
        <v>0</v>
      </c>
      <c r="P586" s="10">
        <f t="shared" si="172"/>
        <v>0</v>
      </c>
      <c r="Q586" s="10">
        <f t="shared" si="173"/>
        <v>0</v>
      </c>
      <c r="R586" s="10">
        <f t="shared" si="174"/>
        <v>0</v>
      </c>
      <c r="S586" s="10">
        <f t="shared" si="175"/>
        <v>0</v>
      </c>
      <c r="T586" s="10">
        <f t="shared" si="176"/>
        <v>0</v>
      </c>
      <c r="U586" s="10">
        <f t="shared" si="177"/>
        <v>0</v>
      </c>
      <c r="V586" s="10">
        <f t="shared" si="178"/>
        <v>0</v>
      </c>
    </row>
    <row r="587" spans="1:22" x14ac:dyDescent="0.2">
      <c r="A587" s="32">
        <v>25</v>
      </c>
      <c r="B587" s="33">
        <v>0.25</v>
      </c>
      <c r="C587" s="32">
        <f>'1000z'!E34</f>
        <v>0</v>
      </c>
      <c r="D587" s="32">
        <f>'1000z'!F34</f>
        <v>0</v>
      </c>
      <c r="E587" s="32">
        <f t="shared" si="179"/>
        <v>0</v>
      </c>
      <c r="F587" s="10">
        <f t="shared" si="180"/>
        <v>0</v>
      </c>
      <c r="G587" s="10">
        <f t="shared" si="181"/>
        <v>0</v>
      </c>
      <c r="H587" s="10">
        <f t="shared" si="164"/>
        <v>0</v>
      </c>
      <c r="I587" s="10">
        <f t="shared" si="165"/>
        <v>0</v>
      </c>
      <c r="J587" s="10">
        <f t="shared" si="166"/>
        <v>0</v>
      </c>
      <c r="K587" s="10">
        <f t="shared" si="167"/>
        <v>0</v>
      </c>
      <c r="L587" s="10">
        <f t="shared" si="168"/>
        <v>0</v>
      </c>
      <c r="M587" s="10">
        <f t="shared" si="169"/>
        <v>0</v>
      </c>
      <c r="N587" s="10">
        <f t="shared" si="170"/>
        <v>0</v>
      </c>
      <c r="O587" s="10">
        <f t="shared" si="171"/>
        <v>0</v>
      </c>
      <c r="P587" s="10">
        <f t="shared" si="172"/>
        <v>0</v>
      </c>
      <c r="Q587" s="10">
        <f t="shared" si="173"/>
        <v>0</v>
      </c>
      <c r="R587" s="10">
        <f t="shared" si="174"/>
        <v>0</v>
      </c>
      <c r="S587" s="10">
        <f t="shared" si="175"/>
        <v>0</v>
      </c>
      <c r="T587" s="10">
        <f t="shared" si="176"/>
        <v>0</v>
      </c>
      <c r="U587" s="10">
        <f t="shared" si="177"/>
        <v>0</v>
      </c>
      <c r="V587" s="10">
        <f t="shared" si="178"/>
        <v>0</v>
      </c>
    </row>
    <row r="588" spans="1:22" x14ac:dyDescent="0.2">
      <c r="A588" s="32">
        <v>25</v>
      </c>
      <c r="B588" s="33">
        <v>0.29166666666666702</v>
      </c>
      <c r="C588" s="32">
        <f>'1100z'!E34</f>
        <v>0</v>
      </c>
      <c r="D588" s="32">
        <f>'1100z'!F34</f>
        <v>0</v>
      </c>
      <c r="E588" s="32">
        <f t="shared" si="179"/>
        <v>0</v>
      </c>
      <c r="F588" s="10">
        <f t="shared" si="180"/>
        <v>0</v>
      </c>
      <c r="G588" s="10">
        <f t="shared" si="181"/>
        <v>0</v>
      </c>
      <c r="H588" s="10">
        <f t="shared" si="164"/>
        <v>0</v>
      </c>
      <c r="I588" s="10">
        <f t="shared" si="165"/>
        <v>0</v>
      </c>
      <c r="J588" s="10">
        <f t="shared" si="166"/>
        <v>0</v>
      </c>
      <c r="K588" s="10">
        <f t="shared" si="167"/>
        <v>0</v>
      </c>
      <c r="L588" s="10">
        <f t="shared" si="168"/>
        <v>0</v>
      </c>
      <c r="M588" s="10">
        <f t="shared" si="169"/>
        <v>0</v>
      </c>
      <c r="N588" s="10">
        <f t="shared" si="170"/>
        <v>0</v>
      </c>
      <c r="O588" s="10">
        <f t="shared" si="171"/>
        <v>0</v>
      </c>
      <c r="P588" s="10">
        <f t="shared" si="172"/>
        <v>0</v>
      </c>
      <c r="Q588" s="10">
        <f t="shared" si="173"/>
        <v>0</v>
      </c>
      <c r="R588" s="10">
        <f t="shared" si="174"/>
        <v>0</v>
      </c>
      <c r="S588" s="10">
        <f t="shared" si="175"/>
        <v>0</v>
      </c>
      <c r="T588" s="10">
        <f t="shared" si="176"/>
        <v>0</v>
      </c>
      <c r="U588" s="10">
        <f t="shared" si="177"/>
        <v>0</v>
      </c>
      <c r="V588" s="10">
        <f t="shared" si="178"/>
        <v>0</v>
      </c>
    </row>
    <row r="589" spans="1:22" x14ac:dyDescent="0.2">
      <c r="A589" s="32">
        <v>25</v>
      </c>
      <c r="B589" s="33">
        <v>0.33333333333333298</v>
      </c>
      <c r="C589" s="32">
        <f>'1200z'!E34</f>
        <v>8</v>
      </c>
      <c r="D589" s="32">
        <f>'1200z'!F34</f>
        <v>5</v>
      </c>
      <c r="E589" s="32">
        <f t="shared" si="179"/>
        <v>80</v>
      </c>
      <c r="F589" s="10">
        <f t="shared" si="180"/>
        <v>0</v>
      </c>
      <c r="G589" s="10">
        <f t="shared" si="181"/>
        <v>0</v>
      </c>
      <c r="H589" s="10">
        <f t="shared" si="164"/>
        <v>0</v>
      </c>
      <c r="I589" s="10">
        <f t="shared" si="165"/>
        <v>0</v>
      </c>
      <c r="J589" s="10">
        <f t="shared" si="166"/>
        <v>1</v>
      </c>
      <c r="K589" s="10">
        <f t="shared" si="167"/>
        <v>0</v>
      </c>
      <c r="L589" s="10">
        <f t="shared" si="168"/>
        <v>0</v>
      </c>
      <c r="M589" s="10">
        <f t="shared" si="169"/>
        <v>0</v>
      </c>
      <c r="N589" s="10">
        <f t="shared" si="170"/>
        <v>0</v>
      </c>
      <c r="O589" s="10">
        <f t="shared" si="171"/>
        <v>0</v>
      </c>
      <c r="P589" s="10">
        <f t="shared" si="172"/>
        <v>0</v>
      </c>
      <c r="Q589" s="10">
        <f t="shared" si="173"/>
        <v>0</v>
      </c>
      <c r="R589" s="10">
        <f t="shared" si="174"/>
        <v>0</v>
      </c>
      <c r="S589" s="10">
        <f t="shared" si="175"/>
        <v>0</v>
      </c>
      <c r="T589" s="10">
        <f t="shared" si="176"/>
        <v>0</v>
      </c>
      <c r="U589" s="10">
        <f t="shared" si="177"/>
        <v>0</v>
      </c>
      <c r="V589" s="10">
        <f t="shared" si="178"/>
        <v>0</v>
      </c>
    </row>
    <row r="590" spans="1:22" x14ac:dyDescent="0.2">
      <c r="A590" s="32">
        <v>25</v>
      </c>
      <c r="B590" s="33">
        <v>0.375</v>
      </c>
      <c r="C590" s="32">
        <f>'1300z'!E34</f>
        <v>11</v>
      </c>
      <c r="D590" s="32">
        <f>'1300z'!F34</f>
        <v>8</v>
      </c>
      <c r="E590" s="32">
        <f t="shared" si="179"/>
        <v>110</v>
      </c>
      <c r="F590" s="10">
        <f t="shared" si="180"/>
        <v>0</v>
      </c>
      <c r="G590" s="10">
        <f t="shared" si="181"/>
        <v>0</v>
      </c>
      <c r="H590" s="10">
        <f t="shared" si="164"/>
        <v>0</v>
      </c>
      <c r="I590" s="10">
        <f t="shared" si="165"/>
        <v>0</v>
      </c>
      <c r="J590" s="10">
        <f t="shared" si="166"/>
        <v>0</v>
      </c>
      <c r="K590" s="10">
        <f t="shared" si="167"/>
        <v>1</v>
      </c>
      <c r="L590" s="10">
        <f t="shared" si="168"/>
        <v>0</v>
      </c>
      <c r="M590" s="10">
        <f t="shared" si="169"/>
        <v>0</v>
      </c>
      <c r="N590" s="10">
        <f t="shared" si="170"/>
        <v>0</v>
      </c>
      <c r="O590" s="10">
        <f t="shared" si="171"/>
        <v>0</v>
      </c>
      <c r="P590" s="10">
        <f t="shared" si="172"/>
        <v>0</v>
      </c>
      <c r="Q590" s="10">
        <f t="shared" si="173"/>
        <v>0</v>
      </c>
      <c r="R590" s="10">
        <f t="shared" si="174"/>
        <v>0</v>
      </c>
      <c r="S590" s="10">
        <f t="shared" si="175"/>
        <v>0</v>
      </c>
      <c r="T590" s="10">
        <f t="shared" si="176"/>
        <v>0</v>
      </c>
      <c r="U590" s="10">
        <f t="shared" si="177"/>
        <v>0</v>
      </c>
      <c r="V590" s="10">
        <f t="shared" si="178"/>
        <v>0</v>
      </c>
    </row>
    <row r="591" spans="1:22" x14ac:dyDescent="0.2">
      <c r="A591" s="32">
        <v>25</v>
      </c>
      <c r="B591" s="33">
        <v>0.41666666666666702</v>
      </c>
      <c r="C591" s="32">
        <f>'1400z'!E34</f>
        <v>7</v>
      </c>
      <c r="D591" s="32">
        <f>'1400z'!F34</f>
        <v>8</v>
      </c>
      <c r="E591" s="32">
        <f t="shared" si="179"/>
        <v>70</v>
      </c>
      <c r="F591" s="10">
        <f t="shared" si="180"/>
        <v>0</v>
      </c>
      <c r="G591" s="10">
        <f t="shared" si="181"/>
        <v>0</v>
      </c>
      <c r="H591" s="10">
        <f t="shared" si="164"/>
        <v>0</v>
      </c>
      <c r="I591" s="10">
        <f t="shared" si="165"/>
        <v>1</v>
      </c>
      <c r="J591" s="10">
        <f t="shared" si="166"/>
        <v>0</v>
      </c>
      <c r="K591" s="10">
        <f t="shared" si="167"/>
        <v>0</v>
      </c>
      <c r="L591" s="10">
        <f t="shared" si="168"/>
        <v>0</v>
      </c>
      <c r="M591" s="10">
        <f t="shared" si="169"/>
        <v>0</v>
      </c>
      <c r="N591" s="10">
        <f t="shared" si="170"/>
        <v>0</v>
      </c>
      <c r="O591" s="10">
        <f t="shared" si="171"/>
        <v>0</v>
      </c>
      <c r="P591" s="10">
        <f t="shared" si="172"/>
        <v>0</v>
      </c>
      <c r="Q591" s="10">
        <f t="shared" si="173"/>
        <v>0</v>
      </c>
      <c r="R591" s="10">
        <f t="shared" si="174"/>
        <v>0</v>
      </c>
      <c r="S591" s="10">
        <f t="shared" si="175"/>
        <v>0</v>
      </c>
      <c r="T591" s="10">
        <f t="shared" si="176"/>
        <v>0</v>
      </c>
      <c r="U591" s="10">
        <f t="shared" si="177"/>
        <v>0</v>
      </c>
      <c r="V591" s="10">
        <f t="shared" si="178"/>
        <v>0</v>
      </c>
    </row>
    <row r="592" spans="1:22" x14ac:dyDescent="0.2">
      <c r="A592" s="32">
        <v>25</v>
      </c>
      <c r="B592" s="33">
        <v>0.45833333333333298</v>
      </c>
      <c r="C592" s="32">
        <f>'1500z'!E34</f>
        <v>10</v>
      </c>
      <c r="D592" s="32">
        <f>'1500z'!F34</f>
        <v>12</v>
      </c>
      <c r="E592" s="32">
        <f t="shared" si="179"/>
        <v>100</v>
      </c>
      <c r="F592" s="10">
        <f t="shared" si="180"/>
        <v>0</v>
      </c>
      <c r="G592" s="10">
        <f t="shared" si="181"/>
        <v>0</v>
      </c>
      <c r="H592" s="10">
        <f t="shared" si="164"/>
        <v>0</v>
      </c>
      <c r="I592" s="10">
        <f t="shared" si="165"/>
        <v>0</v>
      </c>
      <c r="J592" s="10">
        <f t="shared" si="166"/>
        <v>1</v>
      </c>
      <c r="K592" s="10">
        <f t="shared" si="167"/>
        <v>0</v>
      </c>
      <c r="L592" s="10">
        <f t="shared" si="168"/>
        <v>0</v>
      </c>
      <c r="M592" s="10">
        <f t="shared" si="169"/>
        <v>0</v>
      </c>
      <c r="N592" s="10">
        <f t="shared" si="170"/>
        <v>0</v>
      </c>
      <c r="O592" s="10">
        <f t="shared" si="171"/>
        <v>0</v>
      </c>
      <c r="P592" s="10">
        <f t="shared" si="172"/>
        <v>0</v>
      </c>
      <c r="Q592" s="10">
        <f t="shared" si="173"/>
        <v>0</v>
      </c>
      <c r="R592" s="10">
        <f t="shared" si="174"/>
        <v>0</v>
      </c>
      <c r="S592" s="10">
        <f t="shared" si="175"/>
        <v>0</v>
      </c>
      <c r="T592" s="10">
        <f t="shared" si="176"/>
        <v>0</v>
      </c>
      <c r="U592" s="10">
        <f t="shared" si="177"/>
        <v>0</v>
      </c>
      <c r="V592" s="10">
        <f t="shared" si="178"/>
        <v>0</v>
      </c>
    </row>
    <row r="593" spans="1:22" x14ac:dyDescent="0.2">
      <c r="A593" s="32">
        <v>25</v>
      </c>
      <c r="B593" s="33">
        <v>0.5</v>
      </c>
      <c r="C593" s="32">
        <f>'1600z'!E34</f>
        <v>7</v>
      </c>
      <c r="D593" s="32">
        <f>'1600z'!F34</f>
        <v>10</v>
      </c>
      <c r="E593" s="32">
        <f t="shared" si="179"/>
        <v>70</v>
      </c>
      <c r="F593" s="10">
        <f t="shared" si="180"/>
        <v>0</v>
      </c>
      <c r="G593" s="10">
        <f t="shared" si="181"/>
        <v>0</v>
      </c>
      <c r="H593" s="10">
        <f t="shared" si="164"/>
        <v>0</v>
      </c>
      <c r="I593" s="10">
        <f t="shared" si="165"/>
        <v>1</v>
      </c>
      <c r="J593" s="10">
        <f t="shared" si="166"/>
        <v>0</v>
      </c>
      <c r="K593" s="10">
        <f t="shared" si="167"/>
        <v>0</v>
      </c>
      <c r="L593" s="10">
        <f t="shared" si="168"/>
        <v>0</v>
      </c>
      <c r="M593" s="10">
        <f t="shared" si="169"/>
        <v>0</v>
      </c>
      <c r="N593" s="10">
        <f t="shared" si="170"/>
        <v>0</v>
      </c>
      <c r="O593" s="10">
        <f t="shared" si="171"/>
        <v>0</v>
      </c>
      <c r="P593" s="10">
        <f t="shared" si="172"/>
        <v>0</v>
      </c>
      <c r="Q593" s="10">
        <f t="shared" si="173"/>
        <v>0</v>
      </c>
      <c r="R593" s="10">
        <f t="shared" si="174"/>
        <v>0</v>
      </c>
      <c r="S593" s="10">
        <f t="shared" si="175"/>
        <v>0</v>
      </c>
      <c r="T593" s="10">
        <f t="shared" si="176"/>
        <v>0</v>
      </c>
      <c r="U593" s="10">
        <f t="shared" si="177"/>
        <v>0</v>
      </c>
      <c r="V593" s="10">
        <f t="shared" si="178"/>
        <v>0</v>
      </c>
    </row>
    <row r="594" spans="1:22" x14ac:dyDescent="0.2">
      <c r="A594" s="32">
        <v>25</v>
      </c>
      <c r="B594" s="33">
        <v>0.54166666666666696</v>
      </c>
      <c r="C594" s="32">
        <f>'1700z'!E34</f>
        <v>3</v>
      </c>
      <c r="D594" s="32">
        <f>'1700z'!F34</f>
        <v>3</v>
      </c>
      <c r="E594" s="32">
        <f t="shared" si="179"/>
        <v>30</v>
      </c>
      <c r="F594" s="10">
        <f t="shared" si="180"/>
        <v>0</v>
      </c>
      <c r="G594" s="10">
        <f t="shared" si="181"/>
        <v>1</v>
      </c>
      <c r="H594" s="10">
        <f t="shared" si="164"/>
        <v>0</v>
      </c>
      <c r="I594" s="10">
        <f t="shared" si="165"/>
        <v>0</v>
      </c>
      <c r="J594" s="10">
        <f t="shared" si="166"/>
        <v>0</v>
      </c>
      <c r="K594" s="10">
        <f t="shared" si="167"/>
        <v>0</v>
      </c>
      <c r="L594" s="10">
        <f t="shared" si="168"/>
        <v>0</v>
      </c>
      <c r="M594" s="10">
        <f t="shared" si="169"/>
        <v>0</v>
      </c>
      <c r="N594" s="10">
        <f t="shared" si="170"/>
        <v>0</v>
      </c>
      <c r="O594" s="10">
        <f t="shared" si="171"/>
        <v>0</v>
      </c>
      <c r="P594" s="10">
        <f t="shared" si="172"/>
        <v>0</v>
      </c>
      <c r="Q594" s="10">
        <f t="shared" si="173"/>
        <v>0</v>
      </c>
      <c r="R594" s="10">
        <f t="shared" si="174"/>
        <v>0</v>
      </c>
      <c r="S594" s="10">
        <f t="shared" si="175"/>
        <v>0</v>
      </c>
      <c r="T594" s="10">
        <f t="shared" si="176"/>
        <v>0</v>
      </c>
      <c r="U594" s="10">
        <f t="shared" si="177"/>
        <v>0</v>
      </c>
      <c r="V594" s="10">
        <f t="shared" si="178"/>
        <v>0</v>
      </c>
    </row>
    <row r="595" spans="1:22" x14ac:dyDescent="0.2">
      <c r="A595" s="32">
        <v>25</v>
      </c>
      <c r="B595" s="33">
        <v>0.58333333333333304</v>
      </c>
      <c r="C595" s="32">
        <f>'1800z'!E34</f>
        <v>6</v>
      </c>
      <c r="D595" s="32">
        <f>'1800z'!F34</f>
        <v>8</v>
      </c>
      <c r="E595" s="32">
        <f t="shared" si="179"/>
        <v>60</v>
      </c>
      <c r="F595" s="10">
        <f t="shared" si="180"/>
        <v>0</v>
      </c>
      <c r="G595" s="10">
        <f t="shared" si="181"/>
        <v>0</v>
      </c>
      <c r="H595" s="10">
        <f t="shared" si="164"/>
        <v>0</v>
      </c>
      <c r="I595" s="10">
        <f t="shared" si="165"/>
        <v>1</v>
      </c>
      <c r="J595" s="10">
        <f t="shared" si="166"/>
        <v>0</v>
      </c>
      <c r="K595" s="10">
        <f t="shared" si="167"/>
        <v>0</v>
      </c>
      <c r="L595" s="10">
        <f t="shared" si="168"/>
        <v>0</v>
      </c>
      <c r="M595" s="10">
        <f t="shared" si="169"/>
        <v>0</v>
      </c>
      <c r="N595" s="10">
        <f t="shared" si="170"/>
        <v>0</v>
      </c>
      <c r="O595" s="10">
        <f t="shared" si="171"/>
        <v>0</v>
      </c>
      <c r="P595" s="10">
        <f t="shared" si="172"/>
        <v>0</v>
      </c>
      <c r="Q595" s="10">
        <f t="shared" si="173"/>
        <v>0</v>
      </c>
      <c r="R595" s="10">
        <f t="shared" si="174"/>
        <v>0</v>
      </c>
      <c r="S595" s="10">
        <f t="shared" si="175"/>
        <v>0</v>
      </c>
      <c r="T595" s="10">
        <f t="shared" si="176"/>
        <v>0</v>
      </c>
      <c r="U595" s="10">
        <f t="shared" si="177"/>
        <v>0</v>
      </c>
      <c r="V595" s="10">
        <f t="shared" si="178"/>
        <v>0</v>
      </c>
    </row>
    <row r="596" spans="1:22" x14ac:dyDescent="0.2">
      <c r="A596" s="32">
        <v>25</v>
      </c>
      <c r="B596" s="33">
        <v>0.625</v>
      </c>
      <c r="C596" s="32">
        <f>'1900z'!E34</f>
        <v>0</v>
      </c>
      <c r="D596" s="32">
        <f>'1900z'!F34</f>
        <v>0</v>
      </c>
      <c r="E596" s="32">
        <f t="shared" si="179"/>
        <v>0</v>
      </c>
      <c r="F596" s="10">
        <f t="shared" si="180"/>
        <v>0</v>
      </c>
      <c r="G596" s="10">
        <f t="shared" si="181"/>
        <v>0</v>
      </c>
      <c r="H596" s="10">
        <f t="shared" si="164"/>
        <v>0</v>
      </c>
      <c r="I596" s="10">
        <f t="shared" si="165"/>
        <v>0</v>
      </c>
      <c r="J596" s="10">
        <f t="shared" si="166"/>
        <v>0</v>
      </c>
      <c r="K596" s="10">
        <f t="shared" si="167"/>
        <v>0</v>
      </c>
      <c r="L596" s="10">
        <f t="shared" si="168"/>
        <v>0</v>
      </c>
      <c r="M596" s="10">
        <f t="shared" si="169"/>
        <v>0</v>
      </c>
      <c r="N596" s="10">
        <f t="shared" si="170"/>
        <v>0</v>
      </c>
      <c r="O596" s="10">
        <f t="shared" si="171"/>
        <v>0</v>
      </c>
      <c r="P596" s="10">
        <f t="shared" si="172"/>
        <v>0</v>
      </c>
      <c r="Q596" s="10">
        <f t="shared" si="173"/>
        <v>0</v>
      </c>
      <c r="R596" s="10">
        <f t="shared" si="174"/>
        <v>0</v>
      </c>
      <c r="S596" s="10">
        <f t="shared" si="175"/>
        <v>0</v>
      </c>
      <c r="T596" s="10">
        <f t="shared" si="176"/>
        <v>0</v>
      </c>
      <c r="U596" s="10">
        <f t="shared" si="177"/>
        <v>0</v>
      </c>
      <c r="V596" s="10">
        <f t="shared" si="178"/>
        <v>0</v>
      </c>
    </row>
    <row r="597" spans="1:22" x14ac:dyDescent="0.2">
      <c r="A597" s="32">
        <v>25</v>
      </c>
      <c r="B597" s="33">
        <v>0.66666666666666696</v>
      </c>
      <c r="C597" s="32">
        <f>'2000z'!E34</f>
        <v>9</v>
      </c>
      <c r="D597" s="32">
        <f>'2000z'!F34</f>
        <v>7</v>
      </c>
      <c r="E597" s="32">
        <f t="shared" si="179"/>
        <v>90</v>
      </c>
      <c r="F597" s="10">
        <f t="shared" si="180"/>
        <v>0</v>
      </c>
      <c r="G597" s="10">
        <f t="shared" si="181"/>
        <v>0</v>
      </c>
      <c r="H597" s="10">
        <f t="shared" si="164"/>
        <v>0</v>
      </c>
      <c r="I597" s="10">
        <f t="shared" si="165"/>
        <v>0</v>
      </c>
      <c r="J597" s="10">
        <f t="shared" si="166"/>
        <v>1</v>
      </c>
      <c r="K597" s="10">
        <f t="shared" si="167"/>
        <v>0</v>
      </c>
      <c r="L597" s="10">
        <f t="shared" si="168"/>
        <v>0</v>
      </c>
      <c r="M597" s="10">
        <f t="shared" si="169"/>
        <v>0</v>
      </c>
      <c r="N597" s="10">
        <f t="shared" si="170"/>
        <v>0</v>
      </c>
      <c r="O597" s="10">
        <f t="shared" si="171"/>
        <v>0</v>
      </c>
      <c r="P597" s="10">
        <f t="shared" si="172"/>
        <v>0</v>
      </c>
      <c r="Q597" s="10">
        <f t="shared" si="173"/>
        <v>0</v>
      </c>
      <c r="R597" s="10">
        <f t="shared" si="174"/>
        <v>0</v>
      </c>
      <c r="S597" s="10">
        <f t="shared" si="175"/>
        <v>0</v>
      </c>
      <c r="T597" s="10">
        <f t="shared" si="176"/>
        <v>0</v>
      </c>
      <c r="U597" s="10">
        <f t="shared" si="177"/>
        <v>0</v>
      </c>
      <c r="V597" s="10">
        <f t="shared" si="178"/>
        <v>0</v>
      </c>
    </row>
    <row r="598" spans="1:22" x14ac:dyDescent="0.2">
      <c r="A598" s="32">
        <v>25</v>
      </c>
      <c r="B598" s="33">
        <v>0.70833333333333304</v>
      </c>
      <c r="C598" s="32">
        <f>'2100z'!E34</f>
        <v>8</v>
      </c>
      <c r="D598" s="32">
        <f>'2100z'!F34</f>
        <v>9</v>
      </c>
      <c r="E598" s="32">
        <f t="shared" si="179"/>
        <v>80</v>
      </c>
      <c r="F598" s="10">
        <f t="shared" si="180"/>
        <v>0</v>
      </c>
      <c r="G598" s="10">
        <f t="shared" si="181"/>
        <v>0</v>
      </c>
      <c r="H598" s="10">
        <f t="shared" si="164"/>
        <v>0</v>
      </c>
      <c r="I598" s="10">
        <f t="shared" si="165"/>
        <v>0</v>
      </c>
      <c r="J598" s="10">
        <f t="shared" si="166"/>
        <v>1</v>
      </c>
      <c r="K598" s="10">
        <f t="shared" si="167"/>
        <v>0</v>
      </c>
      <c r="L598" s="10">
        <f t="shared" si="168"/>
        <v>0</v>
      </c>
      <c r="M598" s="10">
        <f t="shared" si="169"/>
        <v>0</v>
      </c>
      <c r="N598" s="10">
        <f t="shared" si="170"/>
        <v>0</v>
      </c>
      <c r="O598" s="10">
        <f t="shared" si="171"/>
        <v>0</v>
      </c>
      <c r="P598" s="10">
        <f t="shared" si="172"/>
        <v>0</v>
      </c>
      <c r="Q598" s="10">
        <f t="shared" si="173"/>
        <v>0</v>
      </c>
      <c r="R598" s="10">
        <f t="shared" si="174"/>
        <v>0</v>
      </c>
      <c r="S598" s="10">
        <f t="shared" si="175"/>
        <v>0</v>
      </c>
      <c r="T598" s="10">
        <f t="shared" si="176"/>
        <v>0</v>
      </c>
      <c r="U598" s="10">
        <f t="shared" si="177"/>
        <v>0</v>
      </c>
      <c r="V598" s="10">
        <f t="shared" si="178"/>
        <v>0</v>
      </c>
    </row>
    <row r="599" spans="1:22" x14ac:dyDescent="0.2">
      <c r="A599" s="32">
        <v>25</v>
      </c>
      <c r="B599" s="33">
        <v>0.75</v>
      </c>
      <c r="C599" s="32">
        <f>'2200z'!E34</f>
        <v>7</v>
      </c>
      <c r="D599" s="32">
        <f>'2200z'!F34</f>
        <v>5</v>
      </c>
      <c r="E599" s="32">
        <f t="shared" si="179"/>
        <v>70</v>
      </c>
      <c r="F599" s="10">
        <f t="shared" si="180"/>
        <v>0</v>
      </c>
      <c r="G599" s="10">
        <f t="shared" si="181"/>
        <v>0</v>
      </c>
      <c r="H599" s="10">
        <f t="shared" si="164"/>
        <v>0</v>
      </c>
      <c r="I599" s="10">
        <f t="shared" si="165"/>
        <v>1</v>
      </c>
      <c r="J599" s="10">
        <f t="shared" si="166"/>
        <v>0</v>
      </c>
      <c r="K599" s="10">
        <f t="shared" si="167"/>
        <v>0</v>
      </c>
      <c r="L599" s="10">
        <f t="shared" si="168"/>
        <v>0</v>
      </c>
      <c r="M599" s="10">
        <f t="shared" si="169"/>
        <v>0</v>
      </c>
      <c r="N599" s="10">
        <f t="shared" si="170"/>
        <v>0</v>
      </c>
      <c r="O599" s="10">
        <f t="shared" si="171"/>
        <v>0</v>
      </c>
      <c r="P599" s="10">
        <f t="shared" si="172"/>
        <v>0</v>
      </c>
      <c r="Q599" s="10">
        <f t="shared" si="173"/>
        <v>0</v>
      </c>
      <c r="R599" s="10">
        <f t="shared" si="174"/>
        <v>0</v>
      </c>
      <c r="S599" s="10">
        <f t="shared" si="175"/>
        <v>0</v>
      </c>
      <c r="T599" s="10">
        <f t="shared" si="176"/>
        <v>0</v>
      </c>
      <c r="U599" s="10">
        <f t="shared" si="177"/>
        <v>0</v>
      </c>
      <c r="V599" s="10">
        <f t="shared" si="178"/>
        <v>0</v>
      </c>
    </row>
    <row r="600" spans="1:22" x14ac:dyDescent="0.2">
      <c r="A600" s="32">
        <v>25</v>
      </c>
      <c r="B600" s="33">
        <v>0.79166666666666696</v>
      </c>
      <c r="C600" s="32">
        <f>'2300z'!E34</f>
        <v>7</v>
      </c>
      <c r="D600" s="32">
        <f>'2300z'!F34</f>
        <v>4</v>
      </c>
      <c r="E600" s="32">
        <f t="shared" si="179"/>
        <v>70</v>
      </c>
      <c r="F600" s="10">
        <f t="shared" si="180"/>
        <v>0</v>
      </c>
      <c r="G600" s="10">
        <f t="shared" si="181"/>
        <v>0</v>
      </c>
      <c r="H600" s="10">
        <f t="shared" si="164"/>
        <v>0</v>
      </c>
      <c r="I600" s="10">
        <f t="shared" si="165"/>
        <v>1</v>
      </c>
      <c r="J600" s="10">
        <f t="shared" si="166"/>
        <v>0</v>
      </c>
      <c r="K600" s="10">
        <f t="shared" si="167"/>
        <v>0</v>
      </c>
      <c r="L600" s="10">
        <f t="shared" si="168"/>
        <v>0</v>
      </c>
      <c r="M600" s="10">
        <f t="shared" si="169"/>
        <v>0</v>
      </c>
      <c r="N600" s="10">
        <f t="shared" si="170"/>
        <v>0</v>
      </c>
      <c r="O600" s="10">
        <f t="shared" si="171"/>
        <v>0</v>
      </c>
      <c r="P600" s="10">
        <f t="shared" si="172"/>
        <v>0</v>
      </c>
      <c r="Q600" s="10">
        <f t="shared" si="173"/>
        <v>0</v>
      </c>
      <c r="R600" s="10">
        <f t="shared" si="174"/>
        <v>0</v>
      </c>
      <c r="S600" s="10">
        <f t="shared" si="175"/>
        <v>0</v>
      </c>
      <c r="T600" s="10">
        <f t="shared" si="176"/>
        <v>0</v>
      </c>
      <c r="U600" s="10">
        <f t="shared" si="177"/>
        <v>0</v>
      </c>
      <c r="V600" s="10">
        <f t="shared" si="178"/>
        <v>0</v>
      </c>
    </row>
    <row r="601" spans="1:22" x14ac:dyDescent="0.2">
      <c r="A601" s="32">
        <v>25</v>
      </c>
      <c r="B601" s="33">
        <v>0.83333333333333304</v>
      </c>
      <c r="C601" s="32">
        <f>'0000z'!E34</f>
        <v>2</v>
      </c>
      <c r="D601" s="32">
        <f>'0000z'!F34</f>
        <v>5</v>
      </c>
      <c r="E601" s="32">
        <f t="shared" si="179"/>
        <v>20</v>
      </c>
      <c r="F601" s="10">
        <f t="shared" si="180"/>
        <v>0</v>
      </c>
      <c r="G601" s="10">
        <f t="shared" si="181"/>
        <v>1</v>
      </c>
      <c r="H601" s="10">
        <f t="shared" si="164"/>
        <v>0</v>
      </c>
      <c r="I601" s="10">
        <f t="shared" si="165"/>
        <v>0</v>
      </c>
      <c r="J601" s="10">
        <f t="shared" si="166"/>
        <v>0</v>
      </c>
      <c r="K601" s="10">
        <f t="shared" si="167"/>
        <v>0</v>
      </c>
      <c r="L601" s="10">
        <f t="shared" si="168"/>
        <v>0</v>
      </c>
      <c r="M601" s="10">
        <f t="shared" si="169"/>
        <v>0</v>
      </c>
      <c r="N601" s="10">
        <f t="shared" si="170"/>
        <v>0</v>
      </c>
      <c r="O601" s="10">
        <f t="shared" si="171"/>
        <v>0</v>
      </c>
      <c r="P601" s="10">
        <f t="shared" si="172"/>
        <v>0</v>
      </c>
      <c r="Q601" s="10">
        <f t="shared" si="173"/>
        <v>0</v>
      </c>
      <c r="R601" s="10">
        <f t="shared" si="174"/>
        <v>0</v>
      </c>
      <c r="S601" s="10">
        <f t="shared" si="175"/>
        <v>0</v>
      </c>
      <c r="T601" s="10">
        <f t="shared" si="176"/>
        <v>0</v>
      </c>
      <c r="U601" s="10">
        <f t="shared" si="177"/>
        <v>0</v>
      </c>
      <c r="V601" s="10">
        <f t="shared" si="178"/>
        <v>0</v>
      </c>
    </row>
    <row r="602" spans="1:22" x14ac:dyDescent="0.2">
      <c r="A602" s="32">
        <v>25</v>
      </c>
      <c r="B602" s="33">
        <v>0.875</v>
      </c>
      <c r="C602" s="32">
        <f>'0100z'!E34</f>
        <v>0</v>
      </c>
      <c r="D602" s="32">
        <f>'0100z'!F34</f>
        <v>0</v>
      </c>
      <c r="E602" s="32">
        <f t="shared" si="179"/>
        <v>0</v>
      </c>
      <c r="F602" s="10">
        <f t="shared" si="180"/>
        <v>0</v>
      </c>
      <c r="G602" s="10">
        <f t="shared" si="181"/>
        <v>0</v>
      </c>
      <c r="H602" s="10">
        <f t="shared" si="164"/>
        <v>0</v>
      </c>
      <c r="I602" s="10">
        <f t="shared" si="165"/>
        <v>0</v>
      </c>
      <c r="J602" s="10">
        <f t="shared" si="166"/>
        <v>0</v>
      </c>
      <c r="K602" s="10">
        <f t="shared" si="167"/>
        <v>0</v>
      </c>
      <c r="L602" s="10">
        <f t="shared" si="168"/>
        <v>0</v>
      </c>
      <c r="M602" s="10">
        <f t="shared" si="169"/>
        <v>0</v>
      </c>
      <c r="N602" s="10">
        <f t="shared" si="170"/>
        <v>0</v>
      </c>
      <c r="O602" s="10">
        <f t="shared" si="171"/>
        <v>0</v>
      </c>
      <c r="P602" s="10">
        <f t="shared" si="172"/>
        <v>0</v>
      </c>
      <c r="Q602" s="10">
        <f t="shared" si="173"/>
        <v>0</v>
      </c>
      <c r="R602" s="10">
        <f t="shared" si="174"/>
        <v>0</v>
      </c>
      <c r="S602" s="10">
        <f t="shared" si="175"/>
        <v>0</v>
      </c>
      <c r="T602" s="10">
        <f t="shared" si="176"/>
        <v>0</v>
      </c>
      <c r="U602" s="10">
        <f t="shared" si="177"/>
        <v>0</v>
      </c>
      <c r="V602" s="10">
        <f t="shared" si="178"/>
        <v>0</v>
      </c>
    </row>
    <row r="603" spans="1:22" x14ac:dyDescent="0.2">
      <c r="A603" s="32">
        <v>25</v>
      </c>
      <c r="B603" s="33">
        <v>0.91666666666666696</v>
      </c>
      <c r="C603" s="32">
        <f>'0200z'!E34</f>
        <v>0</v>
      </c>
      <c r="D603" s="32">
        <f>'0200z'!F34</f>
        <v>0</v>
      </c>
      <c r="E603" s="32">
        <f t="shared" si="179"/>
        <v>0</v>
      </c>
      <c r="F603" s="10">
        <f t="shared" si="180"/>
        <v>0</v>
      </c>
      <c r="G603" s="10">
        <f t="shared" si="181"/>
        <v>0</v>
      </c>
      <c r="H603" s="10">
        <f t="shared" si="164"/>
        <v>0</v>
      </c>
      <c r="I603" s="10">
        <f t="shared" si="165"/>
        <v>0</v>
      </c>
      <c r="J603" s="10">
        <f t="shared" si="166"/>
        <v>0</v>
      </c>
      <c r="K603" s="10">
        <f t="shared" si="167"/>
        <v>0</v>
      </c>
      <c r="L603" s="10">
        <f t="shared" si="168"/>
        <v>0</v>
      </c>
      <c r="M603" s="10">
        <f t="shared" si="169"/>
        <v>0</v>
      </c>
      <c r="N603" s="10">
        <f t="shared" si="170"/>
        <v>0</v>
      </c>
      <c r="O603" s="10">
        <f t="shared" si="171"/>
        <v>0</v>
      </c>
      <c r="P603" s="10">
        <f t="shared" si="172"/>
        <v>0</v>
      </c>
      <c r="Q603" s="10">
        <f t="shared" si="173"/>
        <v>0</v>
      </c>
      <c r="R603" s="10">
        <f t="shared" si="174"/>
        <v>0</v>
      </c>
      <c r="S603" s="10">
        <f t="shared" si="175"/>
        <v>0</v>
      </c>
      <c r="T603" s="10">
        <f t="shared" si="176"/>
        <v>0</v>
      </c>
      <c r="U603" s="10">
        <f t="shared" si="177"/>
        <v>0</v>
      </c>
      <c r="V603" s="10">
        <f t="shared" si="178"/>
        <v>0</v>
      </c>
    </row>
    <row r="604" spans="1:22" x14ac:dyDescent="0.2">
      <c r="A604" s="32">
        <v>25</v>
      </c>
      <c r="B604" s="33">
        <v>0.95833333333333304</v>
      </c>
      <c r="C604" s="32">
        <f>'0300z'!E34</f>
        <v>6</v>
      </c>
      <c r="D604" s="32">
        <f>'0300z'!F34</f>
        <v>11</v>
      </c>
      <c r="E604" s="32">
        <f t="shared" si="179"/>
        <v>60</v>
      </c>
      <c r="F604" s="10">
        <f t="shared" si="180"/>
        <v>0</v>
      </c>
      <c r="G604" s="10">
        <f t="shared" si="181"/>
        <v>0</v>
      </c>
      <c r="H604" s="10">
        <f t="shared" si="164"/>
        <v>0</v>
      </c>
      <c r="I604" s="10">
        <f t="shared" si="165"/>
        <v>1</v>
      </c>
      <c r="J604" s="10">
        <f t="shared" si="166"/>
        <v>0</v>
      </c>
      <c r="K604" s="10">
        <f t="shared" si="167"/>
        <v>0</v>
      </c>
      <c r="L604" s="10">
        <f t="shared" si="168"/>
        <v>0</v>
      </c>
      <c r="M604" s="10">
        <f t="shared" si="169"/>
        <v>0</v>
      </c>
      <c r="N604" s="10">
        <f t="shared" si="170"/>
        <v>0</v>
      </c>
      <c r="O604" s="10">
        <f t="shared" si="171"/>
        <v>0</v>
      </c>
      <c r="P604" s="10">
        <f t="shared" si="172"/>
        <v>0</v>
      </c>
      <c r="Q604" s="10">
        <f t="shared" si="173"/>
        <v>0</v>
      </c>
      <c r="R604" s="10">
        <f t="shared" si="174"/>
        <v>0</v>
      </c>
      <c r="S604" s="10">
        <f t="shared" si="175"/>
        <v>0</v>
      </c>
      <c r="T604" s="10">
        <f t="shared" si="176"/>
        <v>0</v>
      </c>
      <c r="U604" s="10">
        <f t="shared" si="177"/>
        <v>0</v>
      </c>
      <c r="V604" s="10">
        <f t="shared" si="178"/>
        <v>0</v>
      </c>
    </row>
    <row r="605" spans="1:22" x14ac:dyDescent="0.2">
      <c r="A605" s="32">
        <v>26</v>
      </c>
      <c r="B605" s="33">
        <v>0</v>
      </c>
      <c r="C605" s="32">
        <f>'0400z'!E35</f>
        <v>6</v>
      </c>
      <c r="D605" s="32">
        <f>'0400z'!F35</f>
        <v>10</v>
      </c>
      <c r="E605" s="32">
        <f t="shared" si="179"/>
        <v>60</v>
      </c>
      <c r="F605" s="10">
        <f t="shared" si="180"/>
        <v>0</v>
      </c>
      <c r="G605" s="10">
        <f t="shared" si="181"/>
        <v>0</v>
      </c>
      <c r="H605" s="10">
        <f t="shared" si="164"/>
        <v>0</v>
      </c>
      <c r="I605" s="10">
        <f t="shared" si="165"/>
        <v>1</v>
      </c>
      <c r="J605" s="10">
        <f t="shared" si="166"/>
        <v>0</v>
      </c>
      <c r="K605" s="10">
        <f t="shared" si="167"/>
        <v>0</v>
      </c>
      <c r="L605" s="10">
        <f t="shared" si="168"/>
        <v>0</v>
      </c>
      <c r="M605" s="10">
        <f t="shared" si="169"/>
        <v>0</v>
      </c>
      <c r="N605" s="10">
        <f t="shared" si="170"/>
        <v>0</v>
      </c>
      <c r="O605" s="10">
        <f t="shared" si="171"/>
        <v>0</v>
      </c>
      <c r="P605" s="10">
        <f t="shared" si="172"/>
        <v>0</v>
      </c>
      <c r="Q605" s="10">
        <f t="shared" si="173"/>
        <v>0</v>
      </c>
      <c r="R605" s="10">
        <f t="shared" si="174"/>
        <v>0</v>
      </c>
      <c r="S605" s="10">
        <f t="shared" si="175"/>
        <v>0</v>
      </c>
      <c r="T605" s="10">
        <f t="shared" si="176"/>
        <v>0</v>
      </c>
      <c r="U605" s="10">
        <f t="shared" si="177"/>
        <v>0</v>
      </c>
      <c r="V605" s="10">
        <f t="shared" si="178"/>
        <v>0</v>
      </c>
    </row>
    <row r="606" spans="1:22" x14ac:dyDescent="0.2">
      <c r="A606" s="32">
        <v>26</v>
      </c>
      <c r="B606" s="33">
        <v>4.1666666666666664E-2</v>
      </c>
      <c r="C606" s="32">
        <f>'0500z'!E35</f>
        <v>6</v>
      </c>
      <c r="D606" s="32">
        <f>'0500z'!F35</f>
        <v>8</v>
      </c>
      <c r="E606" s="32">
        <f t="shared" si="179"/>
        <v>60</v>
      </c>
      <c r="F606" s="10">
        <f t="shared" si="180"/>
        <v>0</v>
      </c>
      <c r="G606" s="10">
        <f t="shared" si="181"/>
        <v>0</v>
      </c>
      <c r="H606" s="10">
        <f t="shared" si="164"/>
        <v>0</v>
      </c>
      <c r="I606" s="10">
        <f t="shared" si="165"/>
        <v>1</v>
      </c>
      <c r="J606" s="10">
        <f t="shared" si="166"/>
        <v>0</v>
      </c>
      <c r="K606" s="10">
        <f t="shared" si="167"/>
        <v>0</v>
      </c>
      <c r="L606" s="10">
        <f t="shared" si="168"/>
        <v>0</v>
      </c>
      <c r="M606" s="10">
        <f t="shared" si="169"/>
        <v>0</v>
      </c>
      <c r="N606" s="10">
        <f t="shared" si="170"/>
        <v>0</v>
      </c>
      <c r="O606" s="10">
        <f t="shared" si="171"/>
        <v>0</v>
      </c>
      <c r="P606" s="10">
        <f t="shared" si="172"/>
        <v>0</v>
      </c>
      <c r="Q606" s="10">
        <f t="shared" si="173"/>
        <v>0</v>
      </c>
      <c r="R606" s="10">
        <f t="shared" si="174"/>
        <v>0</v>
      </c>
      <c r="S606" s="10">
        <f t="shared" si="175"/>
        <v>0</v>
      </c>
      <c r="T606" s="10">
        <f t="shared" si="176"/>
        <v>0</v>
      </c>
      <c r="U606" s="10">
        <f t="shared" si="177"/>
        <v>0</v>
      </c>
      <c r="V606" s="10">
        <f t="shared" si="178"/>
        <v>0</v>
      </c>
    </row>
    <row r="607" spans="1:22" x14ac:dyDescent="0.2">
      <c r="A607" s="32">
        <v>26</v>
      </c>
      <c r="B607" s="33">
        <v>8.3333333333333329E-2</v>
      </c>
      <c r="C607" s="32">
        <f>'0600z'!E35</f>
        <v>7</v>
      </c>
      <c r="D607" s="32">
        <f>'0600z'!F35</f>
        <v>10</v>
      </c>
      <c r="E607" s="32">
        <f t="shared" si="179"/>
        <v>70</v>
      </c>
      <c r="F607" s="10">
        <f t="shared" si="180"/>
        <v>0</v>
      </c>
      <c r="G607" s="10">
        <f t="shared" si="181"/>
        <v>0</v>
      </c>
      <c r="H607" s="10">
        <f t="shared" si="164"/>
        <v>0</v>
      </c>
      <c r="I607" s="10">
        <f t="shared" si="165"/>
        <v>1</v>
      </c>
      <c r="J607" s="10">
        <f t="shared" si="166"/>
        <v>0</v>
      </c>
      <c r="K607" s="10">
        <f t="shared" si="167"/>
        <v>0</v>
      </c>
      <c r="L607" s="10">
        <f t="shared" si="168"/>
        <v>0</v>
      </c>
      <c r="M607" s="10">
        <f t="shared" si="169"/>
        <v>0</v>
      </c>
      <c r="N607" s="10">
        <f t="shared" si="170"/>
        <v>0</v>
      </c>
      <c r="O607" s="10">
        <f t="shared" si="171"/>
        <v>0</v>
      </c>
      <c r="P607" s="10">
        <f t="shared" si="172"/>
        <v>0</v>
      </c>
      <c r="Q607" s="10">
        <f t="shared" si="173"/>
        <v>0</v>
      </c>
      <c r="R607" s="10">
        <f t="shared" si="174"/>
        <v>0</v>
      </c>
      <c r="S607" s="10">
        <f t="shared" si="175"/>
        <v>0</v>
      </c>
      <c r="T607" s="10">
        <f t="shared" si="176"/>
        <v>0</v>
      </c>
      <c r="U607" s="10">
        <f t="shared" si="177"/>
        <v>0</v>
      </c>
      <c r="V607" s="10">
        <f t="shared" si="178"/>
        <v>0</v>
      </c>
    </row>
    <row r="608" spans="1:22" x14ac:dyDescent="0.2">
      <c r="A608" s="32">
        <v>26</v>
      </c>
      <c r="B608" s="33">
        <v>0.125</v>
      </c>
      <c r="C608" s="32">
        <f>'0700z'!E35</f>
        <v>6</v>
      </c>
      <c r="D608" s="32">
        <f>'0700z'!F35</f>
        <v>10</v>
      </c>
      <c r="E608" s="32">
        <f t="shared" si="179"/>
        <v>60</v>
      </c>
      <c r="F608" s="10">
        <f t="shared" si="180"/>
        <v>0</v>
      </c>
      <c r="G608" s="10">
        <f t="shared" si="181"/>
        <v>0</v>
      </c>
      <c r="H608" s="10">
        <f t="shared" si="164"/>
        <v>0</v>
      </c>
      <c r="I608" s="10">
        <f t="shared" si="165"/>
        <v>1</v>
      </c>
      <c r="J608" s="10">
        <f t="shared" si="166"/>
        <v>0</v>
      </c>
      <c r="K608" s="10">
        <f t="shared" si="167"/>
        <v>0</v>
      </c>
      <c r="L608" s="10">
        <f t="shared" si="168"/>
        <v>0</v>
      </c>
      <c r="M608" s="10">
        <f t="shared" si="169"/>
        <v>0</v>
      </c>
      <c r="N608" s="10">
        <f t="shared" si="170"/>
        <v>0</v>
      </c>
      <c r="O608" s="10">
        <f t="shared" si="171"/>
        <v>0</v>
      </c>
      <c r="P608" s="10">
        <f t="shared" si="172"/>
        <v>0</v>
      </c>
      <c r="Q608" s="10">
        <f t="shared" si="173"/>
        <v>0</v>
      </c>
      <c r="R608" s="10">
        <f t="shared" si="174"/>
        <v>0</v>
      </c>
      <c r="S608" s="10">
        <f t="shared" si="175"/>
        <v>0</v>
      </c>
      <c r="T608" s="10">
        <f t="shared" si="176"/>
        <v>0</v>
      </c>
      <c r="U608" s="10">
        <f t="shared" si="177"/>
        <v>0</v>
      </c>
      <c r="V608" s="10">
        <f t="shared" si="178"/>
        <v>0</v>
      </c>
    </row>
    <row r="609" spans="1:22" x14ac:dyDescent="0.2">
      <c r="A609" s="32">
        <v>26</v>
      </c>
      <c r="B609" s="33">
        <v>0.16666666666666699</v>
      </c>
      <c r="C609" s="32">
        <f>'0800z'!E35</f>
        <v>6</v>
      </c>
      <c r="D609" s="32">
        <f>'0800z'!F35</f>
        <v>10</v>
      </c>
      <c r="E609" s="32">
        <f t="shared" si="179"/>
        <v>60</v>
      </c>
      <c r="F609" s="10">
        <f t="shared" si="180"/>
        <v>0</v>
      </c>
      <c r="G609" s="10">
        <f t="shared" si="181"/>
        <v>0</v>
      </c>
      <c r="H609" s="10">
        <f t="shared" si="164"/>
        <v>0</v>
      </c>
      <c r="I609" s="10">
        <f t="shared" si="165"/>
        <v>1</v>
      </c>
      <c r="J609" s="10">
        <f t="shared" si="166"/>
        <v>0</v>
      </c>
      <c r="K609" s="10">
        <f t="shared" si="167"/>
        <v>0</v>
      </c>
      <c r="L609" s="10">
        <f t="shared" si="168"/>
        <v>0</v>
      </c>
      <c r="M609" s="10">
        <f t="shared" si="169"/>
        <v>0</v>
      </c>
      <c r="N609" s="10">
        <f t="shared" si="170"/>
        <v>0</v>
      </c>
      <c r="O609" s="10">
        <f t="shared" si="171"/>
        <v>0</v>
      </c>
      <c r="P609" s="10">
        <f t="shared" si="172"/>
        <v>0</v>
      </c>
      <c r="Q609" s="10">
        <f t="shared" si="173"/>
        <v>0</v>
      </c>
      <c r="R609" s="10">
        <f t="shared" si="174"/>
        <v>0</v>
      </c>
      <c r="S609" s="10">
        <f t="shared" si="175"/>
        <v>0</v>
      </c>
      <c r="T609" s="10">
        <f t="shared" si="176"/>
        <v>0</v>
      </c>
      <c r="U609" s="10">
        <f t="shared" si="177"/>
        <v>0</v>
      </c>
      <c r="V609" s="10">
        <f t="shared" si="178"/>
        <v>0</v>
      </c>
    </row>
    <row r="610" spans="1:22" x14ac:dyDescent="0.2">
      <c r="A610" s="32">
        <v>26</v>
      </c>
      <c r="B610" s="33">
        <v>0.20833333333333301</v>
      </c>
      <c r="C610" s="32">
        <f>'0900z'!E35</f>
        <v>5</v>
      </c>
      <c r="D610" s="32">
        <f>'0900z'!F35</f>
        <v>6</v>
      </c>
      <c r="E610" s="32">
        <f t="shared" si="179"/>
        <v>50</v>
      </c>
      <c r="F610" s="10">
        <f t="shared" si="180"/>
        <v>0</v>
      </c>
      <c r="G610" s="10">
        <f t="shared" si="181"/>
        <v>0</v>
      </c>
      <c r="H610" s="10">
        <f t="shared" si="164"/>
        <v>1</v>
      </c>
      <c r="I610" s="10">
        <f t="shared" si="165"/>
        <v>0</v>
      </c>
      <c r="J610" s="10">
        <f t="shared" si="166"/>
        <v>0</v>
      </c>
      <c r="K610" s="10">
        <f t="shared" si="167"/>
        <v>0</v>
      </c>
      <c r="L610" s="10">
        <f t="shared" si="168"/>
        <v>0</v>
      </c>
      <c r="M610" s="10">
        <f t="shared" si="169"/>
        <v>0</v>
      </c>
      <c r="N610" s="10">
        <f t="shared" si="170"/>
        <v>0</v>
      </c>
      <c r="O610" s="10">
        <f t="shared" si="171"/>
        <v>0</v>
      </c>
      <c r="P610" s="10">
        <f t="shared" si="172"/>
        <v>0</v>
      </c>
      <c r="Q610" s="10">
        <f t="shared" si="173"/>
        <v>0</v>
      </c>
      <c r="R610" s="10">
        <f t="shared" si="174"/>
        <v>0</v>
      </c>
      <c r="S610" s="10">
        <f t="shared" si="175"/>
        <v>0</v>
      </c>
      <c r="T610" s="10">
        <f t="shared" si="176"/>
        <v>0</v>
      </c>
      <c r="U610" s="10">
        <f t="shared" si="177"/>
        <v>0</v>
      </c>
      <c r="V610" s="10">
        <f t="shared" si="178"/>
        <v>0</v>
      </c>
    </row>
    <row r="611" spans="1:22" x14ac:dyDescent="0.2">
      <c r="A611" s="32">
        <v>26</v>
      </c>
      <c r="B611" s="33">
        <v>0.25</v>
      </c>
      <c r="C611" s="32">
        <f>'1000z'!E35</f>
        <v>8</v>
      </c>
      <c r="D611" s="32">
        <f>'1000z'!F35</f>
        <v>5</v>
      </c>
      <c r="E611" s="32">
        <f t="shared" si="179"/>
        <v>80</v>
      </c>
      <c r="F611" s="10">
        <f t="shared" si="180"/>
        <v>0</v>
      </c>
      <c r="G611" s="10">
        <f t="shared" si="181"/>
        <v>0</v>
      </c>
      <c r="H611" s="10">
        <f t="shared" si="164"/>
        <v>0</v>
      </c>
      <c r="I611" s="10">
        <f t="shared" si="165"/>
        <v>0</v>
      </c>
      <c r="J611" s="10">
        <f t="shared" si="166"/>
        <v>1</v>
      </c>
      <c r="K611" s="10">
        <f t="shared" si="167"/>
        <v>0</v>
      </c>
      <c r="L611" s="10">
        <f t="shared" si="168"/>
        <v>0</v>
      </c>
      <c r="M611" s="10">
        <f t="shared" si="169"/>
        <v>0</v>
      </c>
      <c r="N611" s="10">
        <f t="shared" si="170"/>
        <v>0</v>
      </c>
      <c r="O611" s="10">
        <f t="shared" si="171"/>
        <v>0</v>
      </c>
      <c r="P611" s="10">
        <f t="shared" si="172"/>
        <v>0</v>
      </c>
      <c r="Q611" s="10">
        <f t="shared" si="173"/>
        <v>0</v>
      </c>
      <c r="R611" s="10">
        <f t="shared" si="174"/>
        <v>0</v>
      </c>
      <c r="S611" s="10">
        <f t="shared" si="175"/>
        <v>0</v>
      </c>
      <c r="T611" s="10">
        <f t="shared" si="176"/>
        <v>0</v>
      </c>
      <c r="U611" s="10">
        <f t="shared" si="177"/>
        <v>0</v>
      </c>
      <c r="V611" s="10">
        <f t="shared" si="178"/>
        <v>0</v>
      </c>
    </row>
    <row r="612" spans="1:22" x14ac:dyDescent="0.2">
      <c r="A612" s="32">
        <v>26</v>
      </c>
      <c r="B612" s="33">
        <v>0.29166666666666702</v>
      </c>
      <c r="C612" s="32">
        <f>'1100z'!E35</f>
        <v>8</v>
      </c>
      <c r="D612" s="32">
        <f>'1100z'!F35</f>
        <v>8</v>
      </c>
      <c r="E612" s="32">
        <f t="shared" si="179"/>
        <v>80</v>
      </c>
      <c r="F612" s="10">
        <f t="shared" si="180"/>
        <v>0</v>
      </c>
      <c r="G612" s="10">
        <f t="shared" si="181"/>
        <v>0</v>
      </c>
      <c r="H612" s="10">
        <f t="shared" si="164"/>
        <v>0</v>
      </c>
      <c r="I612" s="10">
        <f t="shared" si="165"/>
        <v>0</v>
      </c>
      <c r="J612" s="10">
        <f t="shared" si="166"/>
        <v>1</v>
      </c>
      <c r="K612" s="10">
        <f t="shared" si="167"/>
        <v>0</v>
      </c>
      <c r="L612" s="10">
        <f t="shared" si="168"/>
        <v>0</v>
      </c>
      <c r="M612" s="10">
        <f t="shared" si="169"/>
        <v>0</v>
      </c>
      <c r="N612" s="10">
        <f t="shared" si="170"/>
        <v>0</v>
      </c>
      <c r="O612" s="10">
        <f t="shared" si="171"/>
        <v>0</v>
      </c>
      <c r="P612" s="10">
        <f t="shared" si="172"/>
        <v>0</v>
      </c>
      <c r="Q612" s="10">
        <f t="shared" si="173"/>
        <v>0</v>
      </c>
      <c r="R612" s="10">
        <f t="shared" si="174"/>
        <v>0</v>
      </c>
      <c r="S612" s="10">
        <f t="shared" si="175"/>
        <v>0</v>
      </c>
      <c r="T612" s="10">
        <f t="shared" si="176"/>
        <v>0</v>
      </c>
      <c r="U612" s="10">
        <f t="shared" si="177"/>
        <v>0</v>
      </c>
      <c r="V612" s="10">
        <f t="shared" si="178"/>
        <v>0</v>
      </c>
    </row>
    <row r="613" spans="1:22" x14ac:dyDescent="0.2">
      <c r="A613" s="32">
        <v>26</v>
      </c>
      <c r="B613" s="33">
        <v>0.33333333333333298</v>
      </c>
      <c r="C613" s="32">
        <f>'1200z'!E35</f>
        <v>8</v>
      </c>
      <c r="D613" s="32">
        <f>'1200z'!F35</f>
        <v>9</v>
      </c>
      <c r="E613" s="32">
        <f t="shared" si="179"/>
        <v>80</v>
      </c>
      <c r="F613" s="10">
        <f t="shared" si="180"/>
        <v>0</v>
      </c>
      <c r="G613" s="10">
        <f t="shared" si="181"/>
        <v>0</v>
      </c>
      <c r="H613" s="10">
        <f t="shared" si="164"/>
        <v>0</v>
      </c>
      <c r="I613" s="10">
        <f t="shared" si="165"/>
        <v>0</v>
      </c>
      <c r="J613" s="10">
        <f t="shared" si="166"/>
        <v>1</v>
      </c>
      <c r="K613" s="10">
        <f t="shared" si="167"/>
        <v>0</v>
      </c>
      <c r="L613" s="10">
        <f t="shared" si="168"/>
        <v>0</v>
      </c>
      <c r="M613" s="10">
        <f t="shared" si="169"/>
        <v>0</v>
      </c>
      <c r="N613" s="10">
        <f t="shared" si="170"/>
        <v>0</v>
      </c>
      <c r="O613" s="10">
        <f t="shared" si="171"/>
        <v>0</v>
      </c>
      <c r="P613" s="10">
        <f t="shared" si="172"/>
        <v>0</v>
      </c>
      <c r="Q613" s="10">
        <f t="shared" si="173"/>
        <v>0</v>
      </c>
      <c r="R613" s="10">
        <f t="shared" si="174"/>
        <v>0</v>
      </c>
      <c r="S613" s="10">
        <f t="shared" si="175"/>
        <v>0</v>
      </c>
      <c r="T613" s="10">
        <f t="shared" si="176"/>
        <v>0</v>
      </c>
      <c r="U613" s="10">
        <f t="shared" si="177"/>
        <v>0</v>
      </c>
      <c r="V613" s="10">
        <f t="shared" si="178"/>
        <v>0</v>
      </c>
    </row>
    <row r="614" spans="1:22" x14ac:dyDescent="0.2">
      <c r="A614" s="32">
        <v>26</v>
      </c>
      <c r="B614" s="33">
        <v>0.375</v>
      </c>
      <c r="C614" s="32">
        <f>'1300z'!E35</f>
        <v>10</v>
      </c>
      <c r="D614" s="32">
        <f>'1300z'!F35</f>
        <v>12</v>
      </c>
      <c r="E614" s="32">
        <f t="shared" si="179"/>
        <v>100</v>
      </c>
      <c r="F614" s="10">
        <f t="shared" si="180"/>
        <v>0</v>
      </c>
      <c r="G614" s="10">
        <f t="shared" si="181"/>
        <v>0</v>
      </c>
      <c r="H614" s="10">
        <f t="shared" si="164"/>
        <v>0</v>
      </c>
      <c r="I614" s="10">
        <f t="shared" si="165"/>
        <v>0</v>
      </c>
      <c r="J614" s="10">
        <f t="shared" si="166"/>
        <v>1</v>
      </c>
      <c r="K614" s="10">
        <f t="shared" si="167"/>
        <v>0</v>
      </c>
      <c r="L614" s="10">
        <f t="shared" si="168"/>
        <v>0</v>
      </c>
      <c r="M614" s="10">
        <f t="shared" si="169"/>
        <v>0</v>
      </c>
      <c r="N614" s="10">
        <f t="shared" si="170"/>
        <v>0</v>
      </c>
      <c r="O614" s="10">
        <f t="shared" si="171"/>
        <v>0</v>
      </c>
      <c r="P614" s="10">
        <f t="shared" si="172"/>
        <v>0</v>
      </c>
      <c r="Q614" s="10">
        <f t="shared" si="173"/>
        <v>0</v>
      </c>
      <c r="R614" s="10">
        <f t="shared" si="174"/>
        <v>0</v>
      </c>
      <c r="S614" s="10">
        <f t="shared" si="175"/>
        <v>0</v>
      </c>
      <c r="T614" s="10">
        <f t="shared" si="176"/>
        <v>0</v>
      </c>
      <c r="U614" s="10">
        <f t="shared" si="177"/>
        <v>0</v>
      </c>
      <c r="V614" s="10">
        <f t="shared" si="178"/>
        <v>0</v>
      </c>
    </row>
    <row r="615" spans="1:22" x14ac:dyDescent="0.2">
      <c r="A615" s="32">
        <v>26</v>
      </c>
      <c r="B615" s="33">
        <v>0.41666666666666702</v>
      </c>
      <c r="C615" s="32">
        <f>'1400z'!E35</f>
        <v>13</v>
      </c>
      <c r="D615" s="32">
        <f>'1400z'!F35</f>
        <v>11</v>
      </c>
      <c r="E615" s="32">
        <f t="shared" si="179"/>
        <v>130</v>
      </c>
      <c r="F615" s="10">
        <f t="shared" si="180"/>
        <v>0</v>
      </c>
      <c r="G615" s="10">
        <f t="shared" si="181"/>
        <v>0</v>
      </c>
      <c r="H615" s="10">
        <f t="shared" si="164"/>
        <v>0</v>
      </c>
      <c r="I615" s="10">
        <f t="shared" si="165"/>
        <v>0</v>
      </c>
      <c r="J615" s="10">
        <f t="shared" si="166"/>
        <v>0</v>
      </c>
      <c r="K615" s="10">
        <f t="shared" si="167"/>
        <v>0</v>
      </c>
      <c r="L615" s="10">
        <f t="shared" si="168"/>
        <v>1</v>
      </c>
      <c r="M615" s="10">
        <f t="shared" si="169"/>
        <v>0</v>
      </c>
      <c r="N615" s="10">
        <f t="shared" si="170"/>
        <v>0</v>
      </c>
      <c r="O615" s="10">
        <f t="shared" si="171"/>
        <v>0</v>
      </c>
      <c r="P615" s="10">
        <f t="shared" si="172"/>
        <v>0</v>
      </c>
      <c r="Q615" s="10">
        <f t="shared" si="173"/>
        <v>0</v>
      </c>
      <c r="R615" s="10">
        <f t="shared" si="174"/>
        <v>0</v>
      </c>
      <c r="S615" s="10">
        <f t="shared" si="175"/>
        <v>0</v>
      </c>
      <c r="T615" s="10">
        <f t="shared" si="176"/>
        <v>0</v>
      </c>
      <c r="U615" s="10">
        <f t="shared" si="177"/>
        <v>0</v>
      </c>
      <c r="V615" s="10">
        <f t="shared" si="178"/>
        <v>0</v>
      </c>
    </row>
    <row r="616" spans="1:22" x14ac:dyDescent="0.2">
      <c r="A616" s="32">
        <v>26</v>
      </c>
      <c r="B616" s="33">
        <v>0.45833333333333298</v>
      </c>
      <c r="C616" s="32">
        <f>'1500z'!E35</f>
        <v>12</v>
      </c>
      <c r="D616" s="32">
        <f>'1500z'!F35</f>
        <v>12</v>
      </c>
      <c r="E616" s="32">
        <f t="shared" si="179"/>
        <v>120</v>
      </c>
      <c r="F616" s="10">
        <f t="shared" si="180"/>
        <v>0</v>
      </c>
      <c r="G616" s="10">
        <f t="shared" si="181"/>
        <v>0</v>
      </c>
      <c r="H616" s="10">
        <f t="shared" si="164"/>
        <v>0</v>
      </c>
      <c r="I616" s="10">
        <f t="shared" si="165"/>
        <v>0</v>
      </c>
      <c r="J616" s="10">
        <f t="shared" si="166"/>
        <v>0</v>
      </c>
      <c r="K616" s="10">
        <f t="shared" si="167"/>
        <v>1</v>
      </c>
      <c r="L616" s="10">
        <f t="shared" si="168"/>
        <v>0</v>
      </c>
      <c r="M616" s="10">
        <f t="shared" si="169"/>
        <v>0</v>
      </c>
      <c r="N616" s="10">
        <f t="shared" si="170"/>
        <v>0</v>
      </c>
      <c r="O616" s="10">
        <f t="shared" si="171"/>
        <v>0</v>
      </c>
      <c r="P616" s="10">
        <f t="shared" si="172"/>
        <v>0</v>
      </c>
      <c r="Q616" s="10">
        <f t="shared" si="173"/>
        <v>0</v>
      </c>
      <c r="R616" s="10">
        <f t="shared" si="174"/>
        <v>0</v>
      </c>
      <c r="S616" s="10">
        <f t="shared" si="175"/>
        <v>0</v>
      </c>
      <c r="T616" s="10">
        <f t="shared" si="176"/>
        <v>0</v>
      </c>
      <c r="U616" s="10">
        <f t="shared" si="177"/>
        <v>0</v>
      </c>
      <c r="V616" s="10">
        <f t="shared" si="178"/>
        <v>0</v>
      </c>
    </row>
    <row r="617" spans="1:22" x14ac:dyDescent="0.2">
      <c r="A617" s="32">
        <v>26</v>
      </c>
      <c r="B617" s="33">
        <v>0.5</v>
      </c>
      <c r="C617" s="32">
        <f>'1600z'!E35</f>
        <v>11</v>
      </c>
      <c r="D617" s="32">
        <f>'1600z'!F35</f>
        <v>12</v>
      </c>
      <c r="E617" s="32">
        <f t="shared" si="179"/>
        <v>110</v>
      </c>
      <c r="F617" s="10">
        <f t="shared" si="180"/>
        <v>0</v>
      </c>
      <c r="G617" s="10">
        <f t="shared" si="181"/>
        <v>0</v>
      </c>
      <c r="H617" s="10">
        <f t="shared" si="164"/>
        <v>0</v>
      </c>
      <c r="I617" s="10">
        <f t="shared" si="165"/>
        <v>0</v>
      </c>
      <c r="J617" s="10">
        <f t="shared" si="166"/>
        <v>0</v>
      </c>
      <c r="K617" s="10">
        <f t="shared" si="167"/>
        <v>1</v>
      </c>
      <c r="L617" s="10">
        <f t="shared" si="168"/>
        <v>0</v>
      </c>
      <c r="M617" s="10">
        <f t="shared" si="169"/>
        <v>0</v>
      </c>
      <c r="N617" s="10">
        <f t="shared" si="170"/>
        <v>0</v>
      </c>
      <c r="O617" s="10">
        <f t="shared" si="171"/>
        <v>0</v>
      </c>
      <c r="P617" s="10">
        <f t="shared" si="172"/>
        <v>0</v>
      </c>
      <c r="Q617" s="10">
        <f t="shared" si="173"/>
        <v>0</v>
      </c>
      <c r="R617" s="10">
        <f t="shared" si="174"/>
        <v>0</v>
      </c>
      <c r="S617" s="10">
        <f t="shared" si="175"/>
        <v>0</v>
      </c>
      <c r="T617" s="10">
        <f t="shared" si="176"/>
        <v>0</v>
      </c>
      <c r="U617" s="10">
        <f t="shared" si="177"/>
        <v>0</v>
      </c>
      <c r="V617" s="10">
        <f t="shared" si="178"/>
        <v>0</v>
      </c>
    </row>
    <row r="618" spans="1:22" x14ac:dyDescent="0.2">
      <c r="A618" s="32">
        <v>26</v>
      </c>
      <c r="B618" s="33">
        <v>0.54166666666666696</v>
      </c>
      <c r="C618" s="32">
        <f>'1700z'!E35</f>
        <v>99</v>
      </c>
      <c r="D618" s="32">
        <f>'1700z'!F35</f>
        <v>2</v>
      </c>
      <c r="E618" s="32">
        <f t="shared" si="179"/>
        <v>990</v>
      </c>
      <c r="F618" s="10">
        <f t="shared" si="180"/>
        <v>0</v>
      </c>
      <c r="G618" s="10">
        <f t="shared" si="181"/>
        <v>0</v>
      </c>
      <c r="H618" s="10">
        <f t="shared" si="164"/>
        <v>0</v>
      </c>
      <c r="I618" s="10">
        <f t="shared" si="165"/>
        <v>0</v>
      </c>
      <c r="J618" s="10">
        <f t="shared" si="166"/>
        <v>0</v>
      </c>
      <c r="K618" s="10">
        <f t="shared" si="167"/>
        <v>0</v>
      </c>
      <c r="L618" s="10">
        <f t="shared" si="168"/>
        <v>0</v>
      </c>
      <c r="M618" s="10">
        <f t="shared" si="169"/>
        <v>0</v>
      </c>
      <c r="N618" s="10">
        <f t="shared" si="170"/>
        <v>0</v>
      </c>
      <c r="O618" s="10">
        <f t="shared" si="171"/>
        <v>0</v>
      </c>
      <c r="P618" s="10">
        <f t="shared" si="172"/>
        <v>0</v>
      </c>
      <c r="Q618" s="10">
        <f t="shared" si="173"/>
        <v>0</v>
      </c>
      <c r="R618" s="10">
        <f t="shared" si="174"/>
        <v>0</v>
      </c>
      <c r="S618" s="10">
        <f t="shared" si="175"/>
        <v>0</v>
      </c>
      <c r="T618" s="10">
        <f t="shared" si="176"/>
        <v>0</v>
      </c>
      <c r="U618" s="10">
        <f t="shared" si="177"/>
        <v>0</v>
      </c>
      <c r="V618" s="10">
        <f t="shared" si="178"/>
        <v>0</v>
      </c>
    </row>
    <row r="619" spans="1:22" x14ac:dyDescent="0.2">
      <c r="A619" s="32">
        <v>26</v>
      </c>
      <c r="B619" s="33">
        <v>0.58333333333333304</v>
      </c>
      <c r="C619" s="32">
        <f>'1800z'!E35</f>
        <v>8</v>
      </c>
      <c r="D619" s="32">
        <f>'1800z'!F35</f>
        <v>9</v>
      </c>
      <c r="E619" s="32">
        <f t="shared" si="179"/>
        <v>80</v>
      </c>
      <c r="F619" s="10">
        <f t="shared" si="180"/>
        <v>0</v>
      </c>
      <c r="G619" s="10">
        <f t="shared" si="181"/>
        <v>0</v>
      </c>
      <c r="H619" s="10">
        <f t="shared" si="164"/>
        <v>0</v>
      </c>
      <c r="I619" s="10">
        <f t="shared" si="165"/>
        <v>0</v>
      </c>
      <c r="J619" s="10">
        <f t="shared" si="166"/>
        <v>1</v>
      </c>
      <c r="K619" s="10">
        <f t="shared" si="167"/>
        <v>0</v>
      </c>
      <c r="L619" s="10">
        <f t="shared" si="168"/>
        <v>0</v>
      </c>
      <c r="M619" s="10">
        <f t="shared" si="169"/>
        <v>0</v>
      </c>
      <c r="N619" s="10">
        <f t="shared" si="170"/>
        <v>0</v>
      </c>
      <c r="O619" s="10">
        <f t="shared" si="171"/>
        <v>0</v>
      </c>
      <c r="P619" s="10">
        <f t="shared" si="172"/>
        <v>0</v>
      </c>
      <c r="Q619" s="10">
        <f t="shared" si="173"/>
        <v>0</v>
      </c>
      <c r="R619" s="10">
        <f t="shared" si="174"/>
        <v>0</v>
      </c>
      <c r="S619" s="10">
        <f t="shared" si="175"/>
        <v>0</v>
      </c>
      <c r="T619" s="10">
        <f t="shared" si="176"/>
        <v>0</v>
      </c>
      <c r="U619" s="10">
        <f t="shared" si="177"/>
        <v>0</v>
      </c>
      <c r="V619" s="10">
        <f t="shared" si="178"/>
        <v>0</v>
      </c>
    </row>
    <row r="620" spans="1:22" x14ac:dyDescent="0.2">
      <c r="A620" s="32">
        <v>26</v>
      </c>
      <c r="B620" s="33">
        <v>0.625</v>
      </c>
      <c r="C620" s="32">
        <f>'1900z'!E35</f>
        <v>13</v>
      </c>
      <c r="D620" s="32">
        <f>'1900z'!F35</f>
        <v>10</v>
      </c>
      <c r="E620" s="32">
        <f t="shared" si="179"/>
        <v>130</v>
      </c>
      <c r="F620" s="10">
        <f t="shared" si="180"/>
        <v>0</v>
      </c>
      <c r="G620" s="10">
        <f t="shared" si="181"/>
        <v>0</v>
      </c>
      <c r="H620" s="10">
        <f t="shared" si="164"/>
        <v>0</v>
      </c>
      <c r="I620" s="10">
        <f t="shared" si="165"/>
        <v>0</v>
      </c>
      <c r="J620" s="10">
        <f t="shared" si="166"/>
        <v>0</v>
      </c>
      <c r="K620" s="10">
        <f t="shared" si="167"/>
        <v>0</v>
      </c>
      <c r="L620" s="10">
        <f t="shared" si="168"/>
        <v>1</v>
      </c>
      <c r="M620" s="10">
        <f t="shared" si="169"/>
        <v>0</v>
      </c>
      <c r="N620" s="10">
        <f t="shared" si="170"/>
        <v>0</v>
      </c>
      <c r="O620" s="10">
        <f t="shared" si="171"/>
        <v>0</v>
      </c>
      <c r="P620" s="10">
        <f t="shared" si="172"/>
        <v>0</v>
      </c>
      <c r="Q620" s="10">
        <f t="shared" si="173"/>
        <v>0</v>
      </c>
      <c r="R620" s="10">
        <f t="shared" si="174"/>
        <v>0</v>
      </c>
      <c r="S620" s="10">
        <f t="shared" si="175"/>
        <v>0</v>
      </c>
      <c r="T620" s="10">
        <f t="shared" si="176"/>
        <v>0</v>
      </c>
      <c r="U620" s="10">
        <f t="shared" si="177"/>
        <v>0</v>
      </c>
      <c r="V620" s="10">
        <f t="shared" si="178"/>
        <v>0</v>
      </c>
    </row>
    <row r="621" spans="1:22" x14ac:dyDescent="0.2">
      <c r="A621" s="32">
        <v>26</v>
      </c>
      <c r="B621" s="33">
        <v>0.66666666666666696</v>
      </c>
      <c r="C621" s="32">
        <f>'2000z'!E35</f>
        <v>8</v>
      </c>
      <c r="D621" s="32">
        <f>'2000z'!F35</f>
        <v>11</v>
      </c>
      <c r="E621" s="32">
        <f t="shared" si="179"/>
        <v>80</v>
      </c>
      <c r="F621" s="10">
        <f t="shared" si="180"/>
        <v>0</v>
      </c>
      <c r="G621" s="10">
        <f t="shared" si="181"/>
        <v>0</v>
      </c>
      <c r="H621" s="10">
        <f t="shared" si="164"/>
        <v>0</v>
      </c>
      <c r="I621" s="10">
        <f t="shared" si="165"/>
        <v>0</v>
      </c>
      <c r="J621" s="10">
        <f t="shared" si="166"/>
        <v>1</v>
      </c>
      <c r="K621" s="10">
        <f t="shared" si="167"/>
        <v>0</v>
      </c>
      <c r="L621" s="10">
        <f t="shared" si="168"/>
        <v>0</v>
      </c>
      <c r="M621" s="10">
        <f t="shared" si="169"/>
        <v>0</v>
      </c>
      <c r="N621" s="10">
        <f t="shared" si="170"/>
        <v>0</v>
      </c>
      <c r="O621" s="10">
        <f t="shared" si="171"/>
        <v>0</v>
      </c>
      <c r="P621" s="10">
        <f t="shared" si="172"/>
        <v>0</v>
      </c>
      <c r="Q621" s="10">
        <f t="shared" si="173"/>
        <v>0</v>
      </c>
      <c r="R621" s="10">
        <f t="shared" si="174"/>
        <v>0</v>
      </c>
      <c r="S621" s="10">
        <f t="shared" si="175"/>
        <v>0</v>
      </c>
      <c r="T621" s="10">
        <f t="shared" si="176"/>
        <v>0</v>
      </c>
      <c r="U621" s="10">
        <f t="shared" si="177"/>
        <v>0</v>
      </c>
      <c r="V621" s="10">
        <f t="shared" si="178"/>
        <v>0</v>
      </c>
    </row>
    <row r="622" spans="1:22" x14ac:dyDescent="0.2">
      <c r="A622" s="32">
        <v>26</v>
      </c>
      <c r="B622" s="33">
        <v>0.70833333333333304</v>
      </c>
      <c r="C622" s="32">
        <f>'2100z'!E35</f>
        <v>9</v>
      </c>
      <c r="D622" s="32">
        <f>'2100z'!F35</f>
        <v>8</v>
      </c>
      <c r="E622" s="32">
        <f t="shared" si="179"/>
        <v>90</v>
      </c>
      <c r="F622" s="10">
        <f t="shared" si="180"/>
        <v>0</v>
      </c>
      <c r="G622" s="10">
        <f t="shared" si="181"/>
        <v>0</v>
      </c>
      <c r="H622" s="10">
        <f t="shared" si="164"/>
        <v>0</v>
      </c>
      <c r="I622" s="10">
        <f t="shared" si="165"/>
        <v>0</v>
      </c>
      <c r="J622" s="10">
        <f t="shared" si="166"/>
        <v>1</v>
      </c>
      <c r="K622" s="10">
        <f t="shared" si="167"/>
        <v>0</v>
      </c>
      <c r="L622" s="10">
        <f t="shared" si="168"/>
        <v>0</v>
      </c>
      <c r="M622" s="10">
        <f t="shared" si="169"/>
        <v>0</v>
      </c>
      <c r="N622" s="10">
        <f t="shared" si="170"/>
        <v>0</v>
      </c>
      <c r="O622" s="10">
        <f t="shared" si="171"/>
        <v>0</v>
      </c>
      <c r="P622" s="10">
        <f t="shared" si="172"/>
        <v>0</v>
      </c>
      <c r="Q622" s="10">
        <f t="shared" si="173"/>
        <v>0</v>
      </c>
      <c r="R622" s="10">
        <f t="shared" si="174"/>
        <v>0</v>
      </c>
      <c r="S622" s="10">
        <f t="shared" si="175"/>
        <v>0</v>
      </c>
      <c r="T622" s="10">
        <f t="shared" si="176"/>
        <v>0</v>
      </c>
      <c r="U622" s="10">
        <f t="shared" si="177"/>
        <v>0</v>
      </c>
      <c r="V622" s="10">
        <f t="shared" si="178"/>
        <v>0</v>
      </c>
    </row>
    <row r="623" spans="1:22" x14ac:dyDescent="0.2">
      <c r="A623" s="32">
        <v>26</v>
      </c>
      <c r="B623" s="33">
        <v>0.75</v>
      </c>
      <c r="C623" s="32">
        <f>'2200z'!E35</f>
        <v>7</v>
      </c>
      <c r="D623" s="32">
        <f>'2200z'!F35</f>
        <v>10</v>
      </c>
      <c r="E623" s="32">
        <f t="shared" si="179"/>
        <v>70</v>
      </c>
      <c r="F623" s="10">
        <f t="shared" si="180"/>
        <v>0</v>
      </c>
      <c r="G623" s="10">
        <f t="shared" si="181"/>
        <v>0</v>
      </c>
      <c r="H623" s="10">
        <f t="shared" si="164"/>
        <v>0</v>
      </c>
      <c r="I623" s="10">
        <f t="shared" si="165"/>
        <v>1</v>
      </c>
      <c r="J623" s="10">
        <f t="shared" si="166"/>
        <v>0</v>
      </c>
      <c r="K623" s="10">
        <f t="shared" si="167"/>
        <v>0</v>
      </c>
      <c r="L623" s="10">
        <f t="shared" si="168"/>
        <v>0</v>
      </c>
      <c r="M623" s="10">
        <f t="shared" si="169"/>
        <v>0</v>
      </c>
      <c r="N623" s="10">
        <f t="shared" si="170"/>
        <v>0</v>
      </c>
      <c r="O623" s="10">
        <f t="shared" si="171"/>
        <v>0</v>
      </c>
      <c r="P623" s="10">
        <f t="shared" si="172"/>
        <v>0</v>
      </c>
      <c r="Q623" s="10">
        <f t="shared" si="173"/>
        <v>0</v>
      </c>
      <c r="R623" s="10">
        <f t="shared" si="174"/>
        <v>0</v>
      </c>
      <c r="S623" s="10">
        <f t="shared" si="175"/>
        <v>0</v>
      </c>
      <c r="T623" s="10">
        <f t="shared" si="176"/>
        <v>0</v>
      </c>
      <c r="U623" s="10">
        <f t="shared" si="177"/>
        <v>0</v>
      </c>
      <c r="V623" s="10">
        <f t="shared" si="178"/>
        <v>0</v>
      </c>
    </row>
    <row r="624" spans="1:22" x14ac:dyDescent="0.2">
      <c r="A624" s="32">
        <v>26</v>
      </c>
      <c r="B624" s="33">
        <v>0.79166666666666696</v>
      </c>
      <c r="C624" s="32">
        <f>'2300z'!E35</f>
        <v>5</v>
      </c>
      <c r="D624" s="32">
        <f>'2300z'!F35</f>
        <v>10</v>
      </c>
      <c r="E624" s="32">
        <f t="shared" si="179"/>
        <v>50</v>
      </c>
      <c r="F624" s="10">
        <f t="shared" si="180"/>
        <v>0</v>
      </c>
      <c r="G624" s="10">
        <f t="shared" si="181"/>
        <v>0</v>
      </c>
      <c r="H624" s="10">
        <f t="shared" si="164"/>
        <v>1</v>
      </c>
      <c r="I624" s="10">
        <f t="shared" si="165"/>
        <v>0</v>
      </c>
      <c r="J624" s="10">
        <f t="shared" si="166"/>
        <v>0</v>
      </c>
      <c r="K624" s="10">
        <f t="shared" si="167"/>
        <v>0</v>
      </c>
      <c r="L624" s="10">
        <f t="shared" si="168"/>
        <v>0</v>
      </c>
      <c r="M624" s="10">
        <f t="shared" si="169"/>
        <v>0</v>
      </c>
      <c r="N624" s="10">
        <f t="shared" si="170"/>
        <v>0</v>
      </c>
      <c r="O624" s="10">
        <f t="shared" si="171"/>
        <v>0</v>
      </c>
      <c r="P624" s="10">
        <f t="shared" si="172"/>
        <v>0</v>
      </c>
      <c r="Q624" s="10">
        <f t="shared" si="173"/>
        <v>0</v>
      </c>
      <c r="R624" s="10">
        <f t="shared" si="174"/>
        <v>0</v>
      </c>
      <c r="S624" s="10">
        <f t="shared" si="175"/>
        <v>0</v>
      </c>
      <c r="T624" s="10">
        <f t="shared" si="176"/>
        <v>0</v>
      </c>
      <c r="U624" s="10">
        <f t="shared" si="177"/>
        <v>0</v>
      </c>
      <c r="V624" s="10">
        <f t="shared" si="178"/>
        <v>0</v>
      </c>
    </row>
    <row r="625" spans="1:22" x14ac:dyDescent="0.2">
      <c r="A625" s="32">
        <v>26</v>
      </c>
      <c r="B625" s="33">
        <v>0.83333333333333304</v>
      </c>
      <c r="C625" s="32">
        <f>'0000z'!E35</f>
        <v>7</v>
      </c>
      <c r="D625" s="32">
        <f>'0000z'!F35</f>
        <v>13</v>
      </c>
      <c r="E625" s="32">
        <f t="shared" si="179"/>
        <v>70</v>
      </c>
      <c r="F625" s="10">
        <f t="shared" si="180"/>
        <v>0</v>
      </c>
      <c r="G625" s="10">
        <f t="shared" si="181"/>
        <v>0</v>
      </c>
      <c r="H625" s="10">
        <f t="shared" si="164"/>
        <v>0</v>
      </c>
      <c r="I625" s="10">
        <f t="shared" si="165"/>
        <v>1</v>
      </c>
      <c r="J625" s="10">
        <f t="shared" si="166"/>
        <v>0</v>
      </c>
      <c r="K625" s="10">
        <f t="shared" si="167"/>
        <v>0</v>
      </c>
      <c r="L625" s="10">
        <f t="shared" si="168"/>
        <v>0</v>
      </c>
      <c r="M625" s="10">
        <f t="shared" si="169"/>
        <v>0</v>
      </c>
      <c r="N625" s="10">
        <f t="shared" si="170"/>
        <v>0</v>
      </c>
      <c r="O625" s="10">
        <f t="shared" si="171"/>
        <v>0</v>
      </c>
      <c r="P625" s="10">
        <f t="shared" si="172"/>
        <v>0</v>
      </c>
      <c r="Q625" s="10">
        <f t="shared" si="173"/>
        <v>0</v>
      </c>
      <c r="R625" s="10">
        <f t="shared" si="174"/>
        <v>0</v>
      </c>
      <c r="S625" s="10">
        <f t="shared" si="175"/>
        <v>0</v>
      </c>
      <c r="T625" s="10">
        <f t="shared" si="176"/>
        <v>0</v>
      </c>
      <c r="U625" s="10">
        <f t="shared" si="177"/>
        <v>0</v>
      </c>
      <c r="V625" s="10">
        <f t="shared" si="178"/>
        <v>0</v>
      </c>
    </row>
    <row r="626" spans="1:22" x14ac:dyDescent="0.2">
      <c r="A626" s="32">
        <v>26</v>
      </c>
      <c r="B626" s="33">
        <v>0.875</v>
      </c>
      <c r="C626" s="32">
        <f>'0100z'!E35</f>
        <v>8</v>
      </c>
      <c r="D626" s="32">
        <f>'0100z'!F35</f>
        <v>10</v>
      </c>
      <c r="E626" s="32">
        <f t="shared" si="179"/>
        <v>80</v>
      </c>
      <c r="F626" s="10">
        <f t="shared" si="180"/>
        <v>0</v>
      </c>
      <c r="G626" s="10">
        <f t="shared" si="181"/>
        <v>0</v>
      </c>
      <c r="H626" s="10">
        <f t="shared" si="164"/>
        <v>0</v>
      </c>
      <c r="I626" s="10">
        <f t="shared" si="165"/>
        <v>0</v>
      </c>
      <c r="J626" s="10">
        <f t="shared" si="166"/>
        <v>1</v>
      </c>
      <c r="K626" s="10">
        <f t="shared" si="167"/>
        <v>0</v>
      </c>
      <c r="L626" s="10">
        <f t="shared" si="168"/>
        <v>0</v>
      </c>
      <c r="M626" s="10">
        <f t="shared" si="169"/>
        <v>0</v>
      </c>
      <c r="N626" s="10">
        <f t="shared" si="170"/>
        <v>0</v>
      </c>
      <c r="O626" s="10">
        <f t="shared" si="171"/>
        <v>0</v>
      </c>
      <c r="P626" s="10">
        <f t="shared" si="172"/>
        <v>0</v>
      </c>
      <c r="Q626" s="10">
        <f t="shared" si="173"/>
        <v>0</v>
      </c>
      <c r="R626" s="10">
        <f t="shared" si="174"/>
        <v>0</v>
      </c>
      <c r="S626" s="10">
        <f t="shared" si="175"/>
        <v>0</v>
      </c>
      <c r="T626" s="10">
        <f t="shared" si="176"/>
        <v>0</v>
      </c>
      <c r="U626" s="10">
        <f t="shared" si="177"/>
        <v>0</v>
      </c>
      <c r="V626" s="10">
        <f t="shared" si="178"/>
        <v>0</v>
      </c>
    </row>
    <row r="627" spans="1:22" x14ac:dyDescent="0.2">
      <c r="A627" s="32">
        <v>26</v>
      </c>
      <c r="B627" s="33">
        <v>0.91666666666666696</v>
      </c>
      <c r="C627" s="32">
        <f>'0200z'!E35</f>
        <v>8</v>
      </c>
      <c r="D627" s="32">
        <f>'0200z'!F35</f>
        <v>8</v>
      </c>
      <c r="E627" s="32">
        <f t="shared" si="179"/>
        <v>80</v>
      </c>
      <c r="F627" s="10">
        <f t="shared" si="180"/>
        <v>0</v>
      </c>
      <c r="G627" s="10">
        <f t="shared" si="181"/>
        <v>0</v>
      </c>
      <c r="H627" s="10">
        <f t="shared" si="164"/>
        <v>0</v>
      </c>
      <c r="I627" s="10">
        <f t="shared" si="165"/>
        <v>0</v>
      </c>
      <c r="J627" s="10">
        <f t="shared" si="166"/>
        <v>1</v>
      </c>
      <c r="K627" s="10">
        <f t="shared" si="167"/>
        <v>0</v>
      </c>
      <c r="L627" s="10">
        <f t="shared" si="168"/>
        <v>0</v>
      </c>
      <c r="M627" s="10">
        <f t="shared" si="169"/>
        <v>0</v>
      </c>
      <c r="N627" s="10">
        <f t="shared" si="170"/>
        <v>0</v>
      </c>
      <c r="O627" s="10">
        <f t="shared" si="171"/>
        <v>0</v>
      </c>
      <c r="P627" s="10">
        <f t="shared" si="172"/>
        <v>0</v>
      </c>
      <c r="Q627" s="10">
        <f t="shared" si="173"/>
        <v>0</v>
      </c>
      <c r="R627" s="10">
        <f t="shared" si="174"/>
        <v>0</v>
      </c>
      <c r="S627" s="10">
        <f t="shared" si="175"/>
        <v>0</v>
      </c>
      <c r="T627" s="10">
        <f t="shared" si="176"/>
        <v>0</v>
      </c>
      <c r="U627" s="10">
        <f t="shared" si="177"/>
        <v>0</v>
      </c>
      <c r="V627" s="10">
        <f t="shared" si="178"/>
        <v>0</v>
      </c>
    </row>
    <row r="628" spans="1:22" x14ac:dyDescent="0.2">
      <c r="A628" s="32">
        <v>26</v>
      </c>
      <c r="B628" s="33">
        <v>0.95833333333333304</v>
      </c>
      <c r="C628" s="32">
        <f>'0300z'!E35</f>
        <v>8</v>
      </c>
      <c r="D628" s="32">
        <f>'0300z'!F35</f>
        <v>15</v>
      </c>
      <c r="E628" s="32">
        <f t="shared" si="179"/>
        <v>80</v>
      </c>
      <c r="F628" s="10">
        <f t="shared" si="180"/>
        <v>0</v>
      </c>
      <c r="G628" s="10">
        <f t="shared" si="181"/>
        <v>0</v>
      </c>
      <c r="H628" s="10">
        <f t="shared" si="164"/>
        <v>0</v>
      </c>
      <c r="I628" s="10">
        <f t="shared" si="165"/>
        <v>0</v>
      </c>
      <c r="J628" s="10">
        <f t="shared" si="166"/>
        <v>1</v>
      </c>
      <c r="K628" s="10">
        <f t="shared" si="167"/>
        <v>0</v>
      </c>
      <c r="L628" s="10">
        <f t="shared" si="168"/>
        <v>0</v>
      </c>
      <c r="M628" s="10">
        <f t="shared" si="169"/>
        <v>0</v>
      </c>
      <c r="N628" s="10">
        <f t="shared" si="170"/>
        <v>0</v>
      </c>
      <c r="O628" s="10">
        <f t="shared" si="171"/>
        <v>0</v>
      </c>
      <c r="P628" s="10">
        <f t="shared" si="172"/>
        <v>0</v>
      </c>
      <c r="Q628" s="10">
        <f t="shared" si="173"/>
        <v>0</v>
      </c>
      <c r="R628" s="10">
        <f t="shared" si="174"/>
        <v>0</v>
      </c>
      <c r="S628" s="10">
        <f t="shared" si="175"/>
        <v>0</v>
      </c>
      <c r="T628" s="10">
        <f t="shared" si="176"/>
        <v>0</v>
      </c>
      <c r="U628" s="10">
        <f t="shared" si="177"/>
        <v>0</v>
      </c>
      <c r="V628" s="10">
        <f t="shared" si="178"/>
        <v>0</v>
      </c>
    </row>
    <row r="629" spans="1:22" x14ac:dyDescent="0.2">
      <c r="A629" s="32">
        <v>27</v>
      </c>
      <c r="B629" s="33">
        <v>0</v>
      </c>
      <c r="C629" s="32">
        <f>'0400z'!E36</f>
        <v>8</v>
      </c>
      <c r="D629" s="32">
        <f>'0400z'!F36</f>
        <v>12</v>
      </c>
      <c r="E629" s="32">
        <f t="shared" si="179"/>
        <v>80</v>
      </c>
      <c r="F629" s="10">
        <f t="shared" si="180"/>
        <v>0</v>
      </c>
      <c r="G629" s="10">
        <f t="shared" si="181"/>
        <v>0</v>
      </c>
      <c r="H629" s="10">
        <f t="shared" si="164"/>
        <v>0</v>
      </c>
      <c r="I629" s="10">
        <f t="shared" si="165"/>
        <v>0</v>
      </c>
      <c r="J629" s="10">
        <f t="shared" si="166"/>
        <v>1</v>
      </c>
      <c r="K629" s="10">
        <f t="shared" si="167"/>
        <v>0</v>
      </c>
      <c r="L629" s="10">
        <f t="shared" si="168"/>
        <v>0</v>
      </c>
      <c r="M629" s="10">
        <f t="shared" si="169"/>
        <v>0</v>
      </c>
      <c r="N629" s="10">
        <f t="shared" si="170"/>
        <v>0</v>
      </c>
      <c r="O629" s="10">
        <f t="shared" si="171"/>
        <v>0</v>
      </c>
      <c r="P629" s="10">
        <f t="shared" si="172"/>
        <v>0</v>
      </c>
      <c r="Q629" s="10">
        <f t="shared" si="173"/>
        <v>0</v>
      </c>
      <c r="R629" s="10">
        <f t="shared" si="174"/>
        <v>0</v>
      </c>
      <c r="S629" s="10">
        <f t="shared" si="175"/>
        <v>0</v>
      </c>
      <c r="T629" s="10">
        <f t="shared" si="176"/>
        <v>0</v>
      </c>
      <c r="U629" s="10">
        <f t="shared" si="177"/>
        <v>0</v>
      </c>
      <c r="V629" s="10">
        <f t="shared" si="178"/>
        <v>0</v>
      </c>
    </row>
    <row r="630" spans="1:22" x14ac:dyDescent="0.2">
      <c r="A630" s="32">
        <v>27</v>
      </c>
      <c r="B630" s="33">
        <v>4.1666666666666664E-2</v>
      </c>
      <c r="C630" s="32">
        <f>'0500z'!E36</f>
        <v>9</v>
      </c>
      <c r="D630" s="32">
        <f>'0500z'!F36</f>
        <v>14</v>
      </c>
      <c r="E630" s="32">
        <f t="shared" si="179"/>
        <v>90</v>
      </c>
      <c r="F630" s="10">
        <f t="shared" si="180"/>
        <v>0</v>
      </c>
      <c r="G630" s="10">
        <f t="shared" si="181"/>
        <v>0</v>
      </c>
      <c r="H630" s="10">
        <f t="shared" si="164"/>
        <v>0</v>
      </c>
      <c r="I630" s="10">
        <f t="shared" si="165"/>
        <v>0</v>
      </c>
      <c r="J630" s="10">
        <f t="shared" si="166"/>
        <v>1</v>
      </c>
      <c r="K630" s="10">
        <f t="shared" si="167"/>
        <v>0</v>
      </c>
      <c r="L630" s="10">
        <f t="shared" si="168"/>
        <v>0</v>
      </c>
      <c r="M630" s="10">
        <f t="shared" si="169"/>
        <v>0</v>
      </c>
      <c r="N630" s="10">
        <f t="shared" si="170"/>
        <v>0</v>
      </c>
      <c r="O630" s="10">
        <f t="shared" si="171"/>
        <v>0</v>
      </c>
      <c r="P630" s="10">
        <f t="shared" si="172"/>
        <v>0</v>
      </c>
      <c r="Q630" s="10">
        <f t="shared" si="173"/>
        <v>0</v>
      </c>
      <c r="R630" s="10">
        <f t="shared" si="174"/>
        <v>0</v>
      </c>
      <c r="S630" s="10">
        <f t="shared" si="175"/>
        <v>0</v>
      </c>
      <c r="T630" s="10">
        <f t="shared" si="176"/>
        <v>0</v>
      </c>
      <c r="U630" s="10">
        <f t="shared" si="177"/>
        <v>0</v>
      </c>
      <c r="V630" s="10">
        <f t="shared" si="178"/>
        <v>0</v>
      </c>
    </row>
    <row r="631" spans="1:22" x14ac:dyDescent="0.2">
      <c r="A631" s="32">
        <v>27</v>
      </c>
      <c r="B631" s="33">
        <v>8.3333333333333329E-2</v>
      </c>
      <c r="C631" s="32">
        <f>'0600z'!E36</f>
        <v>6</v>
      </c>
      <c r="D631" s="32">
        <f>'0600z'!F36</f>
        <v>13</v>
      </c>
      <c r="E631" s="32">
        <f t="shared" si="179"/>
        <v>60</v>
      </c>
      <c r="F631" s="10">
        <f t="shared" si="180"/>
        <v>0</v>
      </c>
      <c r="G631" s="10">
        <f t="shared" si="181"/>
        <v>0</v>
      </c>
      <c r="H631" s="10">
        <f t="shared" si="164"/>
        <v>0</v>
      </c>
      <c r="I631" s="10">
        <f t="shared" si="165"/>
        <v>1</v>
      </c>
      <c r="J631" s="10">
        <f t="shared" si="166"/>
        <v>0</v>
      </c>
      <c r="K631" s="10">
        <f t="shared" si="167"/>
        <v>0</v>
      </c>
      <c r="L631" s="10">
        <f t="shared" si="168"/>
        <v>0</v>
      </c>
      <c r="M631" s="10">
        <f t="shared" si="169"/>
        <v>0</v>
      </c>
      <c r="N631" s="10">
        <f t="shared" si="170"/>
        <v>0</v>
      </c>
      <c r="O631" s="10">
        <f t="shared" si="171"/>
        <v>0</v>
      </c>
      <c r="P631" s="10">
        <f t="shared" si="172"/>
        <v>0</v>
      </c>
      <c r="Q631" s="10">
        <f t="shared" si="173"/>
        <v>0</v>
      </c>
      <c r="R631" s="10">
        <f t="shared" si="174"/>
        <v>0</v>
      </c>
      <c r="S631" s="10">
        <f t="shared" si="175"/>
        <v>0</v>
      </c>
      <c r="T631" s="10">
        <f t="shared" si="176"/>
        <v>0</v>
      </c>
      <c r="U631" s="10">
        <f t="shared" si="177"/>
        <v>0</v>
      </c>
      <c r="V631" s="10">
        <f t="shared" si="178"/>
        <v>0</v>
      </c>
    </row>
    <row r="632" spans="1:22" x14ac:dyDescent="0.2">
      <c r="A632" s="32">
        <v>27</v>
      </c>
      <c r="B632" s="33">
        <v>0.125</v>
      </c>
      <c r="C632" s="32">
        <f>'0700z'!E36</f>
        <v>6</v>
      </c>
      <c r="D632" s="32">
        <f>'0700z'!F36</f>
        <v>10</v>
      </c>
      <c r="E632" s="32">
        <f t="shared" si="179"/>
        <v>60</v>
      </c>
      <c r="F632" s="10">
        <f t="shared" si="180"/>
        <v>0</v>
      </c>
      <c r="G632" s="10">
        <f t="shared" si="181"/>
        <v>0</v>
      </c>
      <c r="H632" s="10">
        <f t="shared" si="164"/>
        <v>0</v>
      </c>
      <c r="I632" s="10">
        <f t="shared" si="165"/>
        <v>1</v>
      </c>
      <c r="J632" s="10">
        <f t="shared" si="166"/>
        <v>0</v>
      </c>
      <c r="K632" s="10">
        <f t="shared" si="167"/>
        <v>0</v>
      </c>
      <c r="L632" s="10">
        <f t="shared" si="168"/>
        <v>0</v>
      </c>
      <c r="M632" s="10">
        <f t="shared" si="169"/>
        <v>0</v>
      </c>
      <c r="N632" s="10">
        <f t="shared" si="170"/>
        <v>0</v>
      </c>
      <c r="O632" s="10">
        <f t="shared" si="171"/>
        <v>0</v>
      </c>
      <c r="P632" s="10">
        <f t="shared" si="172"/>
        <v>0</v>
      </c>
      <c r="Q632" s="10">
        <f t="shared" si="173"/>
        <v>0</v>
      </c>
      <c r="R632" s="10">
        <f t="shared" si="174"/>
        <v>0</v>
      </c>
      <c r="S632" s="10">
        <f t="shared" si="175"/>
        <v>0</v>
      </c>
      <c r="T632" s="10">
        <f t="shared" si="176"/>
        <v>0</v>
      </c>
      <c r="U632" s="10">
        <f t="shared" si="177"/>
        <v>0</v>
      </c>
      <c r="V632" s="10">
        <f t="shared" si="178"/>
        <v>0</v>
      </c>
    </row>
    <row r="633" spans="1:22" x14ac:dyDescent="0.2">
      <c r="A633" s="32">
        <v>27</v>
      </c>
      <c r="B633" s="33">
        <v>0.16666666666666699</v>
      </c>
      <c r="C633" s="32">
        <f>'0800z'!E36</f>
        <v>7</v>
      </c>
      <c r="D633" s="32">
        <f>'0800z'!F36</f>
        <v>12</v>
      </c>
      <c r="E633" s="32">
        <f t="shared" si="179"/>
        <v>70</v>
      </c>
      <c r="F633" s="10">
        <f t="shared" si="180"/>
        <v>0</v>
      </c>
      <c r="G633" s="10">
        <f t="shared" si="181"/>
        <v>0</v>
      </c>
      <c r="H633" s="10">
        <f t="shared" si="164"/>
        <v>0</v>
      </c>
      <c r="I633" s="10">
        <f t="shared" si="165"/>
        <v>1</v>
      </c>
      <c r="J633" s="10">
        <f t="shared" si="166"/>
        <v>0</v>
      </c>
      <c r="K633" s="10">
        <f t="shared" si="167"/>
        <v>0</v>
      </c>
      <c r="L633" s="10">
        <f t="shared" si="168"/>
        <v>0</v>
      </c>
      <c r="M633" s="10">
        <f t="shared" si="169"/>
        <v>0</v>
      </c>
      <c r="N633" s="10">
        <f t="shared" si="170"/>
        <v>0</v>
      </c>
      <c r="O633" s="10">
        <f t="shared" si="171"/>
        <v>0</v>
      </c>
      <c r="P633" s="10">
        <f t="shared" si="172"/>
        <v>0</v>
      </c>
      <c r="Q633" s="10">
        <f t="shared" si="173"/>
        <v>0</v>
      </c>
      <c r="R633" s="10">
        <f t="shared" si="174"/>
        <v>0</v>
      </c>
      <c r="S633" s="10">
        <f t="shared" si="175"/>
        <v>0</v>
      </c>
      <c r="T633" s="10">
        <f t="shared" si="176"/>
        <v>0</v>
      </c>
      <c r="U633" s="10">
        <f t="shared" si="177"/>
        <v>0</v>
      </c>
      <c r="V633" s="10">
        <f t="shared" si="178"/>
        <v>0</v>
      </c>
    </row>
    <row r="634" spans="1:22" x14ac:dyDescent="0.2">
      <c r="A634" s="32">
        <v>27</v>
      </c>
      <c r="B634" s="33">
        <v>0.20833333333333301</v>
      </c>
      <c r="C634" s="32">
        <f>'0900z'!E36</f>
        <v>8</v>
      </c>
      <c r="D634" s="32">
        <f>'0900z'!F36</f>
        <v>6</v>
      </c>
      <c r="E634" s="32">
        <f t="shared" si="179"/>
        <v>80</v>
      </c>
      <c r="F634" s="10">
        <f t="shared" si="180"/>
        <v>0</v>
      </c>
      <c r="G634" s="10">
        <f t="shared" si="181"/>
        <v>0</v>
      </c>
      <c r="H634" s="10">
        <f t="shared" si="164"/>
        <v>0</v>
      </c>
      <c r="I634" s="10">
        <f t="shared" si="165"/>
        <v>0</v>
      </c>
      <c r="J634" s="10">
        <f t="shared" si="166"/>
        <v>1</v>
      </c>
      <c r="K634" s="10">
        <f t="shared" si="167"/>
        <v>0</v>
      </c>
      <c r="L634" s="10">
        <f t="shared" si="168"/>
        <v>0</v>
      </c>
      <c r="M634" s="10">
        <f t="shared" si="169"/>
        <v>0</v>
      </c>
      <c r="N634" s="10">
        <f t="shared" si="170"/>
        <v>0</v>
      </c>
      <c r="O634" s="10">
        <f t="shared" si="171"/>
        <v>0</v>
      </c>
      <c r="P634" s="10">
        <f t="shared" si="172"/>
        <v>0</v>
      </c>
      <c r="Q634" s="10">
        <f t="shared" si="173"/>
        <v>0</v>
      </c>
      <c r="R634" s="10">
        <f t="shared" si="174"/>
        <v>0</v>
      </c>
      <c r="S634" s="10">
        <f t="shared" si="175"/>
        <v>0</v>
      </c>
      <c r="T634" s="10">
        <f t="shared" si="176"/>
        <v>0</v>
      </c>
      <c r="U634" s="10">
        <f t="shared" si="177"/>
        <v>0</v>
      </c>
      <c r="V634" s="10">
        <f t="shared" si="178"/>
        <v>0</v>
      </c>
    </row>
    <row r="635" spans="1:22" x14ac:dyDescent="0.2">
      <c r="A635" s="32">
        <v>27</v>
      </c>
      <c r="B635" s="33">
        <v>0.25</v>
      </c>
      <c r="C635" s="32">
        <f>'1000z'!E36</f>
        <v>8</v>
      </c>
      <c r="D635" s="32">
        <f>'1000z'!F36</f>
        <v>8</v>
      </c>
      <c r="E635" s="32">
        <f t="shared" si="179"/>
        <v>80</v>
      </c>
      <c r="F635" s="10">
        <f t="shared" si="180"/>
        <v>0</v>
      </c>
      <c r="G635" s="10">
        <f t="shared" si="181"/>
        <v>0</v>
      </c>
      <c r="H635" s="10">
        <f t="shared" si="164"/>
        <v>0</v>
      </c>
      <c r="I635" s="10">
        <f t="shared" si="165"/>
        <v>0</v>
      </c>
      <c r="J635" s="10">
        <f t="shared" si="166"/>
        <v>1</v>
      </c>
      <c r="K635" s="10">
        <f t="shared" si="167"/>
        <v>0</v>
      </c>
      <c r="L635" s="10">
        <f t="shared" si="168"/>
        <v>0</v>
      </c>
      <c r="M635" s="10">
        <f t="shared" si="169"/>
        <v>0</v>
      </c>
      <c r="N635" s="10">
        <f t="shared" si="170"/>
        <v>0</v>
      </c>
      <c r="O635" s="10">
        <f t="shared" si="171"/>
        <v>0</v>
      </c>
      <c r="P635" s="10">
        <f t="shared" si="172"/>
        <v>0</v>
      </c>
      <c r="Q635" s="10">
        <f t="shared" si="173"/>
        <v>0</v>
      </c>
      <c r="R635" s="10">
        <f t="shared" si="174"/>
        <v>0</v>
      </c>
      <c r="S635" s="10">
        <f t="shared" si="175"/>
        <v>0</v>
      </c>
      <c r="T635" s="10">
        <f t="shared" si="176"/>
        <v>0</v>
      </c>
      <c r="U635" s="10">
        <f t="shared" si="177"/>
        <v>0</v>
      </c>
      <c r="V635" s="10">
        <f t="shared" si="178"/>
        <v>0</v>
      </c>
    </row>
    <row r="636" spans="1:22" x14ac:dyDescent="0.2">
      <c r="A636" s="32">
        <v>27</v>
      </c>
      <c r="B636" s="33">
        <v>0.29166666666666702</v>
      </c>
      <c r="C636" s="32">
        <f>'1100z'!E36</f>
        <v>7</v>
      </c>
      <c r="D636" s="32">
        <f>'1100z'!F36</f>
        <v>9</v>
      </c>
      <c r="E636" s="32">
        <f t="shared" si="179"/>
        <v>70</v>
      </c>
      <c r="F636" s="10">
        <f t="shared" si="180"/>
        <v>0</v>
      </c>
      <c r="G636" s="10">
        <f t="shared" si="181"/>
        <v>0</v>
      </c>
      <c r="H636" s="10">
        <f t="shared" si="164"/>
        <v>0</v>
      </c>
      <c r="I636" s="10">
        <f t="shared" si="165"/>
        <v>1</v>
      </c>
      <c r="J636" s="10">
        <f t="shared" si="166"/>
        <v>0</v>
      </c>
      <c r="K636" s="10">
        <f t="shared" si="167"/>
        <v>0</v>
      </c>
      <c r="L636" s="10">
        <f t="shared" si="168"/>
        <v>0</v>
      </c>
      <c r="M636" s="10">
        <f t="shared" si="169"/>
        <v>0</v>
      </c>
      <c r="N636" s="10">
        <f t="shared" si="170"/>
        <v>0</v>
      </c>
      <c r="O636" s="10">
        <f t="shared" si="171"/>
        <v>0</v>
      </c>
      <c r="P636" s="10">
        <f t="shared" si="172"/>
        <v>0</v>
      </c>
      <c r="Q636" s="10">
        <f t="shared" si="173"/>
        <v>0</v>
      </c>
      <c r="R636" s="10">
        <f t="shared" si="174"/>
        <v>0</v>
      </c>
      <c r="S636" s="10">
        <f t="shared" si="175"/>
        <v>0</v>
      </c>
      <c r="T636" s="10">
        <f t="shared" si="176"/>
        <v>0</v>
      </c>
      <c r="U636" s="10">
        <f t="shared" si="177"/>
        <v>0</v>
      </c>
      <c r="V636" s="10">
        <f t="shared" si="178"/>
        <v>0</v>
      </c>
    </row>
    <row r="637" spans="1:22" x14ac:dyDescent="0.2">
      <c r="A637" s="32">
        <v>27</v>
      </c>
      <c r="B637" s="33">
        <v>0.33333333333333298</v>
      </c>
      <c r="C637" s="32">
        <f>'1200z'!E36</f>
        <v>8</v>
      </c>
      <c r="D637" s="32">
        <f>'1200z'!F36</f>
        <v>16</v>
      </c>
      <c r="E637" s="32">
        <f t="shared" si="179"/>
        <v>80</v>
      </c>
      <c r="F637" s="10">
        <f t="shared" si="180"/>
        <v>0</v>
      </c>
      <c r="G637" s="10">
        <f t="shared" si="181"/>
        <v>0</v>
      </c>
      <c r="H637" s="10">
        <f t="shared" si="164"/>
        <v>0</v>
      </c>
      <c r="I637" s="10">
        <f t="shared" si="165"/>
        <v>0</v>
      </c>
      <c r="J637" s="10">
        <f t="shared" si="166"/>
        <v>1</v>
      </c>
      <c r="K637" s="10">
        <f t="shared" si="167"/>
        <v>0</v>
      </c>
      <c r="L637" s="10">
        <f t="shared" si="168"/>
        <v>0</v>
      </c>
      <c r="M637" s="10">
        <f t="shared" si="169"/>
        <v>0</v>
      </c>
      <c r="N637" s="10">
        <f t="shared" si="170"/>
        <v>0</v>
      </c>
      <c r="O637" s="10">
        <f t="shared" si="171"/>
        <v>0</v>
      </c>
      <c r="P637" s="10">
        <f t="shared" si="172"/>
        <v>0</v>
      </c>
      <c r="Q637" s="10">
        <f t="shared" si="173"/>
        <v>0</v>
      </c>
      <c r="R637" s="10">
        <f t="shared" si="174"/>
        <v>0</v>
      </c>
      <c r="S637" s="10">
        <f t="shared" si="175"/>
        <v>0</v>
      </c>
      <c r="T637" s="10">
        <f t="shared" si="176"/>
        <v>0</v>
      </c>
      <c r="U637" s="10">
        <f t="shared" si="177"/>
        <v>0</v>
      </c>
      <c r="V637" s="10">
        <f t="shared" si="178"/>
        <v>0</v>
      </c>
    </row>
    <row r="638" spans="1:22" x14ac:dyDescent="0.2">
      <c r="A638" s="32">
        <v>27</v>
      </c>
      <c r="B638" s="33">
        <v>0.375</v>
      </c>
      <c r="C638" s="32">
        <f>'1300z'!E36</f>
        <v>8</v>
      </c>
      <c r="D638" s="32">
        <f>'1300z'!F36</f>
        <v>13</v>
      </c>
      <c r="E638" s="32">
        <f t="shared" si="179"/>
        <v>80</v>
      </c>
      <c r="F638" s="10">
        <f t="shared" si="180"/>
        <v>0</v>
      </c>
      <c r="G638" s="10">
        <f t="shared" si="181"/>
        <v>0</v>
      </c>
      <c r="H638" s="10">
        <f t="shared" si="164"/>
        <v>0</v>
      </c>
      <c r="I638" s="10">
        <f t="shared" si="165"/>
        <v>0</v>
      </c>
      <c r="J638" s="10">
        <f t="shared" si="166"/>
        <v>1</v>
      </c>
      <c r="K638" s="10">
        <f t="shared" si="167"/>
        <v>0</v>
      </c>
      <c r="L638" s="10">
        <f t="shared" si="168"/>
        <v>0</v>
      </c>
      <c r="M638" s="10">
        <f t="shared" si="169"/>
        <v>0</v>
      </c>
      <c r="N638" s="10">
        <f t="shared" si="170"/>
        <v>0</v>
      </c>
      <c r="O638" s="10">
        <f t="shared" si="171"/>
        <v>0</v>
      </c>
      <c r="P638" s="10">
        <f t="shared" si="172"/>
        <v>0</v>
      </c>
      <c r="Q638" s="10">
        <f t="shared" si="173"/>
        <v>0</v>
      </c>
      <c r="R638" s="10">
        <f t="shared" si="174"/>
        <v>0</v>
      </c>
      <c r="S638" s="10">
        <f t="shared" si="175"/>
        <v>0</v>
      </c>
      <c r="T638" s="10">
        <f t="shared" si="176"/>
        <v>0</v>
      </c>
      <c r="U638" s="10">
        <f t="shared" si="177"/>
        <v>0</v>
      </c>
      <c r="V638" s="10">
        <f t="shared" si="178"/>
        <v>0</v>
      </c>
    </row>
    <row r="639" spans="1:22" x14ac:dyDescent="0.2">
      <c r="A639" s="32">
        <v>27</v>
      </c>
      <c r="B639" s="33">
        <v>0.41666666666666702</v>
      </c>
      <c r="C639" s="32">
        <f>'1400z'!E36</f>
        <v>9</v>
      </c>
      <c r="D639" s="32">
        <f>'1400z'!F36</f>
        <v>18</v>
      </c>
      <c r="E639" s="32">
        <f t="shared" si="179"/>
        <v>90</v>
      </c>
      <c r="F639" s="10">
        <f t="shared" si="180"/>
        <v>0</v>
      </c>
      <c r="G639" s="10">
        <f t="shared" si="181"/>
        <v>0</v>
      </c>
      <c r="H639" s="10">
        <f t="shared" si="164"/>
        <v>0</v>
      </c>
      <c r="I639" s="10">
        <f t="shared" si="165"/>
        <v>0</v>
      </c>
      <c r="J639" s="10">
        <f t="shared" si="166"/>
        <v>1</v>
      </c>
      <c r="K639" s="10">
        <f t="shared" si="167"/>
        <v>0</v>
      </c>
      <c r="L639" s="10">
        <f t="shared" si="168"/>
        <v>0</v>
      </c>
      <c r="M639" s="10">
        <f t="shared" si="169"/>
        <v>0</v>
      </c>
      <c r="N639" s="10">
        <f t="shared" si="170"/>
        <v>0</v>
      </c>
      <c r="O639" s="10">
        <f t="shared" si="171"/>
        <v>0</v>
      </c>
      <c r="P639" s="10">
        <f t="shared" si="172"/>
        <v>0</v>
      </c>
      <c r="Q639" s="10">
        <f t="shared" si="173"/>
        <v>0</v>
      </c>
      <c r="R639" s="10">
        <f t="shared" si="174"/>
        <v>0</v>
      </c>
      <c r="S639" s="10">
        <f t="shared" si="175"/>
        <v>0</v>
      </c>
      <c r="T639" s="10">
        <f t="shared" si="176"/>
        <v>0</v>
      </c>
      <c r="U639" s="10">
        <f t="shared" si="177"/>
        <v>0</v>
      </c>
      <c r="V639" s="10">
        <f t="shared" si="178"/>
        <v>0</v>
      </c>
    </row>
    <row r="640" spans="1:22" x14ac:dyDescent="0.2">
      <c r="A640" s="32">
        <v>27</v>
      </c>
      <c r="B640" s="33">
        <v>0.45833333333333298</v>
      </c>
      <c r="C640" s="32">
        <f>'1500z'!E36</f>
        <v>9</v>
      </c>
      <c r="D640" s="32">
        <f>'1500z'!F36</f>
        <v>16</v>
      </c>
      <c r="E640" s="32">
        <f t="shared" si="179"/>
        <v>90</v>
      </c>
      <c r="F640" s="10">
        <f t="shared" si="180"/>
        <v>0</v>
      </c>
      <c r="G640" s="10">
        <f t="shared" si="181"/>
        <v>0</v>
      </c>
      <c r="H640" s="10">
        <f t="shared" si="164"/>
        <v>0</v>
      </c>
      <c r="I640" s="10">
        <f t="shared" si="165"/>
        <v>0</v>
      </c>
      <c r="J640" s="10">
        <f t="shared" si="166"/>
        <v>1</v>
      </c>
      <c r="K640" s="10">
        <f t="shared" si="167"/>
        <v>0</v>
      </c>
      <c r="L640" s="10">
        <f t="shared" si="168"/>
        <v>0</v>
      </c>
      <c r="M640" s="10">
        <f t="shared" si="169"/>
        <v>0</v>
      </c>
      <c r="N640" s="10">
        <f t="shared" si="170"/>
        <v>0</v>
      </c>
      <c r="O640" s="10">
        <f t="shared" si="171"/>
        <v>0</v>
      </c>
      <c r="P640" s="10">
        <f t="shared" si="172"/>
        <v>0</v>
      </c>
      <c r="Q640" s="10">
        <f t="shared" si="173"/>
        <v>0</v>
      </c>
      <c r="R640" s="10">
        <f t="shared" si="174"/>
        <v>0</v>
      </c>
      <c r="S640" s="10">
        <f t="shared" si="175"/>
        <v>0</v>
      </c>
      <c r="T640" s="10">
        <f t="shared" si="176"/>
        <v>0</v>
      </c>
      <c r="U640" s="10">
        <f t="shared" si="177"/>
        <v>0</v>
      </c>
      <c r="V640" s="10">
        <f t="shared" si="178"/>
        <v>0</v>
      </c>
    </row>
    <row r="641" spans="1:22" x14ac:dyDescent="0.2">
      <c r="A641" s="32">
        <v>27</v>
      </c>
      <c r="B641" s="33">
        <v>0.5</v>
      </c>
      <c r="C641" s="32">
        <f>'1600z'!E36</f>
        <v>9</v>
      </c>
      <c r="D641" s="32">
        <f>'1600z'!F36</f>
        <v>17</v>
      </c>
      <c r="E641" s="32">
        <f t="shared" si="179"/>
        <v>90</v>
      </c>
      <c r="F641" s="10">
        <f t="shared" si="180"/>
        <v>0</v>
      </c>
      <c r="G641" s="10">
        <f t="shared" si="181"/>
        <v>0</v>
      </c>
      <c r="H641" s="10">
        <f t="shared" si="164"/>
        <v>0</v>
      </c>
      <c r="I641" s="10">
        <f t="shared" si="165"/>
        <v>0</v>
      </c>
      <c r="J641" s="10">
        <f t="shared" si="166"/>
        <v>1</v>
      </c>
      <c r="K641" s="10">
        <f t="shared" si="167"/>
        <v>0</v>
      </c>
      <c r="L641" s="10">
        <f t="shared" si="168"/>
        <v>0</v>
      </c>
      <c r="M641" s="10">
        <f t="shared" si="169"/>
        <v>0</v>
      </c>
      <c r="N641" s="10">
        <f t="shared" si="170"/>
        <v>0</v>
      </c>
      <c r="O641" s="10">
        <f t="shared" si="171"/>
        <v>0</v>
      </c>
      <c r="P641" s="10">
        <f t="shared" si="172"/>
        <v>0</v>
      </c>
      <c r="Q641" s="10">
        <f t="shared" si="173"/>
        <v>0</v>
      </c>
      <c r="R641" s="10">
        <f t="shared" si="174"/>
        <v>0</v>
      </c>
      <c r="S641" s="10">
        <f t="shared" si="175"/>
        <v>0</v>
      </c>
      <c r="T641" s="10">
        <f t="shared" si="176"/>
        <v>0</v>
      </c>
      <c r="U641" s="10">
        <f t="shared" si="177"/>
        <v>0</v>
      </c>
      <c r="V641" s="10">
        <f t="shared" si="178"/>
        <v>0</v>
      </c>
    </row>
    <row r="642" spans="1:22" x14ac:dyDescent="0.2">
      <c r="A642" s="32">
        <v>27</v>
      </c>
      <c r="B642" s="33">
        <v>0.54166666666666696</v>
      </c>
      <c r="C642" s="32">
        <f>'1700z'!E36</f>
        <v>8</v>
      </c>
      <c r="D642" s="32">
        <f>'1700z'!F36</f>
        <v>14</v>
      </c>
      <c r="E642" s="32">
        <f t="shared" si="179"/>
        <v>80</v>
      </c>
      <c r="F642" s="10">
        <f t="shared" si="180"/>
        <v>0</v>
      </c>
      <c r="G642" s="10">
        <f t="shared" si="181"/>
        <v>0</v>
      </c>
      <c r="H642" s="10">
        <f t="shared" si="164"/>
        <v>0</v>
      </c>
      <c r="I642" s="10">
        <f t="shared" si="165"/>
        <v>0</v>
      </c>
      <c r="J642" s="10">
        <f t="shared" si="166"/>
        <v>1</v>
      </c>
      <c r="K642" s="10">
        <f t="shared" si="167"/>
        <v>0</v>
      </c>
      <c r="L642" s="10">
        <f t="shared" si="168"/>
        <v>0</v>
      </c>
      <c r="M642" s="10">
        <f t="shared" si="169"/>
        <v>0</v>
      </c>
      <c r="N642" s="10">
        <f t="shared" si="170"/>
        <v>0</v>
      </c>
      <c r="O642" s="10">
        <f t="shared" si="171"/>
        <v>0</v>
      </c>
      <c r="P642" s="10">
        <f t="shared" si="172"/>
        <v>0</v>
      </c>
      <c r="Q642" s="10">
        <f t="shared" si="173"/>
        <v>0</v>
      </c>
      <c r="R642" s="10">
        <f t="shared" si="174"/>
        <v>0</v>
      </c>
      <c r="S642" s="10">
        <f t="shared" si="175"/>
        <v>0</v>
      </c>
      <c r="T642" s="10">
        <f t="shared" si="176"/>
        <v>0</v>
      </c>
      <c r="U642" s="10">
        <f t="shared" si="177"/>
        <v>0</v>
      </c>
      <c r="V642" s="10">
        <f t="shared" si="178"/>
        <v>0</v>
      </c>
    </row>
    <row r="643" spans="1:22" x14ac:dyDescent="0.2">
      <c r="A643" s="32">
        <v>27</v>
      </c>
      <c r="B643" s="33">
        <v>0.58333333333333304</v>
      </c>
      <c r="C643" s="32">
        <f>'1800z'!E36</f>
        <v>7</v>
      </c>
      <c r="D643" s="32">
        <f>'1800z'!F36</f>
        <v>12</v>
      </c>
      <c r="E643" s="32">
        <f t="shared" si="179"/>
        <v>70</v>
      </c>
      <c r="F643" s="10">
        <f t="shared" si="180"/>
        <v>0</v>
      </c>
      <c r="G643" s="10">
        <f t="shared" si="181"/>
        <v>0</v>
      </c>
      <c r="H643" s="10">
        <f t="shared" si="164"/>
        <v>0</v>
      </c>
      <c r="I643" s="10">
        <f t="shared" si="165"/>
        <v>1</v>
      </c>
      <c r="J643" s="10">
        <f t="shared" si="166"/>
        <v>0</v>
      </c>
      <c r="K643" s="10">
        <f t="shared" si="167"/>
        <v>0</v>
      </c>
      <c r="L643" s="10">
        <f t="shared" si="168"/>
        <v>0</v>
      </c>
      <c r="M643" s="10">
        <f t="shared" si="169"/>
        <v>0</v>
      </c>
      <c r="N643" s="10">
        <f t="shared" si="170"/>
        <v>0</v>
      </c>
      <c r="O643" s="10">
        <f t="shared" si="171"/>
        <v>0</v>
      </c>
      <c r="P643" s="10">
        <f t="shared" si="172"/>
        <v>0</v>
      </c>
      <c r="Q643" s="10">
        <f t="shared" si="173"/>
        <v>0</v>
      </c>
      <c r="R643" s="10">
        <f t="shared" si="174"/>
        <v>0</v>
      </c>
      <c r="S643" s="10">
        <f t="shared" si="175"/>
        <v>0</v>
      </c>
      <c r="T643" s="10">
        <f t="shared" si="176"/>
        <v>0</v>
      </c>
      <c r="U643" s="10">
        <f t="shared" si="177"/>
        <v>0</v>
      </c>
      <c r="V643" s="10">
        <f t="shared" si="178"/>
        <v>0</v>
      </c>
    </row>
    <row r="644" spans="1:22" x14ac:dyDescent="0.2">
      <c r="A644" s="32">
        <v>27</v>
      </c>
      <c r="B644" s="33">
        <v>0.625</v>
      </c>
      <c r="C644" s="32">
        <f>'1900z'!E36</f>
        <v>9</v>
      </c>
      <c r="D644" s="32">
        <f>'1900z'!F36</f>
        <v>20</v>
      </c>
      <c r="E644" s="32">
        <f t="shared" si="179"/>
        <v>90</v>
      </c>
      <c r="F644" s="10">
        <f t="shared" si="180"/>
        <v>0</v>
      </c>
      <c r="G644" s="10">
        <f t="shared" si="181"/>
        <v>0</v>
      </c>
      <c r="H644" s="10">
        <f t="shared" si="164"/>
        <v>0</v>
      </c>
      <c r="I644" s="10">
        <f t="shared" si="165"/>
        <v>0</v>
      </c>
      <c r="J644" s="10">
        <f t="shared" si="166"/>
        <v>1</v>
      </c>
      <c r="K644" s="10">
        <f t="shared" si="167"/>
        <v>0</v>
      </c>
      <c r="L644" s="10">
        <f t="shared" si="168"/>
        <v>0</v>
      </c>
      <c r="M644" s="10">
        <f t="shared" si="169"/>
        <v>0</v>
      </c>
      <c r="N644" s="10">
        <f t="shared" si="170"/>
        <v>0</v>
      </c>
      <c r="O644" s="10">
        <f t="shared" si="171"/>
        <v>0</v>
      </c>
      <c r="P644" s="10">
        <f t="shared" si="172"/>
        <v>0</v>
      </c>
      <c r="Q644" s="10">
        <f t="shared" si="173"/>
        <v>0</v>
      </c>
      <c r="R644" s="10">
        <f t="shared" si="174"/>
        <v>0</v>
      </c>
      <c r="S644" s="10">
        <f t="shared" si="175"/>
        <v>0</v>
      </c>
      <c r="T644" s="10">
        <f t="shared" si="176"/>
        <v>0</v>
      </c>
      <c r="U644" s="10">
        <f t="shared" si="177"/>
        <v>0</v>
      </c>
      <c r="V644" s="10">
        <f t="shared" si="178"/>
        <v>0</v>
      </c>
    </row>
    <row r="645" spans="1:22" x14ac:dyDescent="0.2">
      <c r="A645" s="32">
        <v>27</v>
      </c>
      <c r="B645" s="33">
        <v>0.66666666666666696</v>
      </c>
      <c r="C645" s="32">
        <f>'2000z'!E36</f>
        <v>8</v>
      </c>
      <c r="D645" s="32">
        <f>'2000z'!F36</f>
        <v>16</v>
      </c>
      <c r="E645" s="32">
        <f t="shared" si="179"/>
        <v>80</v>
      </c>
      <c r="F645" s="10">
        <f t="shared" si="180"/>
        <v>0</v>
      </c>
      <c r="G645" s="10">
        <f t="shared" si="181"/>
        <v>0</v>
      </c>
      <c r="H645" s="10">
        <f t="shared" si="164"/>
        <v>0</v>
      </c>
      <c r="I645" s="10">
        <f t="shared" si="165"/>
        <v>0</v>
      </c>
      <c r="J645" s="10">
        <f t="shared" si="166"/>
        <v>1</v>
      </c>
      <c r="K645" s="10">
        <f t="shared" si="167"/>
        <v>0</v>
      </c>
      <c r="L645" s="10">
        <f t="shared" si="168"/>
        <v>0</v>
      </c>
      <c r="M645" s="10">
        <f t="shared" si="169"/>
        <v>0</v>
      </c>
      <c r="N645" s="10">
        <f t="shared" si="170"/>
        <v>0</v>
      </c>
      <c r="O645" s="10">
        <f t="shared" si="171"/>
        <v>0</v>
      </c>
      <c r="P645" s="10">
        <f t="shared" si="172"/>
        <v>0</v>
      </c>
      <c r="Q645" s="10">
        <f t="shared" si="173"/>
        <v>0</v>
      </c>
      <c r="R645" s="10">
        <f t="shared" si="174"/>
        <v>0</v>
      </c>
      <c r="S645" s="10">
        <f t="shared" si="175"/>
        <v>0</v>
      </c>
      <c r="T645" s="10">
        <f t="shared" si="176"/>
        <v>0</v>
      </c>
      <c r="U645" s="10">
        <f t="shared" si="177"/>
        <v>0</v>
      </c>
      <c r="V645" s="10">
        <f t="shared" si="178"/>
        <v>0</v>
      </c>
    </row>
    <row r="646" spans="1:22" x14ac:dyDescent="0.2">
      <c r="A646" s="32">
        <v>27</v>
      </c>
      <c r="B646" s="33">
        <v>0.70833333333333304</v>
      </c>
      <c r="C646" s="32">
        <f>'2100z'!E36</f>
        <v>7</v>
      </c>
      <c r="D646" s="32">
        <f>'2100z'!F36</f>
        <v>13</v>
      </c>
      <c r="E646" s="32">
        <f t="shared" si="179"/>
        <v>70</v>
      </c>
      <c r="F646" s="10">
        <f t="shared" si="180"/>
        <v>0</v>
      </c>
      <c r="G646" s="10">
        <f t="shared" si="181"/>
        <v>0</v>
      </c>
      <c r="H646" s="10">
        <f t="shared" ref="H646:H709" si="182">IF(E646&gt;33.75,IF(E646&lt;=56.25,1,0),0)</f>
        <v>0</v>
      </c>
      <c r="I646" s="10">
        <f t="shared" ref="I646:I709" si="183">IF(E646&gt;56.25,IF(E646&lt;=78.75,1,0),0)</f>
        <v>1</v>
      </c>
      <c r="J646" s="10">
        <f t="shared" ref="J646:J709" si="184">IF(E646&gt;78.75,IF(E646&lt;=101.25,1,0),0)</f>
        <v>0</v>
      </c>
      <c r="K646" s="10">
        <f t="shared" ref="K646:K709" si="185">IF(E646&gt;101.25,IF(E646&lt;=123.75,1,0),0)</f>
        <v>0</v>
      </c>
      <c r="L646" s="10">
        <f t="shared" ref="L646:L709" si="186">IF(E646&gt;123.75,IF(E646&lt;=146.25,1,0),0)</f>
        <v>0</v>
      </c>
      <c r="M646" s="10">
        <f t="shared" ref="M646:M709" si="187">IF(E646&gt;146.25,IF(E646&lt;=168.75,1,0),0)</f>
        <v>0</v>
      </c>
      <c r="N646" s="10">
        <f t="shared" ref="N646:N709" si="188">IF(E646&gt;168.75,IF(E646&lt;=191.25,1,0),0)</f>
        <v>0</v>
      </c>
      <c r="O646" s="10">
        <f t="shared" ref="O646:O709" si="189">IF(E646&gt;191.25,IF(E646&lt;=213.75,1,0),0)</f>
        <v>0</v>
      </c>
      <c r="P646" s="10">
        <f t="shared" ref="P646:P709" si="190">IF(E646&gt;213.75,IF(E646&lt;=236.25,1,0),0)</f>
        <v>0</v>
      </c>
      <c r="Q646" s="10">
        <f t="shared" ref="Q646:Q709" si="191">IF(E646&gt;236.25,IF(E646&lt;=258.75,1,0),0)</f>
        <v>0</v>
      </c>
      <c r="R646" s="10">
        <f t="shared" ref="R646:R709" si="192">IF(E646&gt;258.75,IF(E646&lt;=281.25,1,0),0)</f>
        <v>0</v>
      </c>
      <c r="S646" s="10">
        <f t="shared" ref="S646:S709" si="193">IF(E646&gt;281.25,IF(E646&lt;=303.75,1,0),0)</f>
        <v>0</v>
      </c>
      <c r="T646" s="10">
        <f t="shared" ref="T646:T709" si="194">IF(E646&gt;303.75,IF(E646&lt;=326.25,1,0),0)</f>
        <v>0</v>
      </c>
      <c r="U646" s="10">
        <f t="shared" ref="U646:U709" si="195">IF(E646&gt;326.25,IF(E646&lt;=348.75,1,0),0)</f>
        <v>0</v>
      </c>
      <c r="V646" s="10">
        <f t="shared" ref="V646:V709" si="196">IF(E646&gt;348.75,IF(E646&lt;=360,1,0),0)</f>
        <v>0</v>
      </c>
    </row>
    <row r="647" spans="1:22" x14ac:dyDescent="0.2">
      <c r="A647" s="32">
        <v>27</v>
      </c>
      <c r="B647" s="33">
        <v>0.75</v>
      </c>
      <c r="C647" s="32">
        <f>'2200z'!E36</f>
        <v>7</v>
      </c>
      <c r="D647" s="32">
        <f>'2200z'!F36</f>
        <v>11</v>
      </c>
      <c r="E647" s="32">
        <f t="shared" ref="E647:E710" si="197">(C647*10)</f>
        <v>70</v>
      </c>
      <c r="F647" s="10">
        <f t="shared" ref="F647:F710" si="198">IF(E647&gt;0,IF(E647&lt;=11.25,1,0),0)</f>
        <v>0</v>
      </c>
      <c r="G647" s="10">
        <f t="shared" ref="G647:G710" si="199">IF(E647&gt;11.25,IF(E647&lt;=33.75,1,0),0)</f>
        <v>0</v>
      </c>
      <c r="H647" s="10">
        <f t="shared" si="182"/>
        <v>0</v>
      </c>
      <c r="I647" s="10">
        <f t="shared" si="183"/>
        <v>1</v>
      </c>
      <c r="J647" s="10">
        <f t="shared" si="184"/>
        <v>0</v>
      </c>
      <c r="K647" s="10">
        <f t="shared" si="185"/>
        <v>0</v>
      </c>
      <c r="L647" s="10">
        <f t="shared" si="186"/>
        <v>0</v>
      </c>
      <c r="M647" s="10">
        <f t="shared" si="187"/>
        <v>0</v>
      </c>
      <c r="N647" s="10">
        <f t="shared" si="188"/>
        <v>0</v>
      </c>
      <c r="O647" s="10">
        <f t="shared" si="189"/>
        <v>0</v>
      </c>
      <c r="P647" s="10">
        <f t="shared" si="190"/>
        <v>0</v>
      </c>
      <c r="Q647" s="10">
        <f t="shared" si="191"/>
        <v>0</v>
      </c>
      <c r="R647" s="10">
        <f t="shared" si="192"/>
        <v>0</v>
      </c>
      <c r="S647" s="10">
        <f t="shared" si="193"/>
        <v>0</v>
      </c>
      <c r="T647" s="10">
        <f t="shared" si="194"/>
        <v>0</v>
      </c>
      <c r="U647" s="10">
        <f t="shared" si="195"/>
        <v>0</v>
      </c>
      <c r="V647" s="10">
        <f t="shared" si="196"/>
        <v>0</v>
      </c>
    </row>
    <row r="648" spans="1:22" x14ac:dyDescent="0.2">
      <c r="A648" s="32">
        <v>27</v>
      </c>
      <c r="B648" s="33">
        <v>0.79166666666666696</v>
      </c>
      <c r="C648" s="32">
        <f>'2300z'!E36</f>
        <v>8</v>
      </c>
      <c r="D648" s="32">
        <f>'2300z'!F36</f>
        <v>8</v>
      </c>
      <c r="E648" s="32">
        <f t="shared" si="197"/>
        <v>80</v>
      </c>
      <c r="F648" s="10">
        <f t="shared" si="198"/>
        <v>0</v>
      </c>
      <c r="G648" s="10">
        <f t="shared" si="199"/>
        <v>0</v>
      </c>
      <c r="H648" s="10">
        <f t="shared" si="182"/>
        <v>0</v>
      </c>
      <c r="I648" s="10">
        <f t="shared" si="183"/>
        <v>0</v>
      </c>
      <c r="J648" s="10">
        <f t="shared" si="184"/>
        <v>1</v>
      </c>
      <c r="K648" s="10">
        <f t="shared" si="185"/>
        <v>0</v>
      </c>
      <c r="L648" s="10">
        <f t="shared" si="186"/>
        <v>0</v>
      </c>
      <c r="M648" s="10">
        <f t="shared" si="187"/>
        <v>0</v>
      </c>
      <c r="N648" s="10">
        <f t="shared" si="188"/>
        <v>0</v>
      </c>
      <c r="O648" s="10">
        <f t="shared" si="189"/>
        <v>0</v>
      </c>
      <c r="P648" s="10">
        <f t="shared" si="190"/>
        <v>0</v>
      </c>
      <c r="Q648" s="10">
        <f t="shared" si="191"/>
        <v>0</v>
      </c>
      <c r="R648" s="10">
        <f t="shared" si="192"/>
        <v>0</v>
      </c>
      <c r="S648" s="10">
        <f t="shared" si="193"/>
        <v>0</v>
      </c>
      <c r="T648" s="10">
        <f t="shared" si="194"/>
        <v>0</v>
      </c>
      <c r="U648" s="10">
        <f t="shared" si="195"/>
        <v>0</v>
      </c>
      <c r="V648" s="10">
        <f t="shared" si="196"/>
        <v>0</v>
      </c>
    </row>
    <row r="649" spans="1:22" x14ac:dyDescent="0.2">
      <c r="A649" s="32">
        <v>27</v>
      </c>
      <c r="B649" s="33">
        <v>0.83333333333333304</v>
      </c>
      <c r="C649" s="32">
        <f>'0000z'!E36</f>
        <v>8</v>
      </c>
      <c r="D649" s="32">
        <f>'0000z'!F36</f>
        <v>12</v>
      </c>
      <c r="E649" s="32">
        <f t="shared" si="197"/>
        <v>80</v>
      </c>
      <c r="F649" s="10">
        <f t="shared" si="198"/>
        <v>0</v>
      </c>
      <c r="G649" s="10">
        <f t="shared" si="199"/>
        <v>0</v>
      </c>
      <c r="H649" s="10">
        <f t="shared" si="182"/>
        <v>0</v>
      </c>
      <c r="I649" s="10">
        <f t="shared" si="183"/>
        <v>0</v>
      </c>
      <c r="J649" s="10">
        <f t="shared" si="184"/>
        <v>1</v>
      </c>
      <c r="K649" s="10">
        <f t="shared" si="185"/>
        <v>0</v>
      </c>
      <c r="L649" s="10">
        <f t="shared" si="186"/>
        <v>0</v>
      </c>
      <c r="M649" s="10">
        <f t="shared" si="187"/>
        <v>0</v>
      </c>
      <c r="N649" s="10">
        <f t="shared" si="188"/>
        <v>0</v>
      </c>
      <c r="O649" s="10">
        <f t="shared" si="189"/>
        <v>0</v>
      </c>
      <c r="P649" s="10">
        <f t="shared" si="190"/>
        <v>0</v>
      </c>
      <c r="Q649" s="10">
        <f t="shared" si="191"/>
        <v>0</v>
      </c>
      <c r="R649" s="10">
        <f t="shared" si="192"/>
        <v>0</v>
      </c>
      <c r="S649" s="10">
        <f t="shared" si="193"/>
        <v>0</v>
      </c>
      <c r="T649" s="10">
        <f t="shared" si="194"/>
        <v>0</v>
      </c>
      <c r="U649" s="10">
        <f t="shared" si="195"/>
        <v>0</v>
      </c>
      <c r="V649" s="10">
        <f t="shared" si="196"/>
        <v>0</v>
      </c>
    </row>
    <row r="650" spans="1:22" x14ac:dyDescent="0.2">
      <c r="A650" s="32">
        <v>27</v>
      </c>
      <c r="B650" s="33">
        <v>0.875</v>
      </c>
      <c r="C650" s="32">
        <f>'0100z'!E36</f>
        <v>8</v>
      </c>
      <c r="D650" s="32">
        <f>'0100z'!F36</f>
        <v>12</v>
      </c>
      <c r="E650" s="32">
        <f t="shared" si="197"/>
        <v>80</v>
      </c>
      <c r="F650" s="10">
        <f t="shared" si="198"/>
        <v>0</v>
      </c>
      <c r="G650" s="10">
        <f t="shared" si="199"/>
        <v>0</v>
      </c>
      <c r="H650" s="10">
        <f t="shared" si="182"/>
        <v>0</v>
      </c>
      <c r="I650" s="10">
        <f t="shared" si="183"/>
        <v>0</v>
      </c>
      <c r="J650" s="10">
        <f t="shared" si="184"/>
        <v>1</v>
      </c>
      <c r="K650" s="10">
        <f t="shared" si="185"/>
        <v>0</v>
      </c>
      <c r="L650" s="10">
        <f t="shared" si="186"/>
        <v>0</v>
      </c>
      <c r="M650" s="10">
        <f t="shared" si="187"/>
        <v>0</v>
      </c>
      <c r="N650" s="10">
        <f t="shared" si="188"/>
        <v>0</v>
      </c>
      <c r="O650" s="10">
        <f t="shared" si="189"/>
        <v>0</v>
      </c>
      <c r="P650" s="10">
        <f t="shared" si="190"/>
        <v>0</v>
      </c>
      <c r="Q650" s="10">
        <f t="shared" si="191"/>
        <v>0</v>
      </c>
      <c r="R650" s="10">
        <f t="shared" si="192"/>
        <v>0</v>
      </c>
      <c r="S650" s="10">
        <f t="shared" si="193"/>
        <v>0</v>
      </c>
      <c r="T650" s="10">
        <f t="shared" si="194"/>
        <v>0</v>
      </c>
      <c r="U650" s="10">
        <f t="shared" si="195"/>
        <v>0</v>
      </c>
      <c r="V650" s="10">
        <f t="shared" si="196"/>
        <v>0</v>
      </c>
    </row>
    <row r="651" spans="1:22" x14ac:dyDescent="0.2">
      <c r="A651" s="32">
        <v>27</v>
      </c>
      <c r="B651" s="33">
        <v>0.91666666666666696</v>
      </c>
      <c r="C651" s="32">
        <f>'0200z'!E36</f>
        <v>8</v>
      </c>
      <c r="D651" s="32">
        <f>'0200z'!F36</f>
        <v>14</v>
      </c>
      <c r="E651" s="32">
        <f t="shared" si="197"/>
        <v>80</v>
      </c>
      <c r="F651" s="10">
        <f t="shared" si="198"/>
        <v>0</v>
      </c>
      <c r="G651" s="10">
        <f t="shared" si="199"/>
        <v>0</v>
      </c>
      <c r="H651" s="10">
        <f t="shared" si="182"/>
        <v>0</v>
      </c>
      <c r="I651" s="10">
        <f t="shared" si="183"/>
        <v>0</v>
      </c>
      <c r="J651" s="10">
        <f t="shared" si="184"/>
        <v>1</v>
      </c>
      <c r="K651" s="10">
        <f t="shared" si="185"/>
        <v>0</v>
      </c>
      <c r="L651" s="10">
        <f t="shared" si="186"/>
        <v>0</v>
      </c>
      <c r="M651" s="10">
        <f t="shared" si="187"/>
        <v>0</v>
      </c>
      <c r="N651" s="10">
        <f t="shared" si="188"/>
        <v>0</v>
      </c>
      <c r="O651" s="10">
        <f t="shared" si="189"/>
        <v>0</v>
      </c>
      <c r="P651" s="10">
        <f t="shared" si="190"/>
        <v>0</v>
      </c>
      <c r="Q651" s="10">
        <f t="shared" si="191"/>
        <v>0</v>
      </c>
      <c r="R651" s="10">
        <f t="shared" si="192"/>
        <v>0</v>
      </c>
      <c r="S651" s="10">
        <f t="shared" si="193"/>
        <v>0</v>
      </c>
      <c r="T651" s="10">
        <f t="shared" si="194"/>
        <v>0</v>
      </c>
      <c r="U651" s="10">
        <f t="shared" si="195"/>
        <v>0</v>
      </c>
      <c r="V651" s="10">
        <f t="shared" si="196"/>
        <v>0</v>
      </c>
    </row>
    <row r="652" spans="1:22" x14ac:dyDescent="0.2">
      <c r="A652" s="32">
        <v>27</v>
      </c>
      <c r="B652" s="33">
        <v>0.95833333333333304</v>
      </c>
      <c r="C652" s="32">
        <f>'0300z'!E36</f>
        <v>10</v>
      </c>
      <c r="D652" s="32">
        <f>'0300z'!F36</f>
        <v>14</v>
      </c>
      <c r="E652" s="32">
        <f t="shared" si="197"/>
        <v>100</v>
      </c>
      <c r="F652" s="10">
        <f t="shared" si="198"/>
        <v>0</v>
      </c>
      <c r="G652" s="10">
        <f t="shared" si="199"/>
        <v>0</v>
      </c>
      <c r="H652" s="10">
        <f t="shared" si="182"/>
        <v>0</v>
      </c>
      <c r="I652" s="10">
        <f t="shared" si="183"/>
        <v>0</v>
      </c>
      <c r="J652" s="10">
        <f t="shared" si="184"/>
        <v>1</v>
      </c>
      <c r="K652" s="10">
        <f t="shared" si="185"/>
        <v>0</v>
      </c>
      <c r="L652" s="10">
        <f t="shared" si="186"/>
        <v>0</v>
      </c>
      <c r="M652" s="10">
        <f t="shared" si="187"/>
        <v>0</v>
      </c>
      <c r="N652" s="10">
        <f t="shared" si="188"/>
        <v>0</v>
      </c>
      <c r="O652" s="10">
        <f t="shared" si="189"/>
        <v>0</v>
      </c>
      <c r="P652" s="10">
        <f t="shared" si="190"/>
        <v>0</v>
      </c>
      <c r="Q652" s="10">
        <f t="shared" si="191"/>
        <v>0</v>
      </c>
      <c r="R652" s="10">
        <f t="shared" si="192"/>
        <v>0</v>
      </c>
      <c r="S652" s="10">
        <f t="shared" si="193"/>
        <v>0</v>
      </c>
      <c r="T652" s="10">
        <f t="shared" si="194"/>
        <v>0</v>
      </c>
      <c r="U652" s="10">
        <f t="shared" si="195"/>
        <v>0</v>
      </c>
      <c r="V652" s="10">
        <f t="shared" si="196"/>
        <v>0</v>
      </c>
    </row>
    <row r="653" spans="1:22" x14ac:dyDescent="0.2">
      <c r="A653" s="32">
        <v>28</v>
      </c>
      <c r="B653" s="33">
        <v>0</v>
      </c>
      <c r="C653" s="32">
        <f>'0400z'!E37</f>
        <v>10</v>
      </c>
      <c r="D653" s="32">
        <f>'0400z'!F37</f>
        <v>12</v>
      </c>
      <c r="E653" s="32">
        <f t="shared" si="197"/>
        <v>100</v>
      </c>
      <c r="F653" s="10">
        <f t="shared" si="198"/>
        <v>0</v>
      </c>
      <c r="G653" s="10">
        <f t="shared" si="199"/>
        <v>0</v>
      </c>
      <c r="H653" s="10">
        <f t="shared" si="182"/>
        <v>0</v>
      </c>
      <c r="I653" s="10">
        <f t="shared" si="183"/>
        <v>0</v>
      </c>
      <c r="J653" s="10">
        <f t="shared" si="184"/>
        <v>1</v>
      </c>
      <c r="K653" s="10">
        <f t="shared" si="185"/>
        <v>0</v>
      </c>
      <c r="L653" s="10">
        <f t="shared" si="186"/>
        <v>0</v>
      </c>
      <c r="M653" s="10">
        <f t="shared" si="187"/>
        <v>0</v>
      </c>
      <c r="N653" s="10">
        <f t="shared" si="188"/>
        <v>0</v>
      </c>
      <c r="O653" s="10">
        <f t="shared" si="189"/>
        <v>0</v>
      </c>
      <c r="P653" s="10">
        <f t="shared" si="190"/>
        <v>0</v>
      </c>
      <c r="Q653" s="10">
        <f t="shared" si="191"/>
        <v>0</v>
      </c>
      <c r="R653" s="10">
        <f t="shared" si="192"/>
        <v>0</v>
      </c>
      <c r="S653" s="10">
        <f t="shared" si="193"/>
        <v>0</v>
      </c>
      <c r="T653" s="10">
        <f t="shared" si="194"/>
        <v>0</v>
      </c>
      <c r="U653" s="10">
        <f t="shared" si="195"/>
        <v>0</v>
      </c>
      <c r="V653" s="10">
        <f t="shared" si="196"/>
        <v>0</v>
      </c>
    </row>
    <row r="654" spans="1:22" x14ac:dyDescent="0.2">
      <c r="A654" s="32">
        <v>28</v>
      </c>
      <c r="B654" s="33">
        <v>4.1666666666666664E-2</v>
      </c>
      <c r="C654" s="32">
        <f>'0500z'!E37</f>
        <v>10</v>
      </c>
      <c r="D654" s="32">
        <f>'0500z'!F37</f>
        <v>16</v>
      </c>
      <c r="E654" s="32">
        <f t="shared" si="197"/>
        <v>100</v>
      </c>
      <c r="F654" s="10">
        <f t="shared" si="198"/>
        <v>0</v>
      </c>
      <c r="G654" s="10">
        <f t="shared" si="199"/>
        <v>0</v>
      </c>
      <c r="H654" s="10">
        <f t="shared" si="182"/>
        <v>0</v>
      </c>
      <c r="I654" s="10">
        <f t="shared" si="183"/>
        <v>0</v>
      </c>
      <c r="J654" s="10">
        <f t="shared" si="184"/>
        <v>1</v>
      </c>
      <c r="K654" s="10">
        <f t="shared" si="185"/>
        <v>0</v>
      </c>
      <c r="L654" s="10">
        <f t="shared" si="186"/>
        <v>0</v>
      </c>
      <c r="M654" s="10">
        <f t="shared" si="187"/>
        <v>0</v>
      </c>
      <c r="N654" s="10">
        <f t="shared" si="188"/>
        <v>0</v>
      </c>
      <c r="O654" s="10">
        <f t="shared" si="189"/>
        <v>0</v>
      </c>
      <c r="P654" s="10">
        <f t="shared" si="190"/>
        <v>0</v>
      </c>
      <c r="Q654" s="10">
        <f t="shared" si="191"/>
        <v>0</v>
      </c>
      <c r="R654" s="10">
        <f t="shared" si="192"/>
        <v>0</v>
      </c>
      <c r="S654" s="10">
        <f t="shared" si="193"/>
        <v>0</v>
      </c>
      <c r="T654" s="10">
        <f t="shared" si="194"/>
        <v>0</v>
      </c>
      <c r="U654" s="10">
        <f t="shared" si="195"/>
        <v>0</v>
      </c>
      <c r="V654" s="10">
        <f t="shared" si="196"/>
        <v>0</v>
      </c>
    </row>
    <row r="655" spans="1:22" x14ac:dyDescent="0.2">
      <c r="A655" s="32">
        <v>28</v>
      </c>
      <c r="B655" s="33">
        <v>8.3333333333333329E-2</v>
      </c>
      <c r="C655" s="32">
        <f>'0600z'!E37</f>
        <v>10</v>
      </c>
      <c r="D655" s="32">
        <f>'0600z'!F37</f>
        <v>16</v>
      </c>
      <c r="E655" s="32">
        <f t="shared" si="197"/>
        <v>100</v>
      </c>
      <c r="F655" s="10">
        <f t="shared" si="198"/>
        <v>0</v>
      </c>
      <c r="G655" s="10">
        <f t="shared" si="199"/>
        <v>0</v>
      </c>
      <c r="H655" s="10">
        <f t="shared" si="182"/>
        <v>0</v>
      </c>
      <c r="I655" s="10">
        <f t="shared" si="183"/>
        <v>0</v>
      </c>
      <c r="J655" s="10">
        <f t="shared" si="184"/>
        <v>1</v>
      </c>
      <c r="K655" s="10">
        <f t="shared" si="185"/>
        <v>0</v>
      </c>
      <c r="L655" s="10">
        <f t="shared" si="186"/>
        <v>0</v>
      </c>
      <c r="M655" s="10">
        <f t="shared" si="187"/>
        <v>0</v>
      </c>
      <c r="N655" s="10">
        <f t="shared" si="188"/>
        <v>0</v>
      </c>
      <c r="O655" s="10">
        <f t="shared" si="189"/>
        <v>0</v>
      </c>
      <c r="P655" s="10">
        <f t="shared" si="190"/>
        <v>0</v>
      </c>
      <c r="Q655" s="10">
        <f t="shared" si="191"/>
        <v>0</v>
      </c>
      <c r="R655" s="10">
        <f t="shared" si="192"/>
        <v>0</v>
      </c>
      <c r="S655" s="10">
        <f t="shared" si="193"/>
        <v>0</v>
      </c>
      <c r="T655" s="10">
        <f t="shared" si="194"/>
        <v>0</v>
      </c>
      <c r="U655" s="10">
        <f t="shared" si="195"/>
        <v>0</v>
      </c>
      <c r="V655" s="10">
        <f t="shared" si="196"/>
        <v>0</v>
      </c>
    </row>
    <row r="656" spans="1:22" x14ac:dyDescent="0.2">
      <c r="A656" s="32">
        <v>28</v>
      </c>
      <c r="B656" s="33">
        <v>0.125</v>
      </c>
      <c r="C656" s="32">
        <f>'0700z'!E37</f>
        <v>9</v>
      </c>
      <c r="D656" s="32">
        <f>'0700z'!F37</f>
        <v>15</v>
      </c>
      <c r="E656" s="32">
        <f t="shared" si="197"/>
        <v>90</v>
      </c>
      <c r="F656" s="10">
        <f t="shared" si="198"/>
        <v>0</v>
      </c>
      <c r="G656" s="10">
        <f t="shared" si="199"/>
        <v>0</v>
      </c>
      <c r="H656" s="10">
        <f t="shared" si="182"/>
        <v>0</v>
      </c>
      <c r="I656" s="10">
        <f t="shared" si="183"/>
        <v>0</v>
      </c>
      <c r="J656" s="10">
        <f t="shared" si="184"/>
        <v>1</v>
      </c>
      <c r="K656" s="10">
        <f t="shared" si="185"/>
        <v>0</v>
      </c>
      <c r="L656" s="10">
        <f t="shared" si="186"/>
        <v>0</v>
      </c>
      <c r="M656" s="10">
        <f t="shared" si="187"/>
        <v>0</v>
      </c>
      <c r="N656" s="10">
        <f t="shared" si="188"/>
        <v>0</v>
      </c>
      <c r="O656" s="10">
        <f t="shared" si="189"/>
        <v>0</v>
      </c>
      <c r="P656" s="10">
        <f t="shared" si="190"/>
        <v>0</v>
      </c>
      <c r="Q656" s="10">
        <f t="shared" si="191"/>
        <v>0</v>
      </c>
      <c r="R656" s="10">
        <f t="shared" si="192"/>
        <v>0</v>
      </c>
      <c r="S656" s="10">
        <f t="shared" si="193"/>
        <v>0</v>
      </c>
      <c r="T656" s="10">
        <f t="shared" si="194"/>
        <v>0</v>
      </c>
      <c r="U656" s="10">
        <f t="shared" si="195"/>
        <v>0</v>
      </c>
      <c r="V656" s="10">
        <f t="shared" si="196"/>
        <v>0</v>
      </c>
    </row>
    <row r="657" spans="1:22" x14ac:dyDescent="0.2">
      <c r="A657" s="32">
        <v>28</v>
      </c>
      <c r="B657" s="33">
        <v>0.16666666666666699</v>
      </c>
      <c r="C657" s="32">
        <f>'0800z'!E37</f>
        <v>9</v>
      </c>
      <c r="D657" s="32">
        <f>'0800z'!F37</f>
        <v>12</v>
      </c>
      <c r="E657" s="32">
        <f t="shared" si="197"/>
        <v>90</v>
      </c>
      <c r="F657" s="10">
        <f t="shared" si="198"/>
        <v>0</v>
      </c>
      <c r="G657" s="10">
        <f t="shared" si="199"/>
        <v>0</v>
      </c>
      <c r="H657" s="10">
        <f t="shared" si="182"/>
        <v>0</v>
      </c>
      <c r="I657" s="10">
        <f t="shared" si="183"/>
        <v>0</v>
      </c>
      <c r="J657" s="10">
        <f t="shared" si="184"/>
        <v>1</v>
      </c>
      <c r="K657" s="10">
        <f t="shared" si="185"/>
        <v>0</v>
      </c>
      <c r="L657" s="10">
        <f t="shared" si="186"/>
        <v>0</v>
      </c>
      <c r="M657" s="10">
        <f t="shared" si="187"/>
        <v>0</v>
      </c>
      <c r="N657" s="10">
        <f t="shared" si="188"/>
        <v>0</v>
      </c>
      <c r="O657" s="10">
        <f t="shared" si="189"/>
        <v>0</v>
      </c>
      <c r="P657" s="10">
        <f t="shared" si="190"/>
        <v>0</v>
      </c>
      <c r="Q657" s="10">
        <f t="shared" si="191"/>
        <v>0</v>
      </c>
      <c r="R657" s="10">
        <f t="shared" si="192"/>
        <v>0</v>
      </c>
      <c r="S657" s="10">
        <f t="shared" si="193"/>
        <v>0</v>
      </c>
      <c r="T657" s="10">
        <f t="shared" si="194"/>
        <v>0</v>
      </c>
      <c r="U657" s="10">
        <f t="shared" si="195"/>
        <v>0</v>
      </c>
      <c r="V657" s="10">
        <f t="shared" si="196"/>
        <v>0</v>
      </c>
    </row>
    <row r="658" spans="1:22" x14ac:dyDescent="0.2">
      <c r="A658" s="32">
        <v>28</v>
      </c>
      <c r="B658" s="33">
        <v>0.20833333333333301</v>
      </c>
      <c r="C658" s="32">
        <f>'0900z'!E37</f>
        <v>8</v>
      </c>
      <c r="D658" s="32">
        <f>'0900z'!F37</f>
        <v>12</v>
      </c>
      <c r="E658" s="32">
        <f t="shared" si="197"/>
        <v>80</v>
      </c>
      <c r="F658" s="10">
        <f t="shared" si="198"/>
        <v>0</v>
      </c>
      <c r="G658" s="10">
        <f t="shared" si="199"/>
        <v>0</v>
      </c>
      <c r="H658" s="10">
        <f t="shared" si="182"/>
        <v>0</v>
      </c>
      <c r="I658" s="10">
        <f t="shared" si="183"/>
        <v>0</v>
      </c>
      <c r="J658" s="10">
        <f t="shared" si="184"/>
        <v>1</v>
      </c>
      <c r="K658" s="10">
        <f t="shared" si="185"/>
        <v>0</v>
      </c>
      <c r="L658" s="10">
        <f t="shared" si="186"/>
        <v>0</v>
      </c>
      <c r="M658" s="10">
        <f t="shared" si="187"/>
        <v>0</v>
      </c>
      <c r="N658" s="10">
        <f t="shared" si="188"/>
        <v>0</v>
      </c>
      <c r="O658" s="10">
        <f t="shared" si="189"/>
        <v>0</v>
      </c>
      <c r="P658" s="10">
        <f t="shared" si="190"/>
        <v>0</v>
      </c>
      <c r="Q658" s="10">
        <f t="shared" si="191"/>
        <v>0</v>
      </c>
      <c r="R658" s="10">
        <f t="shared" si="192"/>
        <v>0</v>
      </c>
      <c r="S658" s="10">
        <f t="shared" si="193"/>
        <v>0</v>
      </c>
      <c r="T658" s="10">
        <f t="shared" si="194"/>
        <v>0</v>
      </c>
      <c r="U658" s="10">
        <f t="shared" si="195"/>
        <v>0</v>
      </c>
      <c r="V658" s="10">
        <f t="shared" si="196"/>
        <v>0</v>
      </c>
    </row>
    <row r="659" spans="1:22" x14ac:dyDescent="0.2">
      <c r="A659" s="32">
        <v>28</v>
      </c>
      <c r="B659" s="33">
        <v>0.25</v>
      </c>
      <c r="C659" s="32">
        <f>'1000z'!E37</f>
        <v>12</v>
      </c>
      <c r="D659" s="32">
        <f>'1000z'!F37</f>
        <v>12</v>
      </c>
      <c r="E659" s="32">
        <f t="shared" si="197"/>
        <v>120</v>
      </c>
      <c r="F659" s="10">
        <f t="shared" si="198"/>
        <v>0</v>
      </c>
      <c r="G659" s="10">
        <f t="shared" si="199"/>
        <v>0</v>
      </c>
      <c r="H659" s="10">
        <f t="shared" si="182"/>
        <v>0</v>
      </c>
      <c r="I659" s="10">
        <f t="shared" si="183"/>
        <v>0</v>
      </c>
      <c r="J659" s="10">
        <f t="shared" si="184"/>
        <v>0</v>
      </c>
      <c r="K659" s="10">
        <f t="shared" si="185"/>
        <v>1</v>
      </c>
      <c r="L659" s="10">
        <f t="shared" si="186"/>
        <v>0</v>
      </c>
      <c r="M659" s="10">
        <f t="shared" si="187"/>
        <v>0</v>
      </c>
      <c r="N659" s="10">
        <f t="shared" si="188"/>
        <v>0</v>
      </c>
      <c r="O659" s="10">
        <f t="shared" si="189"/>
        <v>0</v>
      </c>
      <c r="P659" s="10">
        <f t="shared" si="190"/>
        <v>0</v>
      </c>
      <c r="Q659" s="10">
        <f t="shared" si="191"/>
        <v>0</v>
      </c>
      <c r="R659" s="10">
        <f t="shared" si="192"/>
        <v>0</v>
      </c>
      <c r="S659" s="10">
        <f t="shared" si="193"/>
        <v>0</v>
      </c>
      <c r="T659" s="10">
        <f t="shared" si="194"/>
        <v>0</v>
      </c>
      <c r="U659" s="10">
        <f t="shared" si="195"/>
        <v>0</v>
      </c>
      <c r="V659" s="10">
        <f t="shared" si="196"/>
        <v>0</v>
      </c>
    </row>
    <row r="660" spans="1:22" x14ac:dyDescent="0.2">
      <c r="A660" s="32">
        <v>28</v>
      </c>
      <c r="B660" s="33">
        <v>0.29166666666666702</v>
      </c>
      <c r="C660" s="32">
        <f>'1100z'!E37</f>
        <v>8</v>
      </c>
      <c r="D660" s="32">
        <f>'1100z'!F37</f>
        <v>18</v>
      </c>
      <c r="E660" s="32">
        <f t="shared" si="197"/>
        <v>80</v>
      </c>
      <c r="F660" s="10">
        <f t="shared" si="198"/>
        <v>0</v>
      </c>
      <c r="G660" s="10">
        <f t="shared" si="199"/>
        <v>0</v>
      </c>
      <c r="H660" s="10">
        <f t="shared" si="182"/>
        <v>0</v>
      </c>
      <c r="I660" s="10">
        <f t="shared" si="183"/>
        <v>0</v>
      </c>
      <c r="J660" s="10">
        <f t="shared" si="184"/>
        <v>1</v>
      </c>
      <c r="K660" s="10">
        <f t="shared" si="185"/>
        <v>0</v>
      </c>
      <c r="L660" s="10">
        <f t="shared" si="186"/>
        <v>0</v>
      </c>
      <c r="M660" s="10">
        <f t="shared" si="187"/>
        <v>0</v>
      </c>
      <c r="N660" s="10">
        <f t="shared" si="188"/>
        <v>0</v>
      </c>
      <c r="O660" s="10">
        <f t="shared" si="189"/>
        <v>0</v>
      </c>
      <c r="P660" s="10">
        <f t="shared" si="190"/>
        <v>0</v>
      </c>
      <c r="Q660" s="10">
        <f t="shared" si="191"/>
        <v>0</v>
      </c>
      <c r="R660" s="10">
        <f t="shared" si="192"/>
        <v>0</v>
      </c>
      <c r="S660" s="10">
        <f t="shared" si="193"/>
        <v>0</v>
      </c>
      <c r="T660" s="10">
        <f t="shared" si="194"/>
        <v>0</v>
      </c>
      <c r="U660" s="10">
        <f t="shared" si="195"/>
        <v>0</v>
      </c>
      <c r="V660" s="10">
        <f t="shared" si="196"/>
        <v>0</v>
      </c>
    </row>
    <row r="661" spans="1:22" x14ac:dyDescent="0.2">
      <c r="A661" s="32">
        <v>28</v>
      </c>
      <c r="B661" s="33">
        <v>0.33333333333333298</v>
      </c>
      <c r="C661" s="32">
        <f>'1200z'!E37</f>
        <v>8</v>
      </c>
      <c r="D661" s="32">
        <f>'1200z'!F37</f>
        <v>10</v>
      </c>
      <c r="E661" s="32">
        <f t="shared" si="197"/>
        <v>80</v>
      </c>
      <c r="F661" s="10">
        <f t="shared" si="198"/>
        <v>0</v>
      </c>
      <c r="G661" s="10">
        <f t="shared" si="199"/>
        <v>0</v>
      </c>
      <c r="H661" s="10">
        <f t="shared" si="182"/>
        <v>0</v>
      </c>
      <c r="I661" s="10">
        <f t="shared" si="183"/>
        <v>0</v>
      </c>
      <c r="J661" s="10">
        <f t="shared" si="184"/>
        <v>1</v>
      </c>
      <c r="K661" s="10">
        <f t="shared" si="185"/>
        <v>0</v>
      </c>
      <c r="L661" s="10">
        <f t="shared" si="186"/>
        <v>0</v>
      </c>
      <c r="M661" s="10">
        <f t="shared" si="187"/>
        <v>0</v>
      </c>
      <c r="N661" s="10">
        <f t="shared" si="188"/>
        <v>0</v>
      </c>
      <c r="O661" s="10">
        <f t="shared" si="189"/>
        <v>0</v>
      </c>
      <c r="P661" s="10">
        <f t="shared" si="190"/>
        <v>0</v>
      </c>
      <c r="Q661" s="10">
        <f t="shared" si="191"/>
        <v>0</v>
      </c>
      <c r="R661" s="10">
        <f t="shared" si="192"/>
        <v>0</v>
      </c>
      <c r="S661" s="10">
        <f t="shared" si="193"/>
        <v>0</v>
      </c>
      <c r="T661" s="10">
        <f t="shared" si="194"/>
        <v>0</v>
      </c>
      <c r="U661" s="10">
        <f t="shared" si="195"/>
        <v>0</v>
      </c>
      <c r="V661" s="10">
        <f t="shared" si="196"/>
        <v>0</v>
      </c>
    </row>
    <row r="662" spans="1:22" x14ac:dyDescent="0.2">
      <c r="A662" s="32">
        <v>28</v>
      </c>
      <c r="B662" s="33">
        <v>0.375</v>
      </c>
      <c r="C662" s="32">
        <f>'1300z'!E37</f>
        <v>6</v>
      </c>
      <c r="D662" s="32">
        <f>'1300z'!F37</f>
        <v>5</v>
      </c>
      <c r="E662" s="32">
        <f t="shared" si="197"/>
        <v>60</v>
      </c>
      <c r="F662" s="10">
        <f t="shared" si="198"/>
        <v>0</v>
      </c>
      <c r="G662" s="10">
        <f t="shared" si="199"/>
        <v>0</v>
      </c>
      <c r="H662" s="10">
        <f t="shared" si="182"/>
        <v>0</v>
      </c>
      <c r="I662" s="10">
        <f t="shared" si="183"/>
        <v>1</v>
      </c>
      <c r="J662" s="10">
        <f t="shared" si="184"/>
        <v>0</v>
      </c>
      <c r="K662" s="10">
        <f t="shared" si="185"/>
        <v>0</v>
      </c>
      <c r="L662" s="10">
        <f t="shared" si="186"/>
        <v>0</v>
      </c>
      <c r="M662" s="10">
        <f t="shared" si="187"/>
        <v>0</v>
      </c>
      <c r="N662" s="10">
        <f t="shared" si="188"/>
        <v>0</v>
      </c>
      <c r="O662" s="10">
        <f t="shared" si="189"/>
        <v>0</v>
      </c>
      <c r="P662" s="10">
        <f t="shared" si="190"/>
        <v>0</v>
      </c>
      <c r="Q662" s="10">
        <f t="shared" si="191"/>
        <v>0</v>
      </c>
      <c r="R662" s="10">
        <f t="shared" si="192"/>
        <v>0</v>
      </c>
      <c r="S662" s="10">
        <f t="shared" si="193"/>
        <v>0</v>
      </c>
      <c r="T662" s="10">
        <f t="shared" si="194"/>
        <v>0</v>
      </c>
      <c r="U662" s="10">
        <f t="shared" si="195"/>
        <v>0</v>
      </c>
      <c r="V662" s="10">
        <f t="shared" si="196"/>
        <v>0</v>
      </c>
    </row>
    <row r="663" spans="1:22" x14ac:dyDescent="0.2">
      <c r="A663" s="32">
        <v>28</v>
      </c>
      <c r="B663" s="33">
        <v>0.41666666666666702</v>
      </c>
      <c r="C663" s="32">
        <f>'1400z'!E37</f>
        <v>5</v>
      </c>
      <c r="D663" s="32">
        <f>'1400z'!F37</f>
        <v>3</v>
      </c>
      <c r="E663" s="32">
        <f t="shared" si="197"/>
        <v>50</v>
      </c>
      <c r="F663" s="10">
        <f t="shared" si="198"/>
        <v>0</v>
      </c>
      <c r="G663" s="10">
        <f t="shared" si="199"/>
        <v>0</v>
      </c>
      <c r="H663" s="10">
        <f t="shared" si="182"/>
        <v>1</v>
      </c>
      <c r="I663" s="10">
        <f t="shared" si="183"/>
        <v>0</v>
      </c>
      <c r="J663" s="10">
        <f t="shared" si="184"/>
        <v>0</v>
      </c>
      <c r="K663" s="10">
        <f t="shared" si="185"/>
        <v>0</v>
      </c>
      <c r="L663" s="10">
        <f t="shared" si="186"/>
        <v>0</v>
      </c>
      <c r="M663" s="10">
        <f t="shared" si="187"/>
        <v>0</v>
      </c>
      <c r="N663" s="10">
        <f t="shared" si="188"/>
        <v>0</v>
      </c>
      <c r="O663" s="10">
        <f t="shared" si="189"/>
        <v>0</v>
      </c>
      <c r="P663" s="10">
        <f t="shared" si="190"/>
        <v>0</v>
      </c>
      <c r="Q663" s="10">
        <f t="shared" si="191"/>
        <v>0</v>
      </c>
      <c r="R663" s="10">
        <f t="shared" si="192"/>
        <v>0</v>
      </c>
      <c r="S663" s="10">
        <f t="shared" si="193"/>
        <v>0</v>
      </c>
      <c r="T663" s="10">
        <f t="shared" si="194"/>
        <v>0</v>
      </c>
      <c r="U663" s="10">
        <f t="shared" si="195"/>
        <v>0</v>
      </c>
      <c r="V663" s="10">
        <f t="shared" si="196"/>
        <v>0</v>
      </c>
    </row>
    <row r="664" spans="1:22" x14ac:dyDescent="0.2">
      <c r="A664" s="32">
        <v>28</v>
      </c>
      <c r="B664" s="33">
        <v>0.45833333333333298</v>
      </c>
      <c r="C664" s="32">
        <f>'1500z'!E37</f>
        <v>5</v>
      </c>
      <c r="D664" s="32">
        <f>'1500z'!F37</f>
        <v>5</v>
      </c>
      <c r="E664" s="32">
        <f t="shared" si="197"/>
        <v>50</v>
      </c>
      <c r="F664" s="10">
        <f t="shared" si="198"/>
        <v>0</v>
      </c>
      <c r="G664" s="10">
        <f t="shared" si="199"/>
        <v>0</v>
      </c>
      <c r="H664" s="10">
        <f t="shared" si="182"/>
        <v>1</v>
      </c>
      <c r="I664" s="10">
        <f t="shared" si="183"/>
        <v>0</v>
      </c>
      <c r="J664" s="10">
        <f t="shared" si="184"/>
        <v>0</v>
      </c>
      <c r="K664" s="10">
        <f t="shared" si="185"/>
        <v>0</v>
      </c>
      <c r="L664" s="10">
        <f t="shared" si="186"/>
        <v>0</v>
      </c>
      <c r="M664" s="10">
        <f t="shared" si="187"/>
        <v>0</v>
      </c>
      <c r="N664" s="10">
        <f t="shared" si="188"/>
        <v>0</v>
      </c>
      <c r="O664" s="10">
        <f t="shared" si="189"/>
        <v>0</v>
      </c>
      <c r="P664" s="10">
        <f t="shared" si="190"/>
        <v>0</v>
      </c>
      <c r="Q664" s="10">
        <f t="shared" si="191"/>
        <v>0</v>
      </c>
      <c r="R664" s="10">
        <f t="shared" si="192"/>
        <v>0</v>
      </c>
      <c r="S664" s="10">
        <f t="shared" si="193"/>
        <v>0</v>
      </c>
      <c r="T664" s="10">
        <f t="shared" si="194"/>
        <v>0</v>
      </c>
      <c r="U664" s="10">
        <f t="shared" si="195"/>
        <v>0</v>
      </c>
      <c r="V664" s="10">
        <f t="shared" si="196"/>
        <v>0</v>
      </c>
    </row>
    <row r="665" spans="1:22" x14ac:dyDescent="0.2">
      <c r="A665" s="32">
        <v>28</v>
      </c>
      <c r="B665" s="33">
        <v>0.5</v>
      </c>
      <c r="C665" s="32">
        <f>'1600z'!E37</f>
        <v>8</v>
      </c>
      <c r="D665" s="32">
        <f>'1600z'!F37</f>
        <v>10</v>
      </c>
      <c r="E665" s="32">
        <f t="shared" si="197"/>
        <v>80</v>
      </c>
      <c r="F665" s="10">
        <f t="shared" si="198"/>
        <v>0</v>
      </c>
      <c r="G665" s="10">
        <f t="shared" si="199"/>
        <v>0</v>
      </c>
      <c r="H665" s="10">
        <f t="shared" si="182"/>
        <v>0</v>
      </c>
      <c r="I665" s="10">
        <f t="shared" si="183"/>
        <v>0</v>
      </c>
      <c r="J665" s="10">
        <f t="shared" si="184"/>
        <v>1</v>
      </c>
      <c r="K665" s="10">
        <f t="shared" si="185"/>
        <v>0</v>
      </c>
      <c r="L665" s="10">
        <f t="shared" si="186"/>
        <v>0</v>
      </c>
      <c r="M665" s="10">
        <f t="shared" si="187"/>
        <v>0</v>
      </c>
      <c r="N665" s="10">
        <f t="shared" si="188"/>
        <v>0</v>
      </c>
      <c r="O665" s="10">
        <f t="shared" si="189"/>
        <v>0</v>
      </c>
      <c r="P665" s="10">
        <f t="shared" si="190"/>
        <v>0</v>
      </c>
      <c r="Q665" s="10">
        <f t="shared" si="191"/>
        <v>0</v>
      </c>
      <c r="R665" s="10">
        <f t="shared" si="192"/>
        <v>0</v>
      </c>
      <c r="S665" s="10">
        <f t="shared" si="193"/>
        <v>0</v>
      </c>
      <c r="T665" s="10">
        <f t="shared" si="194"/>
        <v>0</v>
      </c>
      <c r="U665" s="10">
        <f t="shared" si="195"/>
        <v>0</v>
      </c>
      <c r="V665" s="10">
        <f t="shared" si="196"/>
        <v>0</v>
      </c>
    </row>
    <row r="666" spans="1:22" x14ac:dyDescent="0.2">
      <c r="A666" s="32">
        <v>28</v>
      </c>
      <c r="B666" s="33">
        <v>0.54166666666666696</v>
      </c>
      <c r="C666" s="32">
        <f>'1700z'!E37</f>
        <v>5</v>
      </c>
      <c r="D666" s="32">
        <f>'1700z'!F37</f>
        <v>5</v>
      </c>
      <c r="E666" s="32">
        <f t="shared" si="197"/>
        <v>50</v>
      </c>
      <c r="F666" s="10">
        <f t="shared" si="198"/>
        <v>0</v>
      </c>
      <c r="G666" s="10">
        <f t="shared" si="199"/>
        <v>0</v>
      </c>
      <c r="H666" s="10">
        <f t="shared" si="182"/>
        <v>1</v>
      </c>
      <c r="I666" s="10">
        <f t="shared" si="183"/>
        <v>0</v>
      </c>
      <c r="J666" s="10">
        <f t="shared" si="184"/>
        <v>0</v>
      </c>
      <c r="K666" s="10">
        <f t="shared" si="185"/>
        <v>0</v>
      </c>
      <c r="L666" s="10">
        <f t="shared" si="186"/>
        <v>0</v>
      </c>
      <c r="M666" s="10">
        <f t="shared" si="187"/>
        <v>0</v>
      </c>
      <c r="N666" s="10">
        <f t="shared" si="188"/>
        <v>0</v>
      </c>
      <c r="O666" s="10">
        <f t="shared" si="189"/>
        <v>0</v>
      </c>
      <c r="P666" s="10">
        <f t="shared" si="190"/>
        <v>0</v>
      </c>
      <c r="Q666" s="10">
        <f t="shared" si="191"/>
        <v>0</v>
      </c>
      <c r="R666" s="10">
        <f t="shared" si="192"/>
        <v>0</v>
      </c>
      <c r="S666" s="10">
        <f t="shared" si="193"/>
        <v>0</v>
      </c>
      <c r="T666" s="10">
        <f t="shared" si="194"/>
        <v>0</v>
      </c>
      <c r="U666" s="10">
        <f t="shared" si="195"/>
        <v>0</v>
      </c>
      <c r="V666" s="10">
        <f t="shared" si="196"/>
        <v>0</v>
      </c>
    </row>
    <row r="667" spans="1:22" x14ac:dyDescent="0.2">
      <c r="A667" s="32">
        <v>28</v>
      </c>
      <c r="B667" s="33">
        <v>0.58333333333333304</v>
      </c>
      <c r="C667" s="32">
        <f>'1800z'!E37</f>
        <v>8</v>
      </c>
      <c r="D667" s="32">
        <f>'1800z'!F37</f>
        <v>5</v>
      </c>
      <c r="E667" s="32">
        <f t="shared" si="197"/>
        <v>80</v>
      </c>
      <c r="F667" s="10">
        <f t="shared" si="198"/>
        <v>0</v>
      </c>
      <c r="G667" s="10">
        <f t="shared" si="199"/>
        <v>0</v>
      </c>
      <c r="H667" s="10">
        <f t="shared" si="182"/>
        <v>0</v>
      </c>
      <c r="I667" s="10">
        <f t="shared" si="183"/>
        <v>0</v>
      </c>
      <c r="J667" s="10">
        <f t="shared" si="184"/>
        <v>1</v>
      </c>
      <c r="K667" s="10">
        <f t="shared" si="185"/>
        <v>0</v>
      </c>
      <c r="L667" s="10">
        <f t="shared" si="186"/>
        <v>0</v>
      </c>
      <c r="M667" s="10">
        <f t="shared" si="187"/>
        <v>0</v>
      </c>
      <c r="N667" s="10">
        <f t="shared" si="188"/>
        <v>0</v>
      </c>
      <c r="O667" s="10">
        <f t="shared" si="189"/>
        <v>0</v>
      </c>
      <c r="P667" s="10">
        <f t="shared" si="190"/>
        <v>0</v>
      </c>
      <c r="Q667" s="10">
        <f t="shared" si="191"/>
        <v>0</v>
      </c>
      <c r="R667" s="10">
        <f t="shared" si="192"/>
        <v>0</v>
      </c>
      <c r="S667" s="10">
        <f t="shared" si="193"/>
        <v>0</v>
      </c>
      <c r="T667" s="10">
        <f t="shared" si="194"/>
        <v>0</v>
      </c>
      <c r="U667" s="10">
        <f t="shared" si="195"/>
        <v>0</v>
      </c>
      <c r="V667" s="10">
        <f t="shared" si="196"/>
        <v>0</v>
      </c>
    </row>
    <row r="668" spans="1:22" x14ac:dyDescent="0.2">
      <c r="A668" s="32">
        <v>28</v>
      </c>
      <c r="B668" s="33">
        <v>0.625</v>
      </c>
      <c r="C668" s="32">
        <f>'1900z'!E37</f>
        <v>8</v>
      </c>
      <c r="D668" s="32">
        <f>'1900z'!F37</f>
        <v>13</v>
      </c>
      <c r="E668" s="32">
        <f t="shared" si="197"/>
        <v>80</v>
      </c>
      <c r="F668" s="10">
        <f t="shared" si="198"/>
        <v>0</v>
      </c>
      <c r="G668" s="10">
        <f t="shared" si="199"/>
        <v>0</v>
      </c>
      <c r="H668" s="10">
        <f t="shared" si="182"/>
        <v>0</v>
      </c>
      <c r="I668" s="10">
        <f t="shared" si="183"/>
        <v>0</v>
      </c>
      <c r="J668" s="10">
        <f t="shared" si="184"/>
        <v>1</v>
      </c>
      <c r="K668" s="10">
        <f t="shared" si="185"/>
        <v>0</v>
      </c>
      <c r="L668" s="10">
        <f t="shared" si="186"/>
        <v>0</v>
      </c>
      <c r="M668" s="10">
        <f t="shared" si="187"/>
        <v>0</v>
      </c>
      <c r="N668" s="10">
        <f t="shared" si="188"/>
        <v>0</v>
      </c>
      <c r="O668" s="10">
        <f t="shared" si="189"/>
        <v>0</v>
      </c>
      <c r="P668" s="10">
        <f t="shared" si="190"/>
        <v>0</v>
      </c>
      <c r="Q668" s="10">
        <f t="shared" si="191"/>
        <v>0</v>
      </c>
      <c r="R668" s="10">
        <f t="shared" si="192"/>
        <v>0</v>
      </c>
      <c r="S668" s="10">
        <f t="shared" si="193"/>
        <v>0</v>
      </c>
      <c r="T668" s="10">
        <f t="shared" si="194"/>
        <v>0</v>
      </c>
      <c r="U668" s="10">
        <f t="shared" si="195"/>
        <v>0</v>
      </c>
      <c r="V668" s="10">
        <f t="shared" si="196"/>
        <v>0</v>
      </c>
    </row>
    <row r="669" spans="1:22" x14ac:dyDescent="0.2">
      <c r="A669" s="32">
        <v>28</v>
      </c>
      <c r="B669" s="33">
        <v>0.66666666666666696</v>
      </c>
      <c r="C669" s="32">
        <f>'2000z'!E37</f>
        <v>8</v>
      </c>
      <c r="D669" s="32">
        <f>'2000z'!F37</f>
        <v>15</v>
      </c>
      <c r="E669" s="32">
        <f t="shared" si="197"/>
        <v>80</v>
      </c>
      <c r="F669" s="10">
        <f t="shared" si="198"/>
        <v>0</v>
      </c>
      <c r="G669" s="10">
        <f t="shared" si="199"/>
        <v>0</v>
      </c>
      <c r="H669" s="10">
        <f t="shared" si="182"/>
        <v>0</v>
      </c>
      <c r="I669" s="10">
        <f t="shared" si="183"/>
        <v>0</v>
      </c>
      <c r="J669" s="10">
        <f t="shared" si="184"/>
        <v>1</v>
      </c>
      <c r="K669" s="10">
        <f t="shared" si="185"/>
        <v>0</v>
      </c>
      <c r="L669" s="10">
        <f t="shared" si="186"/>
        <v>0</v>
      </c>
      <c r="M669" s="10">
        <f t="shared" si="187"/>
        <v>0</v>
      </c>
      <c r="N669" s="10">
        <f t="shared" si="188"/>
        <v>0</v>
      </c>
      <c r="O669" s="10">
        <f t="shared" si="189"/>
        <v>0</v>
      </c>
      <c r="P669" s="10">
        <f t="shared" si="190"/>
        <v>0</v>
      </c>
      <c r="Q669" s="10">
        <f t="shared" si="191"/>
        <v>0</v>
      </c>
      <c r="R669" s="10">
        <f t="shared" si="192"/>
        <v>0</v>
      </c>
      <c r="S669" s="10">
        <f t="shared" si="193"/>
        <v>0</v>
      </c>
      <c r="T669" s="10">
        <f t="shared" si="194"/>
        <v>0</v>
      </c>
      <c r="U669" s="10">
        <f t="shared" si="195"/>
        <v>0</v>
      </c>
      <c r="V669" s="10">
        <f t="shared" si="196"/>
        <v>0</v>
      </c>
    </row>
    <row r="670" spans="1:22" x14ac:dyDescent="0.2">
      <c r="A670" s="32">
        <v>28</v>
      </c>
      <c r="B670" s="33">
        <v>0.70833333333333304</v>
      </c>
      <c r="C670" s="32">
        <f>'2100z'!E37</f>
        <v>8</v>
      </c>
      <c r="D670" s="32">
        <f>'2100z'!F37</f>
        <v>13</v>
      </c>
      <c r="E670" s="32">
        <f t="shared" si="197"/>
        <v>80</v>
      </c>
      <c r="F670" s="10">
        <f t="shared" si="198"/>
        <v>0</v>
      </c>
      <c r="G670" s="10">
        <f t="shared" si="199"/>
        <v>0</v>
      </c>
      <c r="H670" s="10">
        <f t="shared" si="182"/>
        <v>0</v>
      </c>
      <c r="I670" s="10">
        <f t="shared" si="183"/>
        <v>0</v>
      </c>
      <c r="J670" s="10">
        <f t="shared" si="184"/>
        <v>1</v>
      </c>
      <c r="K670" s="10">
        <f t="shared" si="185"/>
        <v>0</v>
      </c>
      <c r="L670" s="10">
        <f t="shared" si="186"/>
        <v>0</v>
      </c>
      <c r="M670" s="10">
        <f t="shared" si="187"/>
        <v>0</v>
      </c>
      <c r="N670" s="10">
        <f t="shared" si="188"/>
        <v>0</v>
      </c>
      <c r="O670" s="10">
        <f t="shared" si="189"/>
        <v>0</v>
      </c>
      <c r="P670" s="10">
        <f t="shared" si="190"/>
        <v>0</v>
      </c>
      <c r="Q670" s="10">
        <f t="shared" si="191"/>
        <v>0</v>
      </c>
      <c r="R670" s="10">
        <f t="shared" si="192"/>
        <v>0</v>
      </c>
      <c r="S670" s="10">
        <f t="shared" si="193"/>
        <v>0</v>
      </c>
      <c r="T670" s="10">
        <f t="shared" si="194"/>
        <v>0</v>
      </c>
      <c r="U670" s="10">
        <f t="shared" si="195"/>
        <v>0</v>
      </c>
      <c r="V670" s="10">
        <f t="shared" si="196"/>
        <v>0</v>
      </c>
    </row>
    <row r="671" spans="1:22" x14ac:dyDescent="0.2">
      <c r="A671" s="32">
        <v>28</v>
      </c>
      <c r="B671" s="33">
        <v>0.75</v>
      </c>
      <c r="C671" s="32">
        <f>'2200z'!E37</f>
        <v>7</v>
      </c>
      <c r="D671" s="32">
        <f>'2200z'!F37</f>
        <v>12</v>
      </c>
      <c r="E671" s="32">
        <f t="shared" si="197"/>
        <v>70</v>
      </c>
      <c r="F671" s="10">
        <f t="shared" si="198"/>
        <v>0</v>
      </c>
      <c r="G671" s="10">
        <f t="shared" si="199"/>
        <v>0</v>
      </c>
      <c r="H671" s="10">
        <f t="shared" si="182"/>
        <v>0</v>
      </c>
      <c r="I671" s="10">
        <f t="shared" si="183"/>
        <v>1</v>
      </c>
      <c r="J671" s="10">
        <f t="shared" si="184"/>
        <v>0</v>
      </c>
      <c r="K671" s="10">
        <f t="shared" si="185"/>
        <v>0</v>
      </c>
      <c r="L671" s="10">
        <f t="shared" si="186"/>
        <v>0</v>
      </c>
      <c r="M671" s="10">
        <f t="shared" si="187"/>
        <v>0</v>
      </c>
      <c r="N671" s="10">
        <f t="shared" si="188"/>
        <v>0</v>
      </c>
      <c r="O671" s="10">
        <f t="shared" si="189"/>
        <v>0</v>
      </c>
      <c r="P671" s="10">
        <f t="shared" si="190"/>
        <v>0</v>
      </c>
      <c r="Q671" s="10">
        <f t="shared" si="191"/>
        <v>0</v>
      </c>
      <c r="R671" s="10">
        <f t="shared" si="192"/>
        <v>0</v>
      </c>
      <c r="S671" s="10">
        <f t="shared" si="193"/>
        <v>0</v>
      </c>
      <c r="T671" s="10">
        <f t="shared" si="194"/>
        <v>0</v>
      </c>
      <c r="U671" s="10">
        <f t="shared" si="195"/>
        <v>0</v>
      </c>
      <c r="V671" s="10">
        <f t="shared" si="196"/>
        <v>0</v>
      </c>
    </row>
    <row r="672" spans="1:22" x14ac:dyDescent="0.2">
      <c r="A672" s="32">
        <v>28</v>
      </c>
      <c r="B672" s="33">
        <v>0.79166666666666696</v>
      </c>
      <c r="C672" s="32">
        <f>'2300z'!E37</f>
        <v>8</v>
      </c>
      <c r="D672" s="32">
        <f>'2300z'!F37</f>
        <v>12</v>
      </c>
      <c r="E672" s="32">
        <f t="shared" si="197"/>
        <v>80</v>
      </c>
      <c r="F672" s="10">
        <f t="shared" si="198"/>
        <v>0</v>
      </c>
      <c r="G672" s="10">
        <f t="shared" si="199"/>
        <v>0</v>
      </c>
      <c r="H672" s="10">
        <f t="shared" si="182"/>
        <v>0</v>
      </c>
      <c r="I672" s="10">
        <f t="shared" si="183"/>
        <v>0</v>
      </c>
      <c r="J672" s="10">
        <f t="shared" si="184"/>
        <v>1</v>
      </c>
      <c r="K672" s="10">
        <f t="shared" si="185"/>
        <v>0</v>
      </c>
      <c r="L672" s="10">
        <f t="shared" si="186"/>
        <v>0</v>
      </c>
      <c r="M672" s="10">
        <f t="shared" si="187"/>
        <v>0</v>
      </c>
      <c r="N672" s="10">
        <f t="shared" si="188"/>
        <v>0</v>
      </c>
      <c r="O672" s="10">
        <f t="shared" si="189"/>
        <v>0</v>
      </c>
      <c r="P672" s="10">
        <f t="shared" si="190"/>
        <v>0</v>
      </c>
      <c r="Q672" s="10">
        <f t="shared" si="191"/>
        <v>0</v>
      </c>
      <c r="R672" s="10">
        <f t="shared" si="192"/>
        <v>0</v>
      </c>
      <c r="S672" s="10">
        <f t="shared" si="193"/>
        <v>0</v>
      </c>
      <c r="T672" s="10">
        <f t="shared" si="194"/>
        <v>0</v>
      </c>
      <c r="U672" s="10">
        <f t="shared" si="195"/>
        <v>0</v>
      </c>
      <c r="V672" s="10">
        <f t="shared" si="196"/>
        <v>0</v>
      </c>
    </row>
    <row r="673" spans="1:22" x14ac:dyDescent="0.2">
      <c r="A673" s="32">
        <v>28</v>
      </c>
      <c r="B673" s="33">
        <v>0.83333333333333304</v>
      </c>
      <c r="C673" s="32">
        <f>'0000z'!E37</f>
        <v>8</v>
      </c>
      <c r="D673" s="32">
        <f>'0000z'!F37</f>
        <v>12</v>
      </c>
      <c r="E673" s="32">
        <f t="shared" si="197"/>
        <v>80</v>
      </c>
      <c r="F673" s="10">
        <f t="shared" si="198"/>
        <v>0</v>
      </c>
      <c r="G673" s="10">
        <f t="shared" si="199"/>
        <v>0</v>
      </c>
      <c r="H673" s="10">
        <f t="shared" si="182"/>
        <v>0</v>
      </c>
      <c r="I673" s="10">
        <f t="shared" si="183"/>
        <v>0</v>
      </c>
      <c r="J673" s="10">
        <f t="shared" si="184"/>
        <v>1</v>
      </c>
      <c r="K673" s="10">
        <f t="shared" si="185"/>
        <v>0</v>
      </c>
      <c r="L673" s="10">
        <f t="shared" si="186"/>
        <v>0</v>
      </c>
      <c r="M673" s="10">
        <f t="shared" si="187"/>
        <v>0</v>
      </c>
      <c r="N673" s="10">
        <f t="shared" si="188"/>
        <v>0</v>
      </c>
      <c r="O673" s="10">
        <f t="shared" si="189"/>
        <v>0</v>
      </c>
      <c r="P673" s="10">
        <f t="shared" si="190"/>
        <v>0</v>
      </c>
      <c r="Q673" s="10">
        <f t="shared" si="191"/>
        <v>0</v>
      </c>
      <c r="R673" s="10">
        <f t="shared" si="192"/>
        <v>0</v>
      </c>
      <c r="S673" s="10">
        <f t="shared" si="193"/>
        <v>0</v>
      </c>
      <c r="T673" s="10">
        <f t="shared" si="194"/>
        <v>0</v>
      </c>
      <c r="U673" s="10">
        <f t="shared" si="195"/>
        <v>0</v>
      </c>
      <c r="V673" s="10">
        <f t="shared" si="196"/>
        <v>0</v>
      </c>
    </row>
    <row r="674" spans="1:22" x14ac:dyDescent="0.2">
      <c r="A674" s="32">
        <v>28</v>
      </c>
      <c r="B674" s="33">
        <v>0.875</v>
      </c>
      <c r="C674" s="32">
        <f>'0100z'!E37</f>
        <v>8</v>
      </c>
      <c r="D674" s="32">
        <f>'0100z'!F37</f>
        <v>12</v>
      </c>
      <c r="E674" s="32">
        <f t="shared" si="197"/>
        <v>80</v>
      </c>
      <c r="F674" s="10">
        <f t="shared" si="198"/>
        <v>0</v>
      </c>
      <c r="G674" s="10">
        <f t="shared" si="199"/>
        <v>0</v>
      </c>
      <c r="H674" s="10">
        <f t="shared" si="182"/>
        <v>0</v>
      </c>
      <c r="I674" s="10">
        <f t="shared" si="183"/>
        <v>0</v>
      </c>
      <c r="J674" s="10">
        <f t="shared" si="184"/>
        <v>1</v>
      </c>
      <c r="K674" s="10">
        <f t="shared" si="185"/>
        <v>0</v>
      </c>
      <c r="L674" s="10">
        <f t="shared" si="186"/>
        <v>0</v>
      </c>
      <c r="M674" s="10">
        <f t="shared" si="187"/>
        <v>0</v>
      </c>
      <c r="N674" s="10">
        <f t="shared" si="188"/>
        <v>0</v>
      </c>
      <c r="O674" s="10">
        <f t="shared" si="189"/>
        <v>0</v>
      </c>
      <c r="P674" s="10">
        <f t="shared" si="190"/>
        <v>0</v>
      </c>
      <c r="Q674" s="10">
        <f t="shared" si="191"/>
        <v>0</v>
      </c>
      <c r="R674" s="10">
        <f t="shared" si="192"/>
        <v>0</v>
      </c>
      <c r="S674" s="10">
        <f t="shared" si="193"/>
        <v>0</v>
      </c>
      <c r="T674" s="10">
        <f t="shared" si="194"/>
        <v>0</v>
      </c>
      <c r="U674" s="10">
        <f t="shared" si="195"/>
        <v>0</v>
      </c>
      <c r="V674" s="10">
        <f t="shared" si="196"/>
        <v>0</v>
      </c>
    </row>
    <row r="675" spans="1:22" x14ac:dyDescent="0.2">
      <c r="A675" s="32">
        <v>28</v>
      </c>
      <c r="B675" s="33">
        <v>0.91666666666666696</v>
      </c>
      <c r="C675" s="32">
        <f>'0200z'!E37</f>
        <v>8</v>
      </c>
      <c r="D675" s="32">
        <f>'0200z'!F37</f>
        <v>7</v>
      </c>
      <c r="E675" s="32">
        <f t="shared" si="197"/>
        <v>80</v>
      </c>
      <c r="F675" s="10">
        <f t="shared" si="198"/>
        <v>0</v>
      </c>
      <c r="G675" s="10">
        <f t="shared" si="199"/>
        <v>0</v>
      </c>
      <c r="H675" s="10">
        <f t="shared" si="182"/>
        <v>0</v>
      </c>
      <c r="I675" s="10">
        <f t="shared" si="183"/>
        <v>0</v>
      </c>
      <c r="J675" s="10">
        <f t="shared" si="184"/>
        <v>1</v>
      </c>
      <c r="K675" s="10">
        <f t="shared" si="185"/>
        <v>0</v>
      </c>
      <c r="L675" s="10">
        <f t="shared" si="186"/>
        <v>0</v>
      </c>
      <c r="M675" s="10">
        <f t="shared" si="187"/>
        <v>0</v>
      </c>
      <c r="N675" s="10">
        <f t="shared" si="188"/>
        <v>0</v>
      </c>
      <c r="O675" s="10">
        <f t="shared" si="189"/>
        <v>0</v>
      </c>
      <c r="P675" s="10">
        <f t="shared" si="190"/>
        <v>0</v>
      </c>
      <c r="Q675" s="10">
        <f t="shared" si="191"/>
        <v>0</v>
      </c>
      <c r="R675" s="10">
        <f t="shared" si="192"/>
        <v>0</v>
      </c>
      <c r="S675" s="10">
        <f t="shared" si="193"/>
        <v>0</v>
      </c>
      <c r="T675" s="10">
        <f t="shared" si="194"/>
        <v>0</v>
      </c>
      <c r="U675" s="10">
        <f t="shared" si="195"/>
        <v>0</v>
      </c>
      <c r="V675" s="10">
        <f t="shared" si="196"/>
        <v>0</v>
      </c>
    </row>
    <row r="676" spans="1:22" x14ac:dyDescent="0.2">
      <c r="A676" s="32">
        <v>28</v>
      </c>
      <c r="B676" s="33">
        <v>0.95833333333333304</v>
      </c>
      <c r="C676" s="32">
        <f>'0300z'!E37</f>
        <v>8</v>
      </c>
      <c r="D676" s="32">
        <f>'0300z'!F37</f>
        <v>10</v>
      </c>
      <c r="E676" s="32">
        <f t="shared" si="197"/>
        <v>80</v>
      </c>
      <c r="F676" s="10">
        <f t="shared" si="198"/>
        <v>0</v>
      </c>
      <c r="G676" s="10">
        <f t="shared" si="199"/>
        <v>0</v>
      </c>
      <c r="H676" s="10">
        <f t="shared" si="182"/>
        <v>0</v>
      </c>
      <c r="I676" s="10">
        <f t="shared" si="183"/>
        <v>0</v>
      </c>
      <c r="J676" s="10">
        <f t="shared" si="184"/>
        <v>1</v>
      </c>
      <c r="K676" s="10">
        <f t="shared" si="185"/>
        <v>0</v>
      </c>
      <c r="L676" s="10">
        <f t="shared" si="186"/>
        <v>0</v>
      </c>
      <c r="M676" s="10">
        <f t="shared" si="187"/>
        <v>0</v>
      </c>
      <c r="N676" s="10">
        <f t="shared" si="188"/>
        <v>0</v>
      </c>
      <c r="O676" s="10">
        <f t="shared" si="189"/>
        <v>0</v>
      </c>
      <c r="P676" s="10">
        <f t="shared" si="190"/>
        <v>0</v>
      </c>
      <c r="Q676" s="10">
        <f t="shared" si="191"/>
        <v>0</v>
      </c>
      <c r="R676" s="10">
        <f t="shared" si="192"/>
        <v>0</v>
      </c>
      <c r="S676" s="10">
        <f t="shared" si="193"/>
        <v>0</v>
      </c>
      <c r="T676" s="10">
        <f t="shared" si="194"/>
        <v>0</v>
      </c>
      <c r="U676" s="10">
        <f t="shared" si="195"/>
        <v>0</v>
      </c>
      <c r="V676" s="10">
        <f t="shared" si="196"/>
        <v>0</v>
      </c>
    </row>
    <row r="677" spans="1:22" x14ac:dyDescent="0.2">
      <c r="A677" s="32">
        <v>29</v>
      </c>
      <c r="B677" s="33">
        <v>0</v>
      </c>
      <c r="C677" s="32">
        <f>'0400z'!E38</f>
        <v>8</v>
      </c>
      <c r="D677" s="32">
        <f>'0400z'!F38</f>
        <v>11</v>
      </c>
      <c r="E677" s="32">
        <f t="shared" si="197"/>
        <v>80</v>
      </c>
      <c r="F677" s="10">
        <f t="shared" si="198"/>
        <v>0</v>
      </c>
      <c r="G677" s="10">
        <f t="shared" si="199"/>
        <v>0</v>
      </c>
      <c r="H677" s="10">
        <f t="shared" si="182"/>
        <v>0</v>
      </c>
      <c r="I677" s="10">
        <f t="shared" si="183"/>
        <v>0</v>
      </c>
      <c r="J677" s="10">
        <f t="shared" si="184"/>
        <v>1</v>
      </c>
      <c r="K677" s="10">
        <f t="shared" si="185"/>
        <v>0</v>
      </c>
      <c r="L677" s="10">
        <f t="shared" si="186"/>
        <v>0</v>
      </c>
      <c r="M677" s="10">
        <f t="shared" si="187"/>
        <v>0</v>
      </c>
      <c r="N677" s="10">
        <f t="shared" si="188"/>
        <v>0</v>
      </c>
      <c r="O677" s="10">
        <f t="shared" si="189"/>
        <v>0</v>
      </c>
      <c r="P677" s="10">
        <f t="shared" si="190"/>
        <v>0</v>
      </c>
      <c r="Q677" s="10">
        <f t="shared" si="191"/>
        <v>0</v>
      </c>
      <c r="R677" s="10">
        <f t="shared" si="192"/>
        <v>0</v>
      </c>
      <c r="S677" s="10">
        <f t="shared" si="193"/>
        <v>0</v>
      </c>
      <c r="T677" s="10">
        <f t="shared" si="194"/>
        <v>0</v>
      </c>
      <c r="U677" s="10">
        <f t="shared" si="195"/>
        <v>0</v>
      </c>
      <c r="V677" s="10">
        <f t="shared" si="196"/>
        <v>0</v>
      </c>
    </row>
    <row r="678" spans="1:22" x14ac:dyDescent="0.2">
      <c r="A678" s="32">
        <v>29</v>
      </c>
      <c r="B678" s="33">
        <v>4.1666666666666664E-2</v>
      </c>
      <c r="C678" s="32">
        <f>'0500z'!E38</f>
        <v>8</v>
      </c>
      <c r="D678" s="32">
        <f>'0500z'!F38</f>
        <v>11</v>
      </c>
      <c r="E678" s="32">
        <f t="shared" si="197"/>
        <v>80</v>
      </c>
      <c r="F678" s="10">
        <f t="shared" si="198"/>
        <v>0</v>
      </c>
      <c r="G678" s="10">
        <f t="shared" si="199"/>
        <v>0</v>
      </c>
      <c r="H678" s="10">
        <f t="shared" si="182"/>
        <v>0</v>
      </c>
      <c r="I678" s="10">
        <f t="shared" si="183"/>
        <v>0</v>
      </c>
      <c r="J678" s="10">
        <f t="shared" si="184"/>
        <v>1</v>
      </c>
      <c r="K678" s="10">
        <f t="shared" si="185"/>
        <v>0</v>
      </c>
      <c r="L678" s="10">
        <f t="shared" si="186"/>
        <v>0</v>
      </c>
      <c r="M678" s="10">
        <f t="shared" si="187"/>
        <v>0</v>
      </c>
      <c r="N678" s="10">
        <f t="shared" si="188"/>
        <v>0</v>
      </c>
      <c r="O678" s="10">
        <f t="shared" si="189"/>
        <v>0</v>
      </c>
      <c r="P678" s="10">
        <f t="shared" si="190"/>
        <v>0</v>
      </c>
      <c r="Q678" s="10">
        <f t="shared" si="191"/>
        <v>0</v>
      </c>
      <c r="R678" s="10">
        <f t="shared" si="192"/>
        <v>0</v>
      </c>
      <c r="S678" s="10">
        <f t="shared" si="193"/>
        <v>0</v>
      </c>
      <c r="T678" s="10">
        <f t="shared" si="194"/>
        <v>0</v>
      </c>
      <c r="U678" s="10">
        <f t="shared" si="195"/>
        <v>0</v>
      </c>
      <c r="V678" s="10">
        <f t="shared" si="196"/>
        <v>0</v>
      </c>
    </row>
    <row r="679" spans="1:22" x14ac:dyDescent="0.2">
      <c r="A679" s="32">
        <v>29</v>
      </c>
      <c r="B679" s="33">
        <v>8.3333333333333329E-2</v>
      </c>
      <c r="C679" s="32">
        <f>'0600z'!E38</f>
        <v>9</v>
      </c>
      <c r="D679" s="32">
        <f>'0600z'!F38</f>
        <v>10</v>
      </c>
      <c r="E679" s="32">
        <f t="shared" si="197"/>
        <v>90</v>
      </c>
      <c r="F679" s="10">
        <f t="shared" si="198"/>
        <v>0</v>
      </c>
      <c r="G679" s="10">
        <f t="shared" si="199"/>
        <v>0</v>
      </c>
      <c r="H679" s="10">
        <f t="shared" si="182"/>
        <v>0</v>
      </c>
      <c r="I679" s="10">
        <f t="shared" si="183"/>
        <v>0</v>
      </c>
      <c r="J679" s="10">
        <f t="shared" si="184"/>
        <v>1</v>
      </c>
      <c r="K679" s="10">
        <f t="shared" si="185"/>
        <v>0</v>
      </c>
      <c r="L679" s="10">
        <f t="shared" si="186"/>
        <v>0</v>
      </c>
      <c r="M679" s="10">
        <f t="shared" si="187"/>
        <v>0</v>
      </c>
      <c r="N679" s="10">
        <f t="shared" si="188"/>
        <v>0</v>
      </c>
      <c r="O679" s="10">
        <f t="shared" si="189"/>
        <v>0</v>
      </c>
      <c r="P679" s="10">
        <f t="shared" si="190"/>
        <v>0</v>
      </c>
      <c r="Q679" s="10">
        <f t="shared" si="191"/>
        <v>0</v>
      </c>
      <c r="R679" s="10">
        <f t="shared" si="192"/>
        <v>0</v>
      </c>
      <c r="S679" s="10">
        <f t="shared" si="193"/>
        <v>0</v>
      </c>
      <c r="T679" s="10">
        <f t="shared" si="194"/>
        <v>0</v>
      </c>
      <c r="U679" s="10">
        <f t="shared" si="195"/>
        <v>0</v>
      </c>
      <c r="V679" s="10">
        <f t="shared" si="196"/>
        <v>0</v>
      </c>
    </row>
    <row r="680" spans="1:22" x14ac:dyDescent="0.2">
      <c r="A680" s="32">
        <v>29</v>
      </c>
      <c r="B680" s="33">
        <v>0.125</v>
      </c>
      <c r="C680" s="32">
        <f>'0700z'!E38</f>
        <v>9</v>
      </c>
      <c r="D680" s="32">
        <f>'0700z'!F38</f>
        <v>7</v>
      </c>
      <c r="E680" s="32">
        <f t="shared" si="197"/>
        <v>90</v>
      </c>
      <c r="F680" s="10">
        <f t="shared" si="198"/>
        <v>0</v>
      </c>
      <c r="G680" s="10">
        <f t="shared" si="199"/>
        <v>0</v>
      </c>
      <c r="H680" s="10">
        <f t="shared" si="182"/>
        <v>0</v>
      </c>
      <c r="I680" s="10">
        <f t="shared" si="183"/>
        <v>0</v>
      </c>
      <c r="J680" s="10">
        <f t="shared" si="184"/>
        <v>1</v>
      </c>
      <c r="K680" s="10">
        <f t="shared" si="185"/>
        <v>0</v>
      </c>
      <c r="L680" s="10">
        <f t="shared" si="186"/>
        <v>0</v>
      </c>
      <c r="M680" s="10">
        <f t="shared" si="187"/>
        <v>0</v>
      </c>
      <c r="N680" s="10">
        <f t="shared" si="188"/>
        <v>0</v>
      </c>
      <c r="O680" s="10">
        <f t="shared" si="189"/>
        <v>0</v>
      </c>
      <c r="P680" s="10">
        <f t="shared" si="190"/>
        <v>0</v>
      </c>
      <c r="Q680" s="10">
        <f t="shared" si="191"/>
        <v>0</v>
      </c>
      <c r="R680" s="10">
        <f t="shared" si="192"/>
        <v>0</v>
      </c>
      <c r="S680" s="10">
        <f t="shared" si="193"/>
        <v>0</v>
      </c>
      <c r="T680" s="10">
        <f t="shared" si="194"/>
        <v>0</v>
      </c>
      <c r="U680" s="10">
        <f t="shared" si="195"/>
        <v>0</v>
      </c>
      <c r="V680" s="10">
        <f t="shared" si="196"/>
        <v>0</v>
      </c>
    </row>
    <row r="681" spans="1:22" x14ac:dyDescent="0.2">
      <c r="A681" s="32">
        <v>29</v>
      </c>
      <c r="B681" s="33">
        <v>0.16666666666666699</v>
      </c>
      <c r="C681" s="32">
        <f>'0800z'!E38</f>
        <v>10</v>
      </c>
      <c r="D681" s="32">
        <f>'0800z'!F38</f>
        <v>6</v>
      </c>
      <c r="E681" s="32">
        <f t="shared" si="197"/>
        <v>100</v>
      </c>
      <c r="F681" s="10">
        <f t="shared" si="198"/>
        <v>0</v>
      </c>
      <c r="G681" s="10">
        <f t="shared" si="199"/>
        <v>0</v>
      </c>
      <c r="H681" s="10">
        <f t="shared" si="182"/>
        <v>0</v>
      </c>
      <c r="I681" s="10">
        <f t="shared" si="183"/>
        <v>0</v>
      </c>
      <c r="J681" s="10">
        <f t="shared" si="184"/>
        <v>1</v>
      </c>
      <c r="K681" s="10">
        <f t="shared" si="185"/>
        <v>0</v>
      </c>
      <c r="L681" s="10">
        <f t="shared" si="186"/>
        <v>0</v>
      </c>
      <c r="M681" s="10">
        <f t="shared" si="187"/>
        <v>0</v>
      </c>
      <c r="N681" s="10">
        <f t="shared" si="188"/>
        <v>0</v>
      </c>
      <c r="O681" s="10">
        <f t="shared" si="189"/>
        <v>0</v>
      </c>
      <c r="P681" s="10">
        <f t="shared" si="190"/>
        <v>0</v>
      </c>
      <c r="Q681" s="10">
        <f t="shared" si="191"/>
        <v>0</v>
      </c>
      <c r="R681" s="10">
        <f t="shared" si="192"/>
        <v>0</v>
      </c>
      <c r="S681" s="10">
        <f t="shared" si="193"/>
        <v>0</v>
      </c>
      <c r="T681" s="10">
        <f t="shared" si="194"/>
        <v>0</v>
      </c>
      <c r="U681" s="10">
        <f t="shared" si="195"/>
        <v>0</v>
      </c>
      <c r="V681" s="10">
        <f t="shared" si="196"/>
        <v>0</v>
      </c>
    </row>
    <row r="682" spans="1:22" x14ac:dyDescent="0.2">
      <c r="A682" s="32">
        <v>29</v>
      </c>
      <c r="B682" s="33">
        <v>0.20833333333333301</v>
      </c>
      <c r="C682" s="32">
        <f>'0900z'!E38</f>
        <v>4</v>
      </c>
      <c r="D682" s="32">
        <f>'0900z'!F38</f>
        <v>5</v>
      </c>
      <c r="E682" s="32">
        <f t="shared" si="197"/>
        <v>40</v>
      </c>
      <c r="F682" s="10">
        <f t="shared" si="198"/>
        <v>0</v>
      </c>
      <c r="G682" s="10">
        <f t="shared" si="199"/>
        <v>0</v>
      </c>
      <c r="H682" s="10">
        <f t="shared" si="182"/>
        <v>1</v>
      </c>
      <c r="I682" s="10">
        <f t="shared" si="183"/>
        <v>0</v>
      </c>
      <c r="J682" s="10">
        <f t="shared" si="184"/>
        <v>0</v>
      </c>
      <c r="K682" s="10">
        <f t="shared" si="185"/>
        <v>0</v>
      </c>
      <c r="L682" s="10">
        <f t="shared" si="186"/>
        <v>0</v>
      </c>
      <c r="M682" s="10">
        <f t="shared" si="187"/>
        <v>0</v>
      </c>
      <c r="N682" s="10">
        <f t="shared" si="188"/>
        <v>0</v>
      </c>
      <c r="O682" s="10">
        <f t="shared" si="189"/>
        <v>0</v>
      </c>
      <c r="P682" s="10">
        <f t="shared" si="190"/>
        <v>0</v>
      </c>
      <c r="Q682" s="10">
        <f t="shared" si="191"/>
        <v>0</v>
      </c>
      <c r="R682" s="10">
        <f t="shared" si="192"/>
        <v>0</v>
      </c>
      <c r="S682" s="10">
        <f t="shared" si="193"/>
        <v>0</v>
      </c>
      <c r="T682" s="10">
        <f t="shared" si="194"/>
        <v>0</v>
      </c>
      <c r="U682" s="10">
        <f t="shared" si="195"/>
        <v>0</v>
      </c>
      <c r="V682" s="10">
        <f t="shared" si="196"/>
        <v>0</v>
      </c>
    </row>
    <row r="683" spans="1:22" x14ac:dyDescent="0.2">
      <c r="A683" s="32">
        <v>29</v>
      </c>
      <c r="B683" s="33">
        <v>0.25</v>
      </c>
      <c r="C683" s="32">
        <f>'1000z'!E38</f>
        <v>7</v>
      </c>
      <c r="D683" s="32">
        <f>'1000z'!F38</f>
        <v>14</v>
      </c>
      <c r="E683" s="32">
        <f t="shared" si="197"/>
        <v>70</v>
      </c>
      <c r="F683" s="10">
        <f t="shared" si="198"/>
        <v>0</v>
      </c>
      <c r="G683" s="10">
        <f t="shared" si="199"/>
        <v>0</v>
      </c>
      <c r="H683" s="10">
        <f t="shared" si="182"/>
        <v>0</v>
      </c>
      <c r="I683" s="10">
        <f t="shared" si="183"/>
        <v>1</v>
      </c>
      <c r="J683" s="10">
        <f t="shared" si="184"/>
        <v>0</v>
      </c>
      <c r="K683" s="10">
        <f t="shared" si="185"/>
        <v>0</v>
      </c>
      <c r="L683" s="10">
        <f t="shared" si="186"/>
        <v>0</v>
      </c>
      <c r="M683" s="10">
        <f t="shared" si="187"/>
        <v>0</v>
      </c>
      <c r="N683" s="10">
        <f t="shared" si="188"/>
        <v>0</v>
      </c>
      <c r="O683" s="10">
        <f t="shared" si="189"/>
        <v>0</v>
      </c>
      <c r="P683" s="10">
        <f t="shared" si="190"/>
        <v>0</v>
      </c>
      <c r="Q683" s="10">
        <f t="shared" si="191"/>
        <v>0</v>
      </c>
      <c r="R683" s="10">
        <f t="shared" si="192"/>
        <v>0</v>
      </c>
      <c r="S683" s="10">
        <f t="shared" si="193"/>
        <v>0</v>
      </c>
      <c r="T683" s="10">
        <f t="shared" si="194"/>
        <v>0</v>
      </c>
      <c r="U683" s="10">
        <f t="shared" si="195"/>
        <v>0</v>
      </c>
      <c r="V683" s="10">
        <f t="shared" si="196"/>
        <v>0</v>
      </c>
    </row>
    <row r="684" spans="1:22" x14ac:dyDescent="0.2">
      <c r="A684" s="32">
        <v>29</v>
      </c>
      <c r="B684" s="33">
        <v>0.29166666666666702</v>
      </c>
      <c r="C684" s="32">
        <f>'1100z'!E38</f>
        <v>8</v>
      </c>
      <c r="D684" s="32">
        <f>'1100z'!F38</f>
        <v>12</v>
      </c>
      <c r="E684" s="32">
        <f t="shared" si="197"/>
        <v>80</v>
      </c>
      <c r="F684" s="10">
        <f t="shared" si="198"/>
        <v>0</v>
      </c>
      <c r="G684" s="10">
        <f t="shared" si="199"/>
        <v>0</v>
      </c>
      <c r="H684" s="10">
        <f t="shared" si="182"/>
        <v>0</v>
      </c>
      <c r="I684" s="10">
        <f t="shared" si="183"/>
        <v>0</v>
      </c>
      <c r="J684" s="10">
        <f t="shared" si="184"/>
        <v>1</v>
      </c>
      <c r="K684" s="10">
        <f t="shared" si="185"/>
        <v>0</v>
      </c>
      <c r="L684" s="10">
        <f t="shared" si="186"/>
        <v>0</v>
      </c>
      <c r="M684" s="10">
        <f t="shared" si="187"/>
        <v>0</v>
      </c>
      <c r="N684" s="10">
        <f t="shared" si="188"/>
        <v>0</v>
      </c>
      <c r="O684" s="10">
        <f t="shared" si="189"/>
        <v>0</v>
      </c>
      <c r="P684" s="10">
        <f t="shared" si="190"/>
        <v>0</v>
      </c>
      <c r="Q684" s="10">
        <f t="shared" si="191"/>
        <v>0</v>
      </c>
      <c r="R684" s="10">
        <f t="shared" si="192"/>
        <v>0</v>
      </c>
      <c r="S684" s="10">
        <f t="shared" si="193"/>
        <v>0</v>
      </c>
      <c r="T684" s="10">
        <f t="shared" si="194"/>
        <v>0</v>
      </c>
      <c r="U684" s="10">
        <f t="shared" si="195"/>
        <v>0</v>
      </c>
      <c r="V684" s="10">
        <f t="shared" si="196"/>
        <v>0</v>
      </c>
    </row>
    <row r="685" spans="1:22" x14ac:dyDescent="0.2">
      <c r="A685" s="32">
        <v>29</v>
      </c>
      <c r="B685" s="33">
        <v>0.33333333333333298</v>
      </c>
      <c r="C685" s="32">
        <f>'1200z'!E38</f>
        <v>0</v>
      </c>
      <c r="D685" s="32">
        <f>'1200z'!F38</f>
        <v>0</v>
      </c>
      <c r="E685" s="32">
        <f t="shared" si="197"/>
        <v>0</v>
      </c>
      <c r="F685" s="10">
        <f t="shared" si="198"/>
        <v>0</v>
      </c>
      <c r="G685" s="10">
        <f t="shared" si="199"/>
        <v>0</v>
      </c>
      <c r="H685" s="10">
        <f t="shared" si="182"/>
        <v>0</v>
      </c>
      <c r="I685" s="10">
        <f t="shared" si="183"/>
        <v>0</v>
      </c>
      <c r="J685" s="10">
        <f t="shared" si="184"/>
        <v>0</v>
      </c>
      <c r="K685" s="10">
        <f t="shared" si="185"/>
        <v>0</v>
      </c>
      <c r="L685" s="10">
        <f t="shared" si="186"/>
        <v>0</v>
      </c>
      <c r="M685" s="10">
        <f t="shared" si="187"/>
        <v>0</v>
      </c>
      <c r="N685" s="10">
        <f t="shared" si="188"/>
        <v>0</v>
      </c>
      <c r="O685" s="10">
        <f t="shared" si="189"/>
        <v>0</v>
      </c>
      <c r="P685" s="10">
        <f t="shared" si="190"/>
        <v>0</v>
      </c>
      <c r="Q685" s="10">
        <f t="shared" si="191"/>
        <v>0</v>
      </c>
      <c r="R685" s="10">
        <f t="shared" si="192"/>
        <v>0</v>
      </c>
      <c r="S685" s="10">
        <f t="shared" si="193"/>
        <v>0</v>
      </c>
      <c r="T685" s="10">
        <f t="shared" si="194"/>
        <v>0</v>
      </c>
      <c r="U685" s="10">
        <f t="shared" si="195"/>
        <v>0</v>
      </c>
      <c r="V685" s="10">
        <f t="shared" si="196"/>
        <v>0</v>
      </c>
    </row>
    <row r="686" spans="1:22" x14ac:dyDescent="0.2">
      <c r="A686" s="32">
        <v>29</v>
      </c>
      <c r="B686" s="33">
        <v>0.375</v>
      </c>
      <c r="C686" s="32">
        <f>'1300z'!E38</f>
        <v>6</v>
      </c>
      <c r="D686" s="32">
        <f>'1300z'!F38</f>
        <v>6</v>
      </c>
      <c r="E686" s="32">
        <f t="shared" si="197"/>
        <v>60</v>
      </c>
      <c r="F686" s="10">
        <f t="shared" si="198"/>
        <v>0</v>
      </c>
      <c r="G686" s="10">
        <f t="shared" si="199"/>
        <v>0</v>
      </c>
      <c r="H686" s="10">
        <f t="shared" si="182"/>
        <v>0</v>
      </c>
      <c r="I686" s="10">
        <f t="shared" si="183"/>
        <v>1</v>
      </c>
      <c r="J686" s="10">
        <f t="shared" si="184"/>
        <v>0</v>
      </c>
      <c r="K686" s="10">
        <f t="shared" si="185"/>
        <v>0</v>
      </c>
      <c r="L686" s="10">
        <f t="shared" si="186"/>
        <v>0</v>
      </c>
      <c r="M686" s="10">
        <f t="shared" si="187"/>
        <v>0</v>
      </c>
      <c r="N686" s="10">
        <f t="shared" si="188"/>
        <v>0</v>
      </c>
      <c r="O686" s="10">
        <f t="shared" si="189"/>
        <v>0</v>
      </c>
      <c r="P686" s="10">
        <f t="shared" si="190"/>
        <v>0</v>
      </c>
      <c r="Q686" s="10">
        <f t="shared" si="191"/>
        <v>0</v>
      </c>
      <c r="R686" s="10">
        <f t="shared" si="192"/>
        <v>0</v>
      </c>
      <c r="S686" s="10">
        <f t="shared" si="193"/>
        <v>0</v>
      </c>
      <c r="T686" s="10">
        <f t="shared" si="194"/>
        <v>0</v>
      </c>
      <c r="U686" s="10">
        <f t="shared" si="195"/>
        <v>0</v>
      </c>
      <c r="V686" s="10">
        <f t="shared" si="196"/>
        <v>0</v>
      </c>
    </row>
    <row r="687" spans="1:22" x14ac:dyDescent="0.2">
      <c r="A687" s="32">
        <v>29</v>
      </c>
      <c r="B687" s="33">
        <v>0.41666666666666702</v>
      </c>
      <c r="C687" s="32">
        <f>'1400z'!E38</f>
        <v>5</v>
      </c>
      <c r="D687" s="32">
        <f>'1400z'!F38</f>
        <v>9</v>
      </c>
      <c r="E687" s="32">
        <f t="shared" si="197"/>
        <v>50</v>
      </c>
      <c r="F687" s="10">
        <f t="shared" si="198"/>
        <v>0</v>
      </c>
      <c r="G687" s="10">
        <f t="shared" si="199"/>
        <v>0</v>
      </c>
      <c r="H687" s="10">
        <f t="shared" si="182"/>
        <v>1</v>
      </c>
      <c r="I687" s="10">
        <f t="shared" si="183"/>
        <v>0</v>
      </c>
      <c r="J687" s="10">
        <f t="shared" si="184"/>
        <v>0</v>
      </c>
      <c r="K687" s="10">
        <f t="shared" si="185"/>
        <v>0</v>
      </c>
      <c r="L687" s="10">
        <f t="shared" si="186"/>
        <v>0</v>
      </c>
      <c r="M687" s="10">
        <f t="shared" si="187"/>
        <v>0</v>
      </c>
      <c r="N687" s="10">
        <f t="shared" si="188"/>
        <v>0</v>
      </c>
      <c r="O687" s="10">
        <f t="shared" si="189"/>
        <v>0</v>
      </c>
      <c r="P687" s="10">
        <f t="shared" si="190"/>
        <v>0</v>
      </c>
      <c r="Q687" s="10">
        <f t="shared" si="191"/>
        <v>0</v>
      </c>
      <c r="R687" s="10">
        <f t="shared" si="192"/>
        <v>0</v>
      </c>
      <c r="S687" s="10">
        <f t="shared" si="193"/>
        <v>0</v>
      </c>
      <c r="T687" s="10">
        <f t="shared" si="194"/>
        <v>0</v>
      </c>
      <c r="U687" s="10">
        <f t="shared" si="195"/>
        <v>0</v>
      </c>
      <c r="V687" s="10">
        <f t="shared" si="196"/>
        <v>0</v>
      </c>
    </row>
    <row r="688" spans="1:22" x14ac:dyDescent="0.2">
      <c r="A688" s="32">
        <v>29</v>
      </c>
      <c r="B688" s="33">
        <v>0.45833333333333298</v>
      </c>
      <c r="C688" s="32">
        <f>'1500z'!E38</f>
        <v>8</v>
      </c>
      <c r="D688" s="32">
        <f>'1500z'!F38</f>
        <v>12</v>
      </c>
      <c r="E688" s="32">
        <f t="shared" si="197"/>
        <v>80</v>
      </c>
      <c r="F688" s="10">
        <f t="shared" si="198"/>
        <v>0</v>
      </c>
      <c r="G688" s="10">
        <f t="shared" si="199"/>
        <v>0</v>
      </c>
      <c r="H688" s="10">
        <f t="shared" si="182"/>
        <v>0</v>
      </c>
      <c r="I688" s="10">
        <f t="shared" si="183"/>
        <v>0</v>
      </c>
      <c r="J688" s="10">
        <f t="shared" si="184"/>
        <v>1</v>
      </c>
      <c r="K688" s="10">
        <f t="shared" si="185"/>
        <v>0</v>
      </c>
      <c r="L688" s="10">
        <f t="shared" si="186"/>
        <v>0</v>
      </c>
      <c r="M688" s="10">
        <f t="shared" si="187"/>
        <v>0</v>
      </c>
      <c r="N688" s="10">
        <f t="shared" si="188"/>
        <v>0</v>
      </c>
      <c r="O688" s="10">
        <f t="shared" si="189"/>
        <v>0</v>
      </c>
      <c r="P688" s="10">
        <f t="shared" si="190"/>
        <v>0</v>
      </c>
      <c r="Q688" s="10">
        <f t="shared" si="191"/>
        <v>0</v>
      </c>
      <c r="R688" s="10">
        <f t="shared" si="192"/>
        <v>0</v>
      </c>
      <c r="S688" s="10">
        <f t="shared" si="193"/>
        <v>0</v>
      </c>
      <c r="T688" s="10">
        <f t="shared" si="194"/>
        <v>0</v>
      </c>
      <c r="U688" s="10">
        <f t="shared" si="195"/>
        <v>0</v>
      </c>
      <c r="V688" s="10">
        <f t="shared" si="196"/>
        <v>0</v>
      </c>
    </row>
    <row r="689" spans="1:22" x14ac:dyDescent="0.2">
      <c r="A689" s="32">
        <v>29</v>
      </c>
      <c r="B689" s="33">
        <v>0.5</v>
      </c>
      <c r="C689" s="32">
        <f>'1600z'!E38</f>
        <v>6</v>
      </c>
      <c r="D689" s="32">
        <f>'1600z'!F38</f>
        <v>15</v>
      </c>
      <c r="E689" s="32">
        <f t="shared" si="197"/>
        <v>60</v>
      </c>
      <c r="F689" s="10">
        <f t="shared" si="198"/>
        <v>0</v>
      </c>
      <c r="G689" s="10">
        <f t="shared" si="199"/>
        <v>0</v>
      </c>
      <c r="H689" s="10">
        <f t="shared" si="182"/>
        <v>0</v>
      </c>
      <c r="I689" s="10">
        <f t="shared" si="183"/>
        <v>1</v>
      </c>
      <c r="J689" s="10">
        <f t="shared" si="184"/>
        <v>0</v>
      </c>
      <c r="K689" s="10">
        <f t="shared" si="185"/>
        <v>0</v>
      </c>
      <c r="L689" s="10">
        <f t="shared" si="186"/>
        <v>0</v>
      </c>
      <c r="M689" s="10">
        <f t="shared" si="187"/>
        <v>0</v>
      </c>
      <c r="N689" s="10">
        <f t="shared" si="188"/>
        <v>0</v>
      </c>
      <c r="O689" s="10">
        <f t="shared" si="189"/>
        <v>0</v>
      </c>
      <c r="P689" s="10">
        <f t="shared" si="190"/>
        <v>0</v>
      </c>
      <c r="Q689" s="10">
        <f t="shared" si="191"/>
        <v>0</v>
      </c>
      <c r="R689" s="10">
        <f t="shared" si="192"/>
        <v>0</v>
      </c>
      <c r="S689" s="10">
        <f t="shared" si="193"/>
        <v>0</v>
      </c>
      <c r="T689" s="10">
        <f t="shared" si="194"/>
        <v>0</v>
      </c>
      <c r="U689" s="10">
        <f t="shared" si="195"/>
        <v>0</v>
      </c>
      <c r="V689" s="10">
        <f t="shared" si="196"/>
        <v>0</v>
      </c>
    </row>
    <row r="690" spans="1:22" x14ac:dyDescent="0.2">
      <c r="A690" s="32">
        <v>29</v>
      </c>
      <c r="B690" s="33">
        <v>0.54166666666666696</v>
      </c>
      <c r="C690" s="32">
        <f>'1700z'!E38</f>
        <v>11</v>
      </c>
      <c r="D690" s="32">
        <f>'1700z'!F38</f>
        <v>18</v>
      </c>
      <c r="E690" s="32">
        <f t="shared" si="197"/>
        <v>110</v>
      </c>
      <c r="F690" s="10">
        <f t="shared" si="198"/>
        <v>0</v>
      </c>
      <c r="G690" s="10">
        <f t="shared" si="199"/>
        <v>0</v>
      </c>
      <c r="H690" s="10">
        <f t="shared" si="182"/>
        <v>0</v>
      </c>
      <c r="I690" s="10">
        <f t="shared" si="183"/>
        <v>0</v>
      </c>
      <c r="J690" s="10">
        <f t="shared" si="184"/>
        <v>0</v>
      </c>
      <c r="K690" s="10">
        <f t="shared" si="185"/>
        <v>1</v>
      </c>
      <c r="L690" s="10">
        <f t="shared" si="186"/>
        <v>0</v>
      </c>
      <c r="M690" s="10">
        <f t="shared" si="187"/>
        <v>0</v>
      </c>
      <c r="N690" s="10">
        <f t="shared" si="188"/>
        <v>0</v>
      </c>
      <c r="O690" s="10">
        <f t="shared" si="189"/>
        <v>0</v>
      </c>
      <c r="P690" s="10">
        <f t="shared" si="190"/>
        <v>0</v>
      </c>
      <c r="Q690" s="10">
        <f t="shared" si="191"/>
        <v>0</v>
      </c>
      <c r="R690" s="10">
        <f t="shared" si="192"/>
        <v>0</v>
      </c>
      <c r="S690" s="10">
        <f t="shared" si="193"/>
        <v>0</v>
      </c>
      <c r="T690" s="10">
        <f t="shared" si="194"/>
        <v>0</v>
      </c>
      <c r="U690" s="10">
        <f t="shared" si="195"/>
        <v>0</v>
      </c>
      <c r="V690" s="10">
        <f t="shared" si="196"/>
        <v>0</v>
      </c>
    </row>
    <row r="691" spans="1:22" x14ac:dyDescent="0.2">
      <c r="A691" s="32">
        <v>29</v>
      </c>
      <c r="B691" s="33">
        <v>0.58333333333333304</v>
      </c>
      <c r="C691" s="32">
        <f>'1800z'!E38</f>
        <v>6</v>
      </c>
      <c r="D691" s="32">
        <f>'1800z'!F38</f>
        <v>10</v>
      </c>
      <c r="E691" s="32">
        <f t="shared" si="197"/>
        <v>60</v>
      </c>
      <c r="F691" s="10">
        <f t="shared" si="198"/>
        <v>0</v>
      </c>
      <c r="G691" s="10">
        <f t="shared" si="199"/>
        <v>0</v>
      </c>
      <c r="H691" s="10">
        <f t="shared" si="182"/>
        <v>0</v>
      </c>
      <c r="I691" s="10">
        <f t="shared" si="183"/>
        <v>1</v>
      </c>
      <c r="J691" s="10">
        <f t="shared" si="184"/>
        <v>0</v>
      </c>
      <c r="K691" s="10">
        <f t="shared" si="185"/>
        <v>0</v>
      </c>
      <c r="L691" s="10">
        <f t="shared" si="186"/>
        <v>0</v>
      </c>
      <c r="M691" s="10">
        <f t="shared" si="187"/>
        <v>0</v>
      </c>
      <c r="N691" s="10">
        <f t="shared" si="188"/>
        <v>0</v>
      </c>
      <c r="O691" s="10">
        <f t="shared" si="189"/>
        <v>0</v>
      </c>
      <c r="P691" s="10">
        <f t="shared" si="190"/>
        <v>0</v>
      </c>
      <c r="Q691" s="10">
        <f t="shared" si="191"/>
        <v>0</v>
      </c>
      <c r="R691" s="10">
        <f t="shared" si="192"/>
        <v>0</v>
      </c>
      <c r="S691" s="10">
        <f t="shared" si="193"/>
        <v>0</v>
      </c>
      <c r="T691" s="10">
        <f t="shared" si="194"/>
        <v>0</v>
      </c>
      <c r="U691" s="10">
        <f t="shared" si="195"/>
        <v>0</v>
      </c>
      <c r="V691" s="10">
        <f t="shared" si="196"/>
        <v>0</v>
      </c>
    </row>
    <row r="692" spans="1:22" x14ac:dyDescent="0.2">
      <c r="A692" s="32">
        <v>29</v>
      </c>
      <c r="B692" s="33">
        <v>0.625</v>
      </c>
      <c r="C692" s="32">
        <f>'1900z'!E38</f>
        <v>7</v>
      </c>
      <c r="D692" s="32">
        <f>'1900z'!F38</f>
        <v>14</v>
      </c>
      <c r="E692" s="32">
        <f t="shared" si="197"/>
        <v>70</v>
      </c>
      <c r="F692" s="10">
        <f t="shared" si="198"/>
        <v>0</v>
      </c>
      <c r="G692" s="10">
        <f t="shared" si="199"/>
        <v>0</v>
      </c>
      <c r="H692" s="10">
        <f t="shared" si="182"/>
        <v>0</v>
      </c>
      <c r="I692" s="10">
        <f t="shared" si="183"/>
        <v>1</v>
      </c>
      <c r="J692" s="10">
        <f t="shared" si="184"/>
        <v>0</v>
      </c>
      <c r="K692" s="10">
        <f t="shared" si="185"/>
        <v>0</v>
      </c>
      <c r="L692" s="10">
        <f t="shared" si="186"/>
        <v>0</v>
      </c>
      <c r="M692" s="10">
        <f t="shared" si="187"/>
        <v>0</v>
      </c>
      <c r="N692" s="10">
        <f t="shared" si="188"/>
        <v>0</v>
      </c>
      <c r="O692" s="10">
        <f t="shared" si="189"/>
        <v>0</v>
      </c>
      <c r="P692" s="10">
        <f t="shared" si="190"/>
        <v>0</v>
      </c>
      <c r="Q692" s="10">
        <f t="shared" si="191"/>
        <v>0</v>
      </c>
      <c r="R692" s="10">
        <f t="shared" si="192"/>
        <v>0</v>
      </c>
      <c r="S692" s="10">
        <f t="shared" si="193"/>
        <v>0</v>
      </c>
      <c r="T692" s="10">
        <f t="shared" si="194"/>
        <v>0</v>
      </c>
      <c r="U692" s="10">
        <f t="shared" si="195"/>
        <v>0</v>
      </c>
      <c r="V692" s="10">
        <f t="shared" si="196"/>
        <v>0</v>
      </c>
    </row>
    <row r="693" spans="1:22" x14ac:dyDescent="0.2">
      <c r="A693" s="32">
        <v>29</v>
      </c>
      <c r="B693" s="33">
        <v>0.66666666666666696</v>
      </c>
      <c r="C693" s="32">
        <f>'2000z'!E38</f>
        <v>7</v>
      </c>
      <c r="D693" s="32">
        <f>'2000z'!F38</f>
        <v>16</v>
      </c>
      <c r="E693" s="32">
        <f t="shared" si="197"/>
        <v>70</v>
      </c>
      <c r="F693" s="10">
        <f t="shared" si="198"/>
        <v>0</v>
      </c>
      <c r="G693" s="10">
        <f t="shared" si="199"/>
        <v>0</v>
      </c>
      <c r="H693" s="10">
        <f t="shared" si="182"/>
        <v>0</v>
      </c>
      <c r="I693" s="10">
        <f t="shared" si="183"/>
        <v>1</v>
      </c>
      <c r="J693" s="10">
        <f t="shared" si="184"/>
        <v>0</v>
      </c>
      <c r="K693" s="10">
        <f t="shared" si="185"/>
        <v>0</v>
      </c>
      <c r="L693" s="10">
        <f t="shared" si="186"/>
        <v>0</v>
      </c>
      <c r="M693" s="10">
        <f t="shared" si="187"/>
        <v>0</v>
      </c>
      <c r="N693" s="10">
        <f t="shared" si="188"/>
        <v>0</v>
      </c>
      <c r="O693" s="10">
        <f t="shared" si="189"/>
        <v>0</v>
      </c>
      <c r="P693" s="10">
        <f t="shared" si="190"/>
        <v>0</v>
      </c>
      <c r="Q693" s="10">
        <f t="shared" si="191"/>
        <v>0</v>
      </c>
      <c r="R693" s="10">
        <f t="shared" si="192"/>
        <v>0</v>
      </c>
      <c r="S693" s="10">
        <f t="shared" si="193"/>
        <v>0</v>
      </c>
      <c r="T693" s="10">
        <f t="shared" si="194"/>
        <v>0</v>
      </c>
      <c r="U693" s="10">
        <f t="shared" si="195"/>
        <v>0</v>
      </c>
      <c r="V693" s="10">
        <f t="shared" si="196"/>
        <v>0</v>
      </c>
    </row>
    <row r="694" spans="1:22" x14ac:dyDescent="0.2">
      <c r="A694" s="32">
        <v>29</v>
      </c>
      <c r="B694" s="33">
        <v>0.70833333333333304</v>
      </c>
      <c r="C694" s="32">
        <f>'2100z'!E38</f>
        <v>6</v>
      </c>
      <c r="D694" s="32">
        <f>'2100z'!F38</f>
        <v>14</v>
      </c>
      <c r="E694" s="32">
        <f t="shared" si="197"/>
        <v>60</v>
      </c>
      <c r="F694" s="10">
        <f t="shared" si="198"/>
        <v>0</v>
      </c>
      <c r="G694" s="10">
        <f t="shared" si="199"/>
        <v>0</v>
      </c>
      <c r="H694" s="10">
        <f t="shared" si="182"/>
        <v>0</v>
      </c>
      <c r="I694" s="10">
        <f t="shared" si="183"/>
        <v>1</v>
      </c>
      <c r="J694" s="10">
        <f t="shared" si="184"/>
        <v>0</v>
      </c>
      <c r="K694" s="10">
        <f t="shared" si="185"/>
        <v>0</v>
      </c>
      <c r="L694" s="10">
        <f t="shared" si="186"/>
        <v>0</v>
      </c>
      <c r="M694" s="10">
        <f t="shared" si="187"/>
        <v>0</v>
      </c>
      <c r="N694" s="10">
        <f t="shared" si="188"/>
        <v>0</v>
      </c>
      <c r="O694" s="10">
        <f t="shared" si="189"/>
        <v>0</v>
      </c>
      <c r="P694" s="10">
        <f t="shared" si="190"/>
        <v>0</v>
      </c>
      <c r="Q694" s="10">
        <f t="shared" si="191"/>
        <v>0</v>
      </c>
      <c r="R694" s="10">
        <f t="shared" si="192"/>
        <v>0</v>
      </c>
      <c r="S694" s="10">
        <f t="shared" si="193"/>
        <v>0</v>
      </c>
      <c r="T694" s="10">
        <f t="shared" si="194"/>
        <v>0</v>
      </c>
      <c r="U694" s="10">
        <f t="shared" si="195"/>
        <v>0</v>
      </c>
      <c r="V694" s="10">
        <f t="shared" si="196"/>
        <v>0</v>
      </c>
    </row>
    <row r="695" spans="1:22" x14ac:dyDescent="0.2">
      <c r="A695" s="32">
        <v>29</v>
      </c>
      <c r="B695" s="33">
        <v>0.75</v>
      </c>
      <c r="C695" s="32">
        <f>'2200z'!E38</f>
        <v>5</v>
      </c>
      <c r="D695" s="32">
        <f>'2200z'!F38</f>
        <v>10</v>
      </c>
      <c r="E695" s="32">
        <f t="shared" si="197"/>
        <v>50</v>
      </c>
      <c r="F695" s="10">
        <f t="shared" si="198"/>
        <v>0</v>
      </c>
      <c r="G695" s="10">
        <f t="shared" si="199"/>
        <v>0</v>
      </c>
      <c r="H695" s="10">
        <f t="shared" si="182"/>
        <v>1</v>
      </c>
      <c r="I695" s="10">
        <f t="shared" si="183"/>
        <v>0</v>
      </c>
      <c r="J695" s="10">
        <f t="shared" si="184"/>
        <v>0</v>
      </c>
      <c r="K695" s="10">
        <f t="shared" si="185"/>
        <v>0</v>
      </c>
      <c r="L695" s="10">
        <f t="shared" si="186"/>
        <v>0</v>
      </c>
      <c r="M695" s="10">
        <f t="shared" si="187"/>
        <v>0</v>
      </c>
      <c r="N695" s="10">
        <f t="shared" si="188"/>
        <v>0</v>
      </c>
      <c r="O695" s="10">
        <f t="shared" si="189"/>
        <v>0</v>
      </c>
      <c r="P695" s="10">
        <f t="shared" si="190"/>
        <v>0</v>
      </c>
      <c r="Q695" s="10">
        <f t="shared" si="191"/>
        <v>0</v>
      </c>
      <c r="R695" s="10">
        <f t="shared" si="192"/>
        <v>0</v>
      </c>
      <c r="S695" s="10">
        <f t="shared" si="193"/>
        <v>0</v>
      </c>
      <c r="T695" s="10">
        <f t="shared" si="194"/>
        <v>0</v>
      </c>
      <c r="U695" s="10">
        <f t="shared" si="195"/>
        <v>0</v>
      </c>
      <c r="V695" s="10">
        <f t="shared" si="196"/>
        <v>0</v>
      </c>
    </row>
    <row r="696" spans="1:22" x14ac:dyDescent="0.2">
      <c r="A696" s="32">
        <v>29</v>
      </c>
      <c r="B696" s="33">
        <v>0.79166666666666696</v>
      </c>
      <c r="C696" s="32">
        <f>'2300z'!E38</f>
        <v>7</v>
      </c>
      <c r="D696" s="32">
        <f>'2300z'!F38</f>
        <v>12</v>
      </c>
      <c r="E696" s="32">
        <f t="shared" si="197"/>
        <v>70</v>
      </c>
      <c r="F696" s="10">
        <f t="shared" si="198"/>
        <v>0</v>
      </c>
      <c r="G696" s="10">
        <f t="shared" si="199"/>
        <v>0</v>
      </c>
      <c r="H696" s="10">
        <f t="shared" si="182"/>
        <v>0</v>
      </c>
      <c r="I696" s="10">
        <f t="shared" si="183"/>
        <v>1</v>
      </c>
      <c r="J696" s="10">
        <f t="shared" si="184"/>
        <v>0</v>
      </c>
      <c r="K696" s="10">
        <f t="shared" si="185"/>
        <v>0</v>
      </c>
      <c r="L696" s="10">
        <f t="shared" si="186"/>
        <v>0</v>
      </c>
      <c r="M696" s="10">
        <f t="shared" si="187"/>
        <v>0</v>
      </c>
      <c r="N696" s="10">
        <f t="shared" si="188"/>
        <v>0</v>
      </c>
      <c r="O696" s="10">
        <f t="shared" si="189"/>
        <v>0</v>
      </c>
      <c r="P696" s="10">
        <f t="shared" si="190"/>
        <v>0</v>
      </c>
      <c r="Q696" s="10">
        <f t="shared" si="191"/>
        <v>0</v>
      </c>
      <c r="R696" s="10">
        <f t="shared" si="192"/>
        <v>0</v>
      </c>
      <c r="S696" s="10">
        <f t="shared" si="193"/>
        <v>0</v>
      </c>
      <c r="T696" s="10">
        <f t="shared" si="194"/>
        <v>0</v>
      </c>
      <c r="U696" s="10">
        <f t="shared" si="195"/>
        <v>0</v>
      </c>
      <c r="V696" s="10">
        <f t="shared" si="196"/>
        <v>0</v>
      </c>
    </row>
    <row r="697" spans="1:22" x14ac:dyDescent="0.2">
      <c r="A697" s="32">
        <v>29</v>
      </c>
      <c r="B697" s="33">
        <v>0.83333333333333304</v>
      </c>
      <c r="C697" s="32">
        <f>'0000z'!E38</f>
        <v>6</v>
      </c>
      <c r="D697" s="32">
        <f>'0000z'!F38</f>
        <v>12</v>
      </c>
      <c r="E697" s="32">
        <f t="shared" si="197"/>
        <v>60</v>
      </c>
      <c r="F697" s="10">
        <f t="shared" si="198"/>
        <v>0</v>
      </c>
      <c r="G697" s="10">
        <f t="shared" si="199"/>
        <v>0</v>
      </c>
      <c r="H697" s="10">
        <f t="shared" si="182"/>
        <v>0</v>
      </c>
      <c r="I697" s="10">
        <f t="shared" si="183"/>
        <v>1</v>
      </c>
      <c r="J697" s="10">
        <f t="shared" si="184"/>
        <v>0</v>
      </c>
      <c r="K697" s="10">
        <f t="shared" si="185"/>
        <v>0</v>
      </c>
      <c r="L697" s="10">
        <f t="shared" si="186"/>
        <v>0</v>
      </c>
      <c r="M697" s="10">
        <f t="shared" si="187"/>
        <v>0</v>
      </c>
      <c r="N697" s="10">
        <f t="shared" si="188"/>
        <v>0</v>
      </c>
      <c r="O697" s="10">
        <f t="shared" si="189"/>
        <v>0</v>
      </c>
      <c r="P697" s="10">
        <f t="shared" si="190"/>
        <v>0</v>
      </c>
      <c r="Q697" s="10">
        <f t="shared" si="191"/>
        <v>0</v>
      </c>
      <c r="R697" s="10">
        <f t="shared" si="192"/>
        <v>0</v>
      </c>
      <c r="S697" s="10">
        <f t="shared" si="193"/>
        <v>0</v>
      </c>
      <c r="T697" s="10">
        <f t="shared" si="194"/>
        <v>0</v>
      </c>
      <c r="U697" s="10">
        <f t="shared" si="195"/>
        <v>0</v>
      </c>
      <c r="V697" s="10">
        <f t="shared" si="196"/>
        <v>0</v>
      </c>
    </row>
    <row r="698" spans="1:22" x14ac:dyDescent="0.2">
      <c r="A698" s="32">
        <v>29</v>
      </c>
      <c r="B698" s="33">
        <v>0.875</v>
      </c>
      <c r="C698" s="32">
        <f>'0100z'!E38</f>
        <v>7</v>
      </c>
      <c r="D698" s="32">
        <f>'0100z'!F38</f>
        <v>7</v>
      </c>
      <c r="E698" s="32">
        <f t="shared" si="197"/>
        <v>70</v>
      </c>
      <c r="F698" s="10">
        <f t="shared" si="198"/>
        <v>0</v>
      </c>
      <c r="G698" s="10">
        <f t="shared" si="199"/>
        <v>0</v>
      </c>
      <c r="H698" s="10">
        <f t="shared" si="182"/>
        <v>0</v>
      </c>
      <c r="I698" s="10">
        <f t="shared" si="183"/>
        <v>1</v>
      </c>
      <c r="J698" s="10">
        <f t="shared" si="184"/>
        <v>0</v>
      </c>
      <c r="K698" s="10">
        <f t="shared" si="185"/>
        <v>0</v>
      </c>
      <c r="L698" s="10">
        <f t="shared" si="186"/>
        <v>0</v>
      </c>
      <c r="M698" s="10">
        <f t="shared" si="187"/>
        <v>0</v>
      </c>
      <c r="N698" s="10">
        <f t="shared" si="188"/>
        <v>0</v>
      </c>
      <c r="O698" s="10">
        <f t="shared" si="189"/>
        <v>0</v>
      </c>
      <c r="P698" s="10">
        <f t="shared" si="190"/>
        <v>0</v>
      </c>
      <c r="Q698" s="10">
        <f t="shared" si="191"/>
        <v>0</v>
      </c>
      <c r="R698" s="10">
        <f t="shared" si="192"/>
        <v>0</v>
      </c>
      <c r="S698" s="10">
        <f t="shared" si="193"/>
        <v>0</v>
      </c>
      <c r="T698" s="10">
        <f t="shared" si="194"/>
        <v>0</v>
      </c>
      <c r="U698" s="10">
        <f t="shared" si="195"/>
        <v>0</v>
      </c>
      <c r="V698" s="10">
        <f t="shared" si="196"/>
        <v>0</v>
      </c>
    </row>
    <row r="699" spans="1:22" x14ac:dyDescent="0.2">
      <c r="A699" s="32">
        <v>29</v>
      </c>
      <c r="B699" s="33">
        <v>0.91666666666666696</v>
      </c>
      <c r="C699" s="32">
        <f>'0200z'!E38</f>
        <v>7</v>
      </c>
      <c r="D699" s="32">
        <f>'0200z'!F38</f>
        <v>10</v>
      </c>
      <c r="E699" s="32">
        <f t="shared" si="197"/>
        <v>70</v>
      </c>
      <c r="F699" s="10">
        <f t="shared" si="198"/>
        <v>0</v>
      </c>
      <c r="G699" s="10">
        <f t="shared" si="199"/>
        <v>0</v>
      </c>
      <c r="H699" s="10">
        <f t="shared" si="182"/>
        <v>0</v>
      </c>
      <c r="I699" s="10">
        <f t="shared" si="183"/>
        <v>1</v>
      </c>
      <c r="J699" s="10">
        <f t="shared" si="184"/>
        <v>0</v>
      </c>
      <c r="K699" s="10">
        <f t="shared" si="185"/>
        <v>0</v>
      </c>
      <c r="L699" s="10">
        <f t="shared" si="186"/>
        <v>0</v>
      </c>
      <c r="M699" s="10">
        <f t="shared" si="187"/>
        <v>0</v>
      </c>
      <c r="N699" s="10">
        <f t="shared" si="188"/>
        <v>0</v>
      </c>
      <c r="O699" s="10">
        <f t="shared" si="189"/>
        <v>0</v>
      </c>
      <c r="P699" s="10">
        <f t="shared" si="190"/>
        <v>0</v>
      </c>
      <c r="Q699" s="10">
        <f t="shared" si="191"/>
        <v>0</v>
      </c>
      <c r="R699" s="10">
        <f t="shared" si="192"/>
        <v>0</v>
      </c>
      <c r="S699" s="10">
        <f t="shared" si="193"/>
        <v>0</v>
      </c>
      <c r="T699" s="10">
        <f t="shared" si="194"/>
        <v>0</v>
      </c>
      <c r="U699" s="10">
        <f t="shared" si="195"/>
        <v>0</v>
      </c>
      <c r="V699" s="10">
        <f t="shared" si="196"/>
        <v>0</v>
      </c>
    </row>
    <row r="700" spans="1:22" x14ac:dyDescent="0.2">
      <c r="A700" s="32">
        <v>29</v>
      </c>
      <c r="B700" s="33">
        <v>0.95833333333333304</v>
      </c>
      <c r="C700" s="32">
        <f>'0300z'!E38</f>
        <v>5</v>
      </c>
      <c r="D700" s="32">
        <f>'0300z'!F38</f>
        <v>12</v>
      </c>
      <c r="E700" s="32">
        <f t="shared" si="197"/>
        <v>50</v>
      </c>
      <c r="F700" s="10">
        <f t="shared" si="198"/>
        <v>0</v>
      </c>
      <c r="G700" s="10">
        <f t="shared" si="199"/>
        <v>0</v>
      </c>
      <c r="H700" s="10">
        <f t="shared" si="182"/>
        <v>1</v>
      </c>
      <c r="I700" s="10">
        <f t="shared" si="183"/>
        <v>0</v>
      </c>
      <c r="J700" s="10">
        <f t="shared" si="184"/>
        <v>0</v>
      </c>
      <c r="K700" s="10">
        <f t="shared" si="185"/>
        <v>0</v>
      </c>
      <c r="L700" s="10">
        <f t="shared" si="186"/>
        <v>0</v>
      </c>
      <c r="M700" s="10">
        <f t="shared" si="187"/>
        <v>0</v>
      </c>
      <c r="N700" s="10">
        <f t="shared" si="188"/>
        <v>0</v>
      </c>
      <c r="O700" s="10">
        <f t="shared" si="189"/>
        <v>0</v>
      </c>
      <c r="P700" s="10">
        <f t="shared" si="190"/>
        <v>0</v>
      </c>
      <c r="Q700" s="10">
        <f t="shared" si="191"/>
        <v>0</v>
      </c>
      <c r="R700" s="10">
        <f t="shared" si="192"/>
        <v>0</v>
      </c>
      <c r="S700" s="10">
        <f t="shared" si="193"/>
        <v>0</v>
      </c>
      <c r="T700" s="10">
        <f t="shared" si="194"/>
        <v>0</v>
      </c>
      <c r="U700" s="10">
        <f t="shared" si="195"/>
        <v>0</v>
      </c>
      <c r="V700" s="10">
        <f t="shared" si="196"/>
        <v>0</v>
      </c>
    </row>
    <row r="701" spans="1:22" x14ac:dyDescent="0.2">
      <c r="A701" s="32">
        <v>30</v>
      </c>
      <c r="B701" s="33">
        <v>0</v>
      </c>
      <c r="C701" s="32">
        <f>'0400z'!E39</f>
        <v>6</v>
      </c>
      <c r="D701" s="32">
        <f>'0400z'!F39</f>
        <v>12</v>
      </c>
      <c r="E701" s="32">
        <f t="shared" si="197"/>
        <v>60</v>
      </c>
      <c r="F701" s="10">
        <f t="shared" si="198"/>
        <v>0</v>
      </c>
      <c r="G701" s="10">
        <f t="shared" si="199"/>
        <v>0</v>
      </c>
      <c r="H701" s="10">
        <f t="shared" si="182"/>
        <v>0</v>
      </c>
      <c r="I701" s="10">
        <f t="shared" si="183"/>
        <v>1</v>
      </c>
      <c r="J701" s="10">
        <f t="shared" si="184"/>
        <v>0</v>
      </c>
      <c r="K701" s="10">
        <f t="shared" si="185"/>
        <v>0</v>
      </c>
      <c r="L701" s="10">
        <f t="shared" si="186"/>
        <v>0</v>
      </c>
      <c r="M701" s="10">
        <f t="shared" si="187"/>
        <v>0</v>
      </c>
      <c r="N701" s="10">
        <f t="shared" si="188"/>
        <v>0</v>
      </c>
      <c r="O701" s="10">
        <f t="shared" si="189"/>
        <v>0</v>
      </c>
      <c r="P701" s="10">
        <f t="shared" si="190"/>
        <v>0</v>
      </c>
      <c r="Q701" s="10">
        <f t="shared" si="191"/>
        <v>0</v>
      </c>
      <c r="R701" s="10">
        <f t="shared" si="192"/>
        <v>0</v>
      </c>
      <c r="S701" s="10">
        <f t="shared" si="193"/>
        <v>0</v>
      </c>
      <c r="T701" s="10">
        <f t="shared" si="194"/>
        <v>0</v>
      </c>
      <c r="U701" s="10">
        <f t="shared" si="195"/>
        <v>0</v>
      </c>
      <c r="V701" s="10">
        <f t="shared" si="196"/>
        <v>0</v>
      </c>
    </row>
    <row r="702" spans="1:22" x14ac:dyDescent="0.2">
      <c r="A702" s="32">
        <v>30</v>
      </c>
      <c r="B702" s="33">
        <v>4.1666666666666664E-2</v>
      </c>
      <c r="C702" s="32">
        <f>'0500z'!E39</f>
        <v>7</v>
      </c>
      <c r="D702" s="32">
        <f>'0500z'!F39</f>
        <v>5</v>
      </c>
      <c r="E702" s="32">
        <f t="shared" si="197"/>
        <v>70</v>
      </c>
      <c r="F702" s="10">
        <f t="shared" si="198"/>
        <v>0</v>
      </c>
      <c r="G702" s="10">
        <f t="shared" si="199"/>
        <v>0</v>
      </c>
      <c r="H702" s="10">
        <f t="shared" si="182"/>
        <v>0</v>
      </c>
      <c r="I702" s="10">
        <f t="shared" si="183"/>
        <v>1</v>
      </c>
      <c r="J702" s="10">
        <f t="shared" si="184"/>
        <v>0</v>
      </c>
      <c r="K702" s="10">
        <f t="shared" si="185"/>
        <v>0</v>
      </c>
      <c r="L702" s="10">
        <f t="shared" si="186"/>
        <v>0</v>
      </c>
      <c r="M702" s="10">
        <f t="shared" si="187"/>
        <v>0</v>
      </c>
      <c r="N702" s="10">
        <f t="shared" si="188"/>
        <v>0</v>
      </c>
      <c r="O702" s="10">
        <f t="shared" si="189"/>
        <v>0</v>
      </c>
      <c r="P702" s="10">
        <f t="shared" si="190"/>
        <v>0</v>
      </c>
      <c r="Q702" s="10">
        <f t="shared" si="191"/>
        <v>0</v>
      </c>
      <c r="R702" s="10">
        <f t="shared" si="192"/>
        <v>0</v>
      </c>
      <c r="S702" s="10">
        <f t="shared" si="193"/>
        <v>0</v>
      </c>
      <c r="T702" s="10">
        <f t="shared" si="194"/>
        <v>0</v>
      </c>
      <c r="U702" s="10">
        <f t="shared" si="195"/>
        <v>0</v>
      </c>
      <c r="V702" s="10">
        <f t="shared" si="196"/>
        <v>0</v>
      </c>
    </row>
    <row r="703" spans="1:22" x14ac:dyDescent="0.2">
      <c r="A703" s="32">
        <v>30</v>
      </c>
      <c r="B703" s="33">
        <v>8.3333333333333329E-2</v>
      </c>
      <c r="C703" s="32">
        <f>'0600z'!E39</f>
        <v>5</v>
      </c>
      <c r="D703" s="32">
        <f>'0600z'!F39</f>
        <v>7</v>
      </c>
      <c r="E703" s="32">
        <f t="shared" si="197"/>
        <v>50</v>
      </c>
      <c r="F703" s="10">
        <f t="shared" si="198"/>
        <v>0</v>
      </c>
      <c r="G703" s="10">
        <f t="shared" si="199"/>
        <v>0</v>
      </c>
      <c r="H703" s="10">
        <f t="shared" si="182"/>
        <v>1</v>
      </c>
      <c r="I703" s="10">
        <f t="shared" si="183"/>
        <v>0</v>
      </c>
      <c r="J703" s="10">
        <f t="shared" si="184"/>
        <v>0</v>
      </c>
      <c r="K703" s="10">
        <f t="shared" si="185"/>
        <v>0</v>
      </c>
      <c r="L703" s="10">
        <f t="shared" si="186"/>
        <v>0</v>
      </c>
      <c r="M703" s="10">
        <f t="shared" si="187"/>
        <v>0</v>
      </c>
      <c r="N703" s="10">
        <f t="shared" si="188"/>
        <v>0</v>
      </c>
      <c r="O703" s="10">
        <f t="shared" si="189"/>
        <v>0</v>
      </c>
      <c r="P703" s="10">
        <f t="shared" si="190"/>
        <v>0</v>
      </c>
      <c r="Q703" s="10">
        <f t="shared" si="191"/>
        <v>0</v>
      </c>
      <c r="R703" s="10">
        <f t="shared" si="192"/>
        <v>0</v>
      </c>
      <c r="S703" s="10">
        <f t="shared" si="193"/>
        <v>0</v>
      </c>
      <c r="T703" s="10">
        <f t="shared" si="194"/>
        <v>0</v>
      </c>
      <c r="U703" s="10">
        <f t="shared" si="195"/>
        <v>0</v>
      </c>
      <c r="V703" s="10">
        <f t="shared" si="196"/>
        <v>0</v>
      </c>
    </row>
    <row r="704" spans="1:22" x14ac:dyDescent="0.2">
      <c r="A704" s="32">
        <v>30</v>
      </c>
      <c r="B704" s="33">
        <v>0.125</v>
      </c>
      <c r="C704" s="32">
        <f>'0700z'!E39</f>
        <v>5</v>
      </c>
      <c r="D704" s="32">
        <f>'0700z'!F39</f>
        <v>10</v>
      </c>
      <c r="E704" s="32">
        <f t="shared" si="197"/>
        <v>50</v>
      </c>
      <c r="F704" s="10">
        <f t="shared" si="198"/>
        <v>0</v>
      </c>
      <c r="G704" s="10">
        <f t="shared" si="199"/>
        <v>0</v>
      </c>
      <c r="H704" s="10">
        <f t="shared" si="182"/>
        <v>1</v>
      </c>
      <c r="I704" s="10">
        <f t="shared" si="183"/>
        <v>0</v>
      </c>
      <c r="J704" s="10">
        <f t="shared" si="184"/>
        <v>0</v>
      </c>
      <c r="K704" s="10">
        <f t="shared" si="185"/>
        <v>0</v>
      </c>
      <c r="L704" s="10">
        <f t="shared" si="186"/>
        <v>0</v>
      </c>
      <c r="M704" s="10">
        <f t="shared" si="187"/>
        <v>0</v>
      </c>
      <c r="N704" s="10">
        <f t="shared" si="188"/>
        <v>0</v>
      </c>
      <c r="O704" s="10">
        <f t="shared" si="189"/>
        <v>0</v>
      </c>
      <c r="P704" s="10">
        <f t="shared" si="190"/>
        <v>0</v>
      </c>
      <c r="Q704" s="10">
        <f t="shared" si="191"/>
        <v>0</v>
      </c>
      <c r="R704" s="10">
        <f t="shared" si="192"/>
        <v>0</v>
      </c>
      <c r="S704" s="10">
        <f t="shared" si="193"/>
        <v>0</v>
      </c>
      <c r="T704" s="10">
        <f t="shared" si="194"/>
        <v>0</v>
      </c>
      <c r="U704" s="10">
        <f t="shared" si="195"/>
        <v>0</v>
      </c>
      <c r="V704" s="10">
        <f t="shared" si="196"/>
        <v>0</v>
      </c>
    </row>
    <row r="705" spans="1:22" x14ac:dyDescent="0.2">
      <c r="A705" s="32">
        <v>30</v>
      </c>
      <c r="B705" s="33">
        <v>0.16666666666666699</v>
      </c>
      <c r="C705" s="32">
        <f>'0800z'!E39</f>
        <v>5</v>
      </c>
      <c r="D705" s="32">
        <f>'0800z'!F39</f>
        <v>10</v>
      </c>
      <c r="E705" s="32">
        <f t="shared" si="197"/>
        <v>50</v>
      </c>
      <c r="F705" s="10">
        <f t="shared" si="198"/>
        <v>0</v>
      </c>
      <c r="G705" s="10">
        <f t="shared" si="199"/>
        <v>0</v>
      </c>
      <c r="H705" s="10">
        <f t="shared" si="182"/>
        <v>1</v>
      </c>
      <c r="I705" s="10">
        <f t="shared" si="183"/>
        <v>0</v>
      </c>
      <c r="J705" s="10">
        <f t="shared" si="184"/>
        <v>0</v>
      </c>
      <c r="K705" s="10">
        <f t="shared" si="185"/>
        <v>0</v>
      </c>
      <c r="L705" s="10">
        <f t="shared" si="186"/>
        <v>0</v>
      </c>
      <c r="M705" s="10">
        <f t="shared" si="187"/>
        <v>0</v>
      </c>
      <c r="N705" s="10">
        <f t="shared" si="188"/>
        <v>0</v>
      </c>
      <c r="O705" s="10">
        <f t="shared" si="189"/>
        <v>0</v>
      </c>
      <c r="P705" s="10">
        <f t="shared" si="190"/>
        <v>0</v>
      </c>
      <c r="Q705" s="10">
        <f t="shared" si="191"/>
        <v>0</v>
      </c>
      <c r="R705" s="10">
        <f t="shared" si="192"/>
        <v>0</v>
      </c>
      <c r="S705" s="10">
        <f t="shared" si="193"/>
        <v>0</v>
      </c>
      <c r="T705" s="10">
        <f t="shared" si="194"/>
        <v>0</v>
      </c>
      <c r="U705" s="10">
        <f t="shared" si="195"/>
        <v>0</v>
      </c>
      <c r="V705" s="10">
        <f t="shared" si="196"/>
        <v>0</v>
      </c>
    </row>
    <row r="706" spans="1:22" x14ac:dyDescent="0.2">
      <c r="A706" s="32">
        <v>30</v>
      </c>
      <c r="B706" s="33">
        <v>0.20833333333333301</v>
      </c>
      <c r="C706" s="32">
        <f>'0900z'!E39</f>
        <v>4</v>
      </c>
      <c r="D706" s="32">
        <f>'0900z'!F39</f>
        <v>10</v>
      </c>
      <c r="E706" s="32">
        <f t="shared" si="197"/>
        <v>40</v>
      </c>
      <c r="F706" s="10">
        <f t="shared" si="198"/>
        <v>0</v>
      </c>
      <c r="G706" s="10">
        <f t="shared" si="199"/>
        <v>0</v>
      </c>
      <c r="H706" s="10">
        <f t="shared" si="182"/>
        <v>1</v>
      </c>
      <c r="I706" s="10">
        <f t="shared" si="183"/>
        <v>0</v>
      </c>
      <c r="J706" s="10">
        <f t="shared" si="184"/>
        <v>0</v>
      </c>
      <c r="K706" s="10">
        <f t="shared" si="185"/>
        <v>0</v>
      </c>
      <c r="L706" s="10">
        <f t="shared" si="186"/>
        <v>0</v>
      </c>
      <c r="M706" s="10">
        <f t="shared" si="187"/>
        <v>0</v>
      </c>
      <c r="N706" s="10">
        <f t="shared" si="188"/>
        <v>0</v>
      </c>
      <c r="O706" s="10">
        <f t="shared" si="189"/>
        <v>0</v>
      </c>
      <c r="P706" s="10">
        <f t="shared" si="190"/>
        <v>0</v>
      </c>
      <c r="Q706" s="10">
        <f t="shared" si="191"/>
        <v>0</v>
      </c>
      <c r="R706" s="10">
        <f t="shared" si="192"/>
        <v>0</v>
      </c>
      <c r="S706" s="10">
        <f t="shared" si="193"/>
        <v>0</v>
      </c>
      <c r="T706" s="10">
        <f t="shared" si="194"/>
        <v>0</v>
      </c>
      <c r="U706" s="10">
        <f t="shared" si="195"/>
        <v>0</v>
      </c>
      <c r="V706" s="10">
        <f t="shared" si="196"/>
        <v>0</v>
      </c>
    </row>
    <row r="707" spans="1:22" x14ac:dyDescent="0.2">
      <c r="A707" s="32">
        <v>30</v>
      </c>
      <c r="B707" s="33">
        <v>0.25</v>
      </c>
      <c r="C707" s="32">
        <f>'1000z'!E39</f>
        <v>5</v>
      </c>
      <c r="D707" s="32">
        <f>'1000z'!F39</f>
        <v>5</v>
      </c>
      <c r="E707" s="32">
        <f t="shared" si="197"/>
        <v>50</v>
      </c>
      <c r="F707" s="10">
        <f t="shared" si="198"/>
        <v>0</v>
      </c>
      <c r="G707" s="10">
        <f t="shared" si="199"/>
        <v>0</v>
      </c>
      <c r="H707" s="10">
        <f t="shared" si="182"/>
        <v>1</v>
      </c>
      <c r="I707" s="10">
        <f t="shared" si="183"/>
        <v>0</v>
      </c>
      <c r="J707" s="10">
        <f t="shared" si="184"/>
        <v>0</v>
      </c>
      <c r="K707" s="10">
        <f t="shared" si="185"/>
        <v>0</v>
      </c>
      <c r="L707" s="10">
        <f t="shared" si="186"/>
        <v>0</v>
      </c>
      <c r="M707" s="10">
        <f t="shared" si="187"/>
        <v>0</v>
      </c>
      <c r="N707" s="10">
        <f t="shared" si="188"/>
        <v>0</v>
      </c>
      <c r="O707" s="10">
        <f t="shared" si="189"/>
        <v>0</v>
      </c>
      <c r="P707" s="10">
        <f t="shared" si="190"/>
        <v>0</v>
      </c>
      <c r="Q707" s="10">
        <f t="shared" si="191"/>
        <v>0</v>
      </c>
      <c r="R707" s="10">
        <f t="shared" si="192"/>
        <v>0</v>
      </c>
      <c r="S707" s="10">
        <f t="shared" si="193"/>
        <v>0</v>
      </c>
      <c r="T707" s="10">
        <f t="shared" si="194"/>
        <v>0</v>
      </c>
      <c r="U707" s="10">
        <f t="shared" si="195"/>
        <v>0</v>
      </c>
      <c r="V707" s="10">
        <f t="shared" si="196"/>
        <v>0</v>
      </c>
    </row>
    <row r="708" spans="1:22" x14ac:dyDescent="0.2">
      <c r="A708" s="32">
        <v>30</v>
      </c>
      <c r="B708" s="33">
        <v>0.29166666666666702</v>
      </c>
      <c r="C708" s="32">
        <f>'1100z'!E39</f>
        <v>0</v>
      </c>
      <c r="D708" s="32">
        <f>'1100z'!F39</f>
        <v>0</v>
      </c>
      <c r="E708" s="32">
        <f t="shared" si="197"/>
        <v>0</v>
      </c>
      <c r="F708" s="10">
        <f t="shared" si="198"/>
        <v>0</v>
      </c>
      <c r="G708" s="10">
        <f t="shared" si="199"/>
        <v>0</v>
      </c>
      <c r="H708" s="10">
        <f t="shared" si="182"/>
        <v>0</v>
      </c>
      <c r="I708" s="10">
        <f t="shared" si="183"/>
        <v>0</v>
      </c>
      <c r="J708" s="10">
        <f t="shared" si="184"/>
        <v>0</v>
      </c>
      <c r="K708" s="10">
        <f t="shared" si="185"/>
        <v>0</v>
      </c>
      <c r="L708" s="10">
        <f t="shared" si="186"/>
        <v>0</v>
      </c>
      <c r="M708" s="10">
        <f t="shared" si="187"/>
        <v>0</v>
      </c>
      <c r="N708" s="10">
        <f t="shared" si="188"/>
        <v>0</v>
      </c>
      <c r="O708" s="10">
        <f t="shared" si="189"/>
        <v>0</v>
      </c>
      <c r="P708" s="10">
        <f t="shared" si="190"/>
        <v>0</v>
      </c>
      <c r="Q708" s="10">
        <f t="shared" si="191"/>
        <v>0</v>
      </c>
      <c r="R708" s="10">
        <f t="shared" si="192"/>
        <v>0</v>
      </c>
      <c r="S708" s="10">
        <f t="shared" si="193"/>
        <v>0</v>
      </c>
      <c r="T708" s="10">
        <f t="shared" si="194"/>
        <v>0</v>
      </c>
      <c r="U708" s="10">
        <f t="shared" si="195"/>
        <v>0</v>
      </c>
      <c r="V708" s="10">
        <f t="shared" si="196"/>
        <v>0</v>
      </c>
    </row>
    <row r="709" spans="1:22" x14ac:dyDescent="0.2">
      <c r="A709" s="32">
        <v>30</v>
      </c>
      <c r="B709" s="33">
        <v>0.33333333333333298</v>
      </c>
      <c r="C709" s="32">
        <f>'1200z'!E39</f>
        <v>0</v>
      </c>
      <c r="D709" s="32">
        <f>'1200z'!F39</f>
        <v>0</v>
      </c>
      <c r="E709" s="32">
        <f t="shared" si="197"/>
        <v>0</v>
      </c>
      <c r="F709" s="10">
        <f t="shared" si="198"/>
        <v>0</v>
      </c>
      <c r="G709" s="10">
        <f t="shared" si="199"/>
        <v>0</v>
      </c>
      <c r="H709" s="10">
        <f t="shared" si="182"/>
        <v>0</v>
      </c>
      <c r="I709" s="10">
        <f t="shared" si="183"/>
        <v>0</v>
      </c>
      <c r="J709" s="10">
        <f t="shared" si="184"/>
        <v>0</v>
      </c>
      <c r="K709" s="10">
        <f t="shared" si="185"/>
        <v>0</v>
      </c>
      <c r="L709" s="10">
        <f t="shared" si="186"/>
        <v>0</v>
      </c>
      <c r="M709" s="10">
        <f t="shared" si="187"/>
        <v>0</v>
      </c>
      <c r="N709" s="10">
        <f t="shared" si="188"/>
        <v>0</v>
      </c>
      <c r="O709" s="10">
        <f t="shared" si="189"/>
        <v>0</v>
      </c>
      <c r="P709" s="10">
        <f t="shared" si="190"/>
        <v>0</v>
      </c>
      <c r="Q709" s="10">
        <f t="shared" si="191"/>
        <v>0</v>
      </c>
      <c r="R709" s="10">
        <f t="shared" si="192"/>
        <v>0</v>
      </c>
      <c r="S709" s="10">
        <f t="shared" si="193"/>
        <v>0</v>
      </c>
      <c r="T709" s="10">
        <f t="shared" si="194"/>
        <v>0</v>
      </c>
      <c r="U709" s="10">
        <f t="shared" si="195"/>
        <v>0</v>
      </c>
      <c r="V709" s="10">
        <f t="shared" si="196"/>
        <v>0</v>
      </c>
    </row>
    <row r="710" spans="1:22" x14ac:dyDescent="0.2">
      <c r="A710" s="32">
        <v>30</v>
      </c>
      <c r="B710" s="33">
        <v>0.375</v>
      </c>
      <c r="C710" s="32">
        <f>'1300z'!E39</f>
        <v>7</v>
      </c>
      <c r="D710" s="32">
        <f>'1300z'!F39</f>
        <v>10</v>
      </c>
      <c r="E710" s="32">
        <f t="shared" si="197"/>
        <v>70</v>
      </c>
      <c r="F710" s="10">
        <f t="shared" si="198"/>
        <v>0</v>
      </c>
      <c r="G710" s="10">
        <f t="shared" si="199"/>
        <v>0</v>
      </c>
      <c r="H710" s="10">
        <f t="shared" ref="H710:H724" si="200">IF(E710&gt;33.75,IF(E710&lt;=56.25,1,0),0)</f>
        <v>0</v>
      </c>
      <c r="I710" s="10">
        <f t="shared" ref="I710:I724" si="201">IF(E710&gt;56.25,IF(E710&lt;=78.75,1,0),0)</f>
        <v>1</v>
      </c>
      <c r="J710" s="10">
        <f t="shared" ref="J710:J724" si="202">IF(E710&gt;78.75,IF(E710&lt;=101.25,1,0),0)</f>
        <v>0</v>
      </c>
      <c r="K710" s="10">
        <f t="shared" ref="K710:K724" si="203">IF(E710&gt;101.25,IF(E710&lt;=123.75,1,0),0)</f>
        <v>0</v>
      </c>
      <c r="L710" s="10">
        <f t="shared" ref="L710:L724" si="204">IF(E710&gt;123.75,IF(E710&lt;=146.25,1,0),0)</f>
        <v>0</v>
      </c>
      <c r="M710" s="10">
        <f t="shared" ref="M710:M724" si="205">IF(E710&gt;146.25,IF(E710&lt;=168.75,1,0),0)</f>
        <v>0</v>
      </c>
      <c r="N710" s="10">
        <f t="shared" ref="N710:N724" si="206">IF(E710&gt;168.75,IF(E710&lt;=191.25,1,0),0)</f>
        <v>0</v>
      </c>
      <c r="O710" s="10">
        <f t="shared" ref="O710:O724" si="207">IF(E710&gt;191.25,IF(E710&lt;=213.75,1,0),0)</f>
        <v>0</v>
      </c>
      <c r="P710" s="10">
        <f t="shared" ref="P710:P724" si="208">IF(E710&gt;213.75,IF(E710&lt;=236.25,1,0),0)</f>
        <v>0</v>
      </c>
      <c r="Q710" s="10">
        <f t="shared" ref="Q710:Q724" si="209">IF(E710&gt;236.25,IF(E710&lt;=258.75,1,0),0)</f>
        <v>0</v>
      </c>
      <c r="R710" s="10">
        <f t="shared" ref="R710:R724" si="210">IF(E710&gt;258.75,IF(E710&lt;=281.25,1,0),0)</f>
        <v>0</v>
      </c>
      <c r="S710" s="10">
        <f t="shared" ref="S710:S724" si="211">IF(E710&gt;281.25,IF(E710&lt;=303.75,1,0),0)</f>
        <v>0</v>
      </c>
      <c r="T710" s="10">
        <f t="shared" ref="T710:T724" si="212">IF(E710&gt;303.75,IF(E710&lt;=326.25,1,0),0)</f>
        <v>0</v>
      </c>
      <c r="U710" s="10">
        <f t="shared" ref="U710:U724" si="213">IF(E710&gt;326.25,IF(E710&lt;=348.75,1,0),0)</f>
        <v>0</v>
      </c>
      <c r="V710" s="10">
        <f t="shared" ref="V710:V724" si="214">IF(E710&gt;348.75,IF(E710&lt;=360,1,0),0)</f>
        <v>0</v>
      </c>
    </row>
    <row r="711" spans="1:22" x14ac:dyDescent="0.2">
      <c r="A711" s="32">
        <v>30</v>
      </c>
      <c r="B711" s="33">
        <v>0.41666666666666702</v>
      </c>
      <c r="C711" s="32">
        <f>'1400z'!E39</f>
        <v>5</v>
      </c>
      <c r="D711" s="32">
        <f>'1400z'!F39</f>
        <v>10</v>
      </c>
      <c r="E711" s="32">
        <f t="shared" ref="E711:E724" si="215">(C711*10)</f>
        <v>50</v>
      </c>
      <c r="F711" s="10">
        <f t="shared" ref="F711:F724" si="216">IF(E711&gt;0,IF(E711&lt;=11.25,1,0),0)</f>
        <v>0</v>
      </c>
      <c r="G711" s="10">
        <f t="shared" ref="G711:G724" si="217">IF(E711&gt;11.25,IF(E711&lt;=33.75,1,0),0)</f>
        <v>0</v>
      </c>
      <c r="H711" s="10">
        <f t="shared" si="200"/>
        <v>1</v>
      </c>
      <c r="I711" s="10">
        <f t="shared" si="201"/>
        <v>0</v>
      </c>
      <c r="J711" s="10">
        <f t="shared" si="202"/>
        <v>0</v>
      </c>
      <c r="K711" s="10">
        <f t="shared" si="203"/>
        <v>0</v>
      </c>
      <c r="L711" s="10">
        <f t="shared" si="204"/>
        <v>0</v>
      </c>
      <c r="M711" s="10">
        <f t="shared" si="205"/>
        <v>0</v>
      </c>
      <c r="N711" s="10">
        <f t="shared" si="206"/>
        <v>0</v>
      </c>
      <c r="O711" s="10">
        <f t="shared" si="207"/>
        <v>0</v>
      </c>
      <c r="P711" s="10">
        <f t="shared" si="208"/>
        <v>0</v>
      </c>
      <c r="Q711" s="10">
        <f t="shared" si="209"/>
        <v>0</v>
      </c>
      <c r="R711" s="10">
        <f t="shared" si="210"/>
        <v>0</v>
      </c>
      <c r="S711" s="10">
        <f t="shared" si="211"/>
        <v>0</v>
      </c>
      <c r="T711" s="10">
        <f t="shared" si="212"/>
        <v>0</v>
      </c>
      <c r="U711" s="10">
        <f t="shared" si="213"/>
        <v>0</v>
      </c>
      <c r="V711" s="10">
        <f t="shared" si="214"/>
        <v>0</v>
      </c>
    </row>
    <row r="712" spans="1:22" x14ac:dyDescent="0.2">
      <c r="A712" s="32">
        <v>30</v>
      </c>
      <c r="B712" s="33">
        <v>0.45833333333333298</v>
      </c>
      <c r="C712" s="32">
        <f>'1500z'!E39</f>
        <v>4</v>
      </c>
      <c r="D712" s="32">
        <f>'1500z'!F39</f>
        <v>12</v>
      </c>
      <c r="E712" s="32">
        <f t="shared" si="215"/>
        <v>40</v>
      </c>
      <c r="F712" s="10">
        <f t="shared" si="216"/>
        <v>0</v>
      </c>
      <c r="G712" s="10">
        <f t="shared" si="217"/>
        <v>0</v>
      </c>
      <c r="H712" s="10">
        <f t="shared" si="200"/>
        <v>1</v>
      </c>
      <c r="I712" s="10">
        <f t="shared" si="201"/>
        <v>0</v>
      </c>
      <c r="J712" s="10">
        <f t="shared" si="202"/>
        <v>0</v>
      </c>
      <c r="K712" s="10">
        <f t="shared" si="203"/>
        <v>0</v>
      </c>
      <c r="L712" s="10">
        <f t="shared" si="204"/>
        <v>0</v>
      </c>
      <c r="M712" s="10">
        <f t="shared" si="205"/>
        <v>0</v>
      </c>
      <c r="N712" s="10">
        <f t="shared" si="206"/>
        <v>0</v>
      </c>
      <c r="O712" s="10">
        <f t="shared" si="207"/>
        <v>0</v>
      </c>
      <c r="P712" s="10">
        <f t="shared" si="208"/>
        <v>0</v>
      </c>
      <c r="Q712" s="10">
        <f t="shared" si="209"/>
        <v>0</v>
      </c>
      <c r="R712" s="10">
        <f t="shared" si="210"/>
        <v>0</v>
      </c>
      <c r="S712" s="10">
        <f t="shared" si="211"/>
        <v>0</v>
      </c>
      <c r="T712" s="10">
        <f t="shared" si="212"/>
        <v>0</v>
      </c>
      <c r="U712" s="10">
        <f t="shared" si="213"/>
        <v>0</v>
      </c>
      <c r="V712" s="10">
        <f t="shared" si="214"/>
        <v>0</v>
      </c>
    </row>
    <row r="713" spans="1:22" x14ac:dyDescent="0.2">
      <c r="A713" s="32">
        <v>30</v>
      </c>
      <c r="B713" s="33">
        <v>0.5</v>
      </c>
      <c r="C713" s="32">
        <f>'1600z'!E39</f>
        <v>8</v>
      </c>
      <c r="D713" s="32">
        <f>'1600z'!F39</f>
        <v>12</v>
      </c>
      <c r="E713" s="32">
        <f t="shared" si="215"/>
        <v>80</v>
      </c>
      <c r="F713" s="10">
        <f t="shared" si="216"/>
        <v>0</v>
      </c>
      <c r="G713" s="10">
        <f t="shared" si="217"/>
        <v>0</v>
      </c>
      <c r="H713" s="10">
        <f t="shared" si="200"/>
        <v>0</v>
      </c>
      <c r="I713" s="10">
        <f t="shared" si="201"/>
        <v>0</v>
      </c>
      <c r="J713" s="10">
        <f t="shared" si="202"/>
        <v>1</v>
      </c>
      <c r="K713" s="10">
        <f t="shared" si="203"/>
        <v>0</v>
      </c>
      <c r="L713" s="10">
        <f t="shared" si="204"/>
        <v>0</v>
      </c>
      <c r="M713" s="10">
        <f t="shared" si="205"/>
        <v>0</v>
      </c>
      <c r="N713" s="10">
        <f t="shared" si="206"/>
        <v>0</v>
      </c>
      <c r="O713" s="10">
        <f t="shared" si="207"/>
        <v>0</v>
      </c>
      <c r="P713" s="10">
        <f t="shared" si="208"/>
        <v>0</v>
      </c>
      <c r="Q713" s="10">
        <f t="shared" si="209"/>
        <v>0</v>
      </c>
      <c r="R713" s="10">
        <f t="shared" si="210"/>
        <v>0</v>
      </c>
      <c r="S713" s="10">
        <f t="shared" si="211"/>
        <v>0</v>
      </c>
      <c r="T713" s="10">
        <f t="shared" si="212"/>
        <v>0</v>
      </c>
      <c r="U713" s="10">
        <f t="shared" si="213"/>
        <v>0</v>
      </c>
      <c r="V713" s="10">
        <f t="shared" si="214"/>
        <v>0</v>
      </c>
    </row>
    <row r="714" spans="1:22" x14ac:dyDescent="0.2">
      <c r="A714" s="32">
        <v>30</v>
      </c>
      <c r="B714" s="33">
        <v>0.54166666666666696</v>
      </c>
      <c r="C714" s="32">
        <f>'1700z'!E39</f>
        <v>10</v>
      </c>
      <c r="D714" s="32">
        <f>'1700z'!F39</f>
        <v>14</v>
      </c>
      <c r="E714" s="32">
        <f t="shared" si="215"/>
        <v>100</v>
      </c>
      <c r="F714" s="10">
        <f t="shared" si="216"/>
        <v>0</v>
      </c>
      <c r="G714" s="10">
        <f t="shared" si="217"/>
        <v>0</v>
      </c>
      <c r="H714" s="10">
        <f t="shared" si="200"/>
        <v>0</v>
      </c>
      <c r="I714" s="10">
        <f t="shared" si="201"/>
        <v>0</v>
      </c>
      <c r="J714" s="10">
        <f t="shared" si="202"/>
        <v>1</v>
      </c>
      <c r="K714" s="10">
        <f t="shared" si="203"/>
        <v>0</v>
      </c>
      <c r="L714" s="10">
        <f t="shared" si="204"/>
        <v>0</v>
      </c>
      <c r="M714" s="10">
        <f t="shared" si="205"/>
        <v>0</v>
      </c>
      <c r="N714" s="10">
        <f t="shared" si="206"/>
        <v>0</v>
      </c>
      <c r="O714" s="10">
        <f t="shared" si="207"/>
        <v>0</v>
      </c>
      <c r="P714" s="10">
        <f t="shared" si="208"/>
        <v>0</v>
      </c>
      <c r="Q714" s="10">
        <f t="shared" si="209"/>
        <v>0</v>
      </c>
      <c r="R714" s="10">
        <f t="shared" si="210"/>
        <v>0</v>
      </c>
      <c r="S714" s="10">
        <f t="shared" si="211"/>
        <v>0</v>
      </c>
      <c r="T714" s="10">
        <f t="shared" si="212"/>
        <v>0</v>
      </c>
      <c r="U714" s="10">
        <f t="shared" si="213"/>
        <v>0</v>
      </c>
      <c r="V714" s="10">
        <f t="shared" si="214"/>
        <v>0</v>
      </c>
    </row>
    <row r="715" spans="1:22" x14ac:dyDescent="0.2">
      <c r="A715" s="32">
        <v>30</v>
      </c>
      <c r="B715" s="33">
        <v>0.58333333333333304</v>
      </c>
      <c r="C715" s="32">
        <f>'1800z'!E39</f>
        <v>9</v>
      </c>
      <c r="D715" s="32">
        <f>'1800z'!F39</f>
        <v>13</v>
      </c>
      <c r="E715" s="32">
        <f t="shared" si="215"/>
        <v>90</v>
      </c>
      <c r="F715" s="10">
        <f t="shared" si="216"/>
        <v>0</v>
      </c>
      <c r="G715" s="10">
        <f t="shared" si="217"/>
        <v>0</v>
      </c>
      <c r="H715" s="10">
        <f t="shared" si="200"/>
        <v>0</v>
      </c>
      <c r="I715" s="10">
        <f t="shared" si="201"/>
        <v>0</v>
      </c>
      <c r="J715" s="10">
        <f t="shared" si="202"/>
        <v>1</v>
      </c>
      <c r="K715" s="10">
        <f t="shared" si="203"/>
        <v>0</v>
      </c>
      <c r="L715" s="10">
        <f t="shared" si="204"/>
        <v>0</v>
      </c>
      <c r="M715" s="10">
        <f t="shared" si="205"/>
        <v>0</v>
      </c>
      <c r="N715" s="10">
        <f t="shared" si="206"/>
        <v>0</v>
      </c>
      <c r="O715" s="10">
        <f t="shared" si="207"/>
        <v>0</v>
      </c>
      <c r="P715" s="10">
        <f t="shared" si="208"/>
        <v>0</v>
      </c>
      <c r="Q715" s="10">
        <f t="shared" si="209"/>
        <v>0</v>
      </c>
      <c r="R715" s="10">
        <f t="shared" si="210"/>
        <v>0</v>
      </c>
      <c r="S715" s="10">
        <f t="shared" si="211"/>
        <v>0</v>
      </c>
      <c r="T715" s="10">
        <f t="shared" si="212"/>
        <v>0</v>
      </c>
      <c r="U715" s="10">
        <f t="shared" si="213"/>
        <v>0</v>
      </c>
      <c r="V715" s="10">
        <f t="shared" si="214"/>
        <v>0</v>
      </c>
    </row>
    <row r="716" spans="1:22" x14ac:dyDescent="0.2">
      <c r="A716" s="32">
        <v>30</v>
      </c>
      <c r="B716" s="33">
        <v>0.625</v>
      </c>
      <c r="C716" s="32">
        <f>'1900z'!E39</f>
        <v>10</v>
      </c>
      <c r="D716" s="32">
        <f>'1900z'!F39</f>
        <v>18</v>
      </c>
      <c r="E716" s="32">
        <f t="shared" si="215"/>
        <v>100</v>
      </c>
      <c r="F716" s="10">
        <f t="shared" si="216"/>
        <v>0</v>
      </c>
      <c r="G716" s="10">
        <f t="shared" si="217"/>
        <v>0</v>
      </c>
      <c r="H716" s="10">
        <f t="shared" si="200"/>
        <v>0</v>
      </c>
      <c r="I716" s="10">
        <f t="shared" si="201"/>
        <v>0</v>
      </c>
      <c r="J716" s="10">
        <f t="shared" si="202"/>
        <v>1</v>
      </c>
      <c r="K716" s="10">
        <f t="shared" si="203"/>
        <v>0</v>
      </c>
      <c r="L716" s="10">
        <f t="shared" si="204"/>
        <v>0</v>
      </c>
      <c r="M716" s="10">
        <f t="shared" si="205"/>
        <v>0</v>
      </c>
      <c r="N716" s="10">
        <f t="shared" si="206"/>
        <v>0</v>
      </c>
      <c r="O716" s="10">
        <f t="shared" si="207"/>
        <v>0</v>
      </c>
      <c r="P716" s="10">
        <f t="shared" si="208"/>
        <v>0</v>
      </c>
      <c r="Q716" s="10">
        <f t="shared" si="209"/>
        <v>0</v>
      </c>
      <c r="R716" s="10">
        <f t="shared" si="210"/>
        <v>0</v>
      </c>
      <c r="S716" s="10">
        <f t="shared" si="211"/>
        <v>0</v>
      </c>
      <c r="T716" s="10">
        <f t="shared" si="212"/>
        <v>0</v>
      </c>
      <c r="U716" s="10">
        <f t="shared" si="213"/>
        <v>0</v>
      </c>
      <c r="V716" s="10">
        <f t="shared" si="214"/>
        <v>0</v>
      </c>
    </row>
    <row r="717" spans="1:22" x14ac:dyDescent="0.2">
      <c r="A717" s="32">
        <v>30</v>
      </c>
      <c r="B717" s="33">
        <v>0.66666666666666696</v>
      </c>
      <c r="C717" s="32">
        <f>'2000z'!E39</f>
        <v>10</v>
      </c>
      <c r="D717" s="32">
        <f>'2000z'!F39</f>
        <v>13</v>
      </c>
      <c r="E717" s="32">
        <f t="shared" si="215"/>
        <v>100</v>
      </c>
      <c r="F717" s="10">
        <f t="shared" si="216"/>
        <v>0</v>
      </c>
      <c r="G717" s="10">
        <f t="shared" si="217"/>
        <v>0</v>
      </c>
      <c r="H717" s="10">
        <f t="shared" si="200"/>
        <v>0</v>
      </c>
      <c r="I717" s="10">
        <f t="shared" si="201"/>
        <v>0</v>
      </c>
      <c r="J717" s="10">
        <f t="shared" si="202"/>
        <v>1</v>
      </c>
      <c r="K717" s="10">
        <f t="shared" si="203"/>
        <v>0</v>
      </c>
      <c r="L717" s="10">
        <f t="shared" si="204"/>
        <v>0</v>
      </c>
      <c r="M717" s="10">
        <f t="shared" si="205"/>
        <v>0</v>
      </c>
      <c r="N717" s="10">
        <f t="shared" si="206"/>
        <v>0</v>
      </c>
      <c r="O717" s="10">
        <f t="shared" si="207"/>
        <v>0</v>
      </c>
      <c r="P717" s="10">
        <f t="shared" si="208"/>
        <v>0</v>
      </c>
      <c r="Q717" s="10">
        <f t="shared" si="209"/>
        <v>0</v>
      </c>
      <c r="R717" s="10">
        <f t="shared" si="210"/>
        <v>0</v>
      </c>
      <c r="S717" s="10">
        <f t="shared" si="211"/>
        <v>0</v>
      </c>
      <c r="T717" s="10">
        <f t="shared" si="212"/>
        <v>0</v>
      </c>
      <c r="U717" s="10">
        <f t="shared" si="213"/>
        <v>0</v>
      </c>
      <c r="V717" s="10">
        <f t="shared" si="214"/>
        <v>0</v>
      </c>
    </row>
    <row r="718" spans="1:22" x14ac:dyDescent="0.2">
      <c r="A718" s="32">
        <v>30</v>
      </c>
      <c r="B718" s="33">
        <v>0.70833333333333304</v>
      </c>
      <c r="C718" s="32">
        <f>'2100z'!E39</f>
        <v>7</v>
      </c>
      <c r="D718" s="32">
        <f>'2100z'!F39</f>
        <v>13</v>
      </c>
      <c r="E718" s="32">
        <f t="shared" si="215"/>
        <v>70</v>
      </c>
      <c r="F718" s="10">
        <f t="shared" si="216"/>
        <v>0</v>
      </c>
      <c r="G718" s="10">
        <f t="shared" si="217"/>
        <v>0</v>
      </c>
      <c r="H718" s="10">
        <f t="shared" si="200"/>
        <v>0</v>
      </c>
      <c r="I718" s="10">
        <f t="shared" si="201"/>
        <v>1</v>
      </c>
      <c r="J718" s="10">
        <f t="shared" si="202"/>
        <v>0</v>
      </c>
      <c r="K718" s="10">
        <f t="shared" si="203"/>
        <v>0</v>
      </c>
      <c r="L718" s="10">
        <f t="shared" si="204"/>
        <v>0</v>
      </c>
      <c r="M718" s="10">
        <f t="shared" si="205"/>
        <v>0</v>
      </c>
      <c r="N718" s="10">
        <f t="shared" si="206"/>
        <v>0</v>
      </c>
      <c r="O718" s="10">
        <f t="shared" si="207"/>
        <v>0</v>
      </c>
      <c r="P718" s="10">
        <f t="shared" si="208"/>
        <v>0</v>
      </c>
      <c r="Q718" s="10">
        <f t="shared" si="209"/>
        <v>0</v>
      </c>
      <c r="R718" s="10">
        <f t="shared" si="210"/>
        <v>0</v>
      </c>
      <c r="S718" s="10">
        <f t="shared" si="211"/>
        <v>0</v>
      </c>
      <c r="T718" s="10">
        <f t="shared" si="212"/>
        <v>0</v>
      </c>
      <c r="U718" s="10">
        <f t="shared" si="213"/>
        <v>0</v>
      </c>
      <c r="V718" s="10">
        <f t="shared" si="214"/>
        <v>0</v>
      </c>
    </row>
    <row r="719" spans="1:22" x14ac:dyDescent="0.2">
      <c r="A719" s="32">
        <v>30</v>
      </c>
      <c r="B719" s="33">
        <v>0.75</v>
      </c>
      <c r="C719" s="32">
        <f>'2200z'!E39</f>
        <v>7</v>
      </c>
      <c r="D719" s="32">
        <f>'2200z'!F39</f>
        <v>15</v>
      </c>
      <c r="E719" s="32">
        <f t="shared" si="215"/>
        <v>70</v>
      </c>
      <c r="F719" s="10">
        <f t="shared" si="216"/>
        <v>0</v>
      </c>
      <c r="G719" s="10">
        <f t="shared" si="217"/>
        <v>0</v>
      </c>
      <c r="H719" s="10">
        <f t="shared" si="200"/>
        <v>0</v>
      </c>
      <c r="I719" s="10">
        <f t="shared" si="201"/>
        <v>1</v>
      </c>
      <c r="J719" s="10">
        <f t="shared" si="202"/>
        <v>0</v>
      </c>
      <c r="K719" s="10">
        <f t="shared" si="203"/>
        <v>0</v>
      </c>
      <c r="L719" s="10">
        <f t="shared" si="204"/>
        <v>0</v>
      </c>
      <c r="M719" s="10">
        <f t="shared" si="205"/>
        <v>0</v>
      </c>
      <c r="N719" s="10">
        <f t="shared" si="206"/>
        <v>0</v>
      </c>
      <c r="O719" s="10">
        <f t="shared" si="207"/>
        <v>0</v>
      </c>
      <c r="P719" s="10">
        <f t="shared" si="208"/>
        <v>0</v>
      </c>
      <c r="Q719" s="10">
        <f t="shared" si="209"/>
        <v>0</v>
      </c>
      <c r="R719" s="10">
        <f t="shared" si="210"/>
        <v>0</v>
      </c>
      <c r="S719" s="10">
        <f t="shared" si="211"/>
        <v>0</v>
      </c>
      <c r="T719" s="10">
        <f t="shared" si="212"/>
        <v>0</v>
      </c>
      <c r="U719" s="10">
        <f t="shared" si="213"/>
        <v>0</v>
      </c>
      <c r="V719" s="10">
        <f t="shared" si="214"/>
        <v>0</v>
      </c>
    </row>
    <row r="720" spans="1:22" x14ac:dyDescent="0.2">
      <c r="A720" s="32">
        <v>30</v>
      </c>
      <c r="B720" s="33">
        <v>0.79166666666666696</v>
      </c>
      <c r="C720" s="32">
        <f>'2300z'!E39</f>
        <v>7</v>
      </c>
      <c r="D720" s="32">
        <f>'2300z'!F39</f>
        <v>8</v>
      </c>
      <c r="E720" s="32">
        <f t="shared" si="215"/>
        <v>70</v>
      </c>
      <c r="F720" s="10">
        <f t="shared" si="216"/>
        <v>0</v>
      </c>
      <c r="G720" s="10">
        <f t="shared" si="217"/>
        <v>0</v>
      </c>
      <c r="H720" s="10">
        <f t="shared" si="200"/>
        <v>0</v>
      </c>
      <c r="I720" s="10">
        <f t="shared" si="201"/>
        <v>1</v>
      </c>
      <c r="J720" s="10">
        <f t="shared" si="202"/>
        <v>0</v>
      </c>
      <c r="K720" s="10">
        <f t="shared" si="203"/>
        <v>0</v>
      </c>
      <c r="L720" s="10">
        <f t="shared" si="204"/>
        <v>0</v>
      </c>
      <c r="M720" s="10">
        <f t="shared" si="205"/>
        <v>0</v>
      </c>
      <c r="N720" s="10">
        <f t="shared" si="206"/>
        <v>0</v>
      </c>
      <c r="O720" s="10">
        <f t="shared" si="207"/>
        <v>0</v>
      </c>
      <c r="P720" s="10">
        <f t="shared" si="208"/>
        <v>0</v>
      </c>
      <c r="Q720" s="10">
        <f t="shared" si="209"/>
        <v>0</v>
      </c>
      <c r="R720" s="10">
        <f t="shared" si="210"/>
        <v>0</v>
      </c>
      <c r="S720" s="10">
        <f t="shared" si="211"/>
        <v>0</v>
      </c>
      <c r="T720" s="10">
        <f t="shared" si="212"/>
        <v>0</v>
      </c>
      <c r="U720" s="10">
        <f t="shared" si="213"/>
        <v>0</v>
      </c>
      <c r="V720" s="10">
        <f t="shared" si="214"/>
        <v>0</v>
      </c>
    </row>
    <row r="721" spans="1:22" x14ac:dyDescent="0.2">
      <c r="A721" s="32">
        <v>30</v>
      </c>
      <c r="B721" s="33">
        <v>0.83333333333333304</v>
      </c>
      <c r="C721" s="32">
        <f>'0000z'!E39</f>
        <v>6</v>
      </c>
      <c r="D721" s="32">
        <f>'0000z'!F39</f>
        <v>16</v>
      </c>
      <c r="E721" s="32">
        <f t="shared" si="215"/>
        <v>60</v>
      </c>
      <c r="F721" s="10">
        <f t="shared" si="216"/>
        <v>0</v>
      </c>
      <c r="G721" s="10">
        <f t="shared" si="217"/>
        <v>0</v>
      </c>
      <c r="H721" s="10">
        <f t="shared" si="200"/>
        <v>0</v>
      </c>
      <c r="I721" s="10">
        <f t="shared" si="201"/>
        <v>1</v>
      </c>
      <c r="J721" s="10">
        <f t="shared" si="202"/>
        <v>0</v>
      </c>
      <c r="K721" s="10">
        <f t="shared" si="203"/>
        <v>0</v>
      </c>
      <c r="L721" s="10">
        <f t="shared" si="204"/>
        <v>0</v>
      </c>
      <c r="M721" s="10">
        <f t="shared" si="205"/>
        <v>0</v>
      </c>
      <c r="N721" s="10">
        <f t="shared" si="206"/>
        <v>0</v>
      </c>
      <c r="O721" s="10">
        <f t="shared" si="207"/>
        <v>0</v>
      </c>
      <c r="P721" s="10">
        <f t="shared" si="208"/>
        <v>0</v>
      </c>
      <c r="Q721" s="10">
        <f t="shared" si="209"/>
        <v>0</v>
      </c>
      <c r="R721" s="10">
        <f t="shared" si="210"/>
        <v>0</v>
      </c>
      <c r="S721" s="10">
        <f t="shared" si="211"/>
        <v>0</v>
      </c>
      <c r="T721" s="10">
        <f t="shared" si="212"/>
        <v>0</v>
      </c>
      <c r="U721" s="10">
        <f t="shared" si="213"/>
        <v>0</v>
      </c>
      <c r="V721" s="10">
        <f t="shared" si="214"/>
        <v>0</v>
      </c>
    </row>
    <row r="722" spans="1:22" x14ac:dyDescent="0.2">
      <c r="A722" s="32">
        <v>30</v>
      </c>
      <c r="B722" s="33">
        <v>0.875</v>
      </c>
      <c r="C722" s="32">
        <f>'0100z'!E39</f>
        <v>7</v>
      </c>
      <c r="D722" s="32">
        <f>'0100z'!F39</f>
        <v>11</v>
      </c>
      <c r="E722" s="32">
        <f t="shared" si="215"/>
        <v>70</v>
      </c>
      <c r="F722" s="10">
        <f t="shared" si="216"/>
        <v>0</v>
      </c>
      <c r="G722" s="10">
        <f t="shared" si="217"/>
        <v>0</v>
      </c>
      <c r="H722" s="10">
        <f t="shared" si="200"/>
        <v>0</v>
      </c>
      <c r="I722" s="10">
        <f t="shared" si="201"/>
        <v>1</v>
      </c>
      <c r="J722" s="10">
        <f t="shared" si="202"/>
        <v>0</v>
      </c>
      <c r="K722" s="10">
        <f t="shared" si="203"/>
        <v>0</v>
      </c>
      <c r="L722" s="10">
        <f t="shared" si="204"/>
        <v>0</v>
      </c>
      <c r="M722" s="10">
        <f t="shared" si="205"/>
        <v>0</v>
      </c>
      <c r="N722" s="10">
        <f t="shared" si="206"/>
        <v>0</v>
      </c>
      <c r="O722" s="10">
        <f t="shared" si="207"/>
        <v>0</v>
      </c>
      <c r="P722" s="10">
        <f t="shared" si="208"/>
        <v>0</v>
      </c>
      <c r="Q722" s="10">
        <f t="shared" si="209"/>
        <v>0</v>
      </c>
      <c r="R722" s="10">
        <f t="shared" si="210"/>
        <v>0</v>
      </c>
      <c r="S722" s="10">
        <f t="shared" si="211"/>
        <v>0</v>
      </c>
      <c r="T722" s="10">
        <f t="shared" si="212"/>
        <v>0</v>
      </c>
      <c r="U722" s="10">
        <f t="shared" si="213"/>
        <v>0</v>
      </c>
      <c r="V722" s="10">
        <f t="shared" si="214"/>
        <v>0</v>
      </c>
    </row>
    <row r="723" spans="1:22" x14ac:dyDescent="0.2">
      <c r="A723" s="32">
        <v>30</v>
      </c>
      <c r="B723" s="33">
        <v>0.91666666666666696</v>
      </c>
      <c r="C723" s="32">
        <f>'0200z'!E39</f>
        <v>8</v>
      </c>
      <c r="D723" s="32">
        <f>'0200z'!F39</f>
        <v>15</v>
      </c>
      <c r="E723" s="32">
        <f t="shared" si="215"/>
        <v>80</v>
      </c>
      <c r="F723" s="10">
        <f t="shared" si="216"/>
        <v>0</v>
      </c>
      <c r="G723" s="10">
        <f t="shared" si="217"/>
        <v>0</v>
      </c>
      <c r="H723" s="10">
        <f t="shared" si="200"/>
        <v>0</v>
      </c>
      <c r="I723" s="10">
        <f t="shared" si="201"/>
        <v>0</v>
      </c>
      <c r="J723" s="10">
        <f t="shared" si="202"/>
        <v>1</v>
      </c>
      <c r="K723" s="10">
        <f t="shared" si="203"/>
        <v>0</v>
      </c>
      <c r="L723" s="10">
        <f t="shared" si="204"/>
        <v>0</v>
      </c>
      <c r="M723" s="10">
        <f t="shared" si="205"/>
        <v>0</v>
      </c>
      <c r="N723" s="10">
        <f t="shared" si="206"/>
        <v>0</v>
      </c>
      <c r="O723" s="10">
        <f t="shared" si="207"/>
        <v>0</v>
      </c>
      <c r="P723" s="10">
        <f t="shared" si="208"/>
        <v>0</v>
      </c>
      <c r="Q723" s="10">
        <f t="shared" si="209"/>
        <v>0</v>
      </c>
      <c r="R723" s="10">
        <f t="shared" si="210"/>
        <v>0</v>
      </c>
      <c r="S723" s="10">
        <f t="shared" si="211"/>
        <v>0</v>
      </c>
      <c r="T723" s="10">
        <f t="shared" si="212"/>
        <v>0</v>
      </c>
      <c r="U723" s="10">
        <f t="shared" si="213"/>
        <v>0</v>
      </c>
      <c r="V723" s="10">
        <f t="shared" si="214"/>
        <v>0</v>
      </c>
    </row>
    <row r="724" spans="1:22" x14ac:dyDescent="0.2">
      <c r="A724" s="32">
        <v>30</v>
      </c>
      <c r="B724" s="33">
        <v>0.95833333333333304</v>
      </c>
      <c r="C724" s="32">
        <f>'0300z'!E39</f>
        <v>7</v>
      </c>
      <c r="D724" s="32">
        <f>'0300z'!F39</f>
        <v>11</v>
      </c>
      <c r="E724" s="32">
        <f t="shared" si="215"/>
        <v>70</v>
      </c>
      <c r="F724" s="10">
        <f t="shared" si="216"/>
        <v>0</v>
      </c>
      <c r="G724" s="10">
        <f t="shared" si="217"/>
        <v>0</v>
      </c>
      <c r="H724" s="10">
        <f t="shared" si="200"/>
        <v>0</v>
      </c>
      <c r="I724" s="10">
        <f t="shared" si="201"/>
        <v>1</v>
      </c>
      <c r="J724" s="10">
        <f t="shared" si="202"/>
        <v>0</v>
      </c>
      <c r="K724" s="10">
        <f t="shared" si="203"/>
        <v>0</v>
      </c>
      <c r="L724" s="10">
        <f t="shared" si="204"/>
        <v>0</v>
      </c>
      <c r="M724" s="10">
        <f t="shared" si="205"/>
        <v>0</v>
      </c>
      <c r="N724" s="10">
        <f t="shared" si="206"/>
        <v>0</v>
      </c>
      <c r="O724" s="10">
        <f t="shared" si="207"/>
        <v>0</v>
      </c>
      <c r="P724" s="10">
        <f t="shared" si="208"/>
        <v>0</v>
      </c>
      <c r="Q724" s="10">
        <f t="shared" si="209"/>
        <v>0</v>
      </c>
      <c r="R724" s="10">
        <f t="shared" si="210"/>
        <v>0</v>
      </c>
      <c r="S724" s="10">
        <f t="shared" si="211"/>
        <v>0</v>
      </c>
      <c r="T724" s="10">
        <f t="shared" si="212"/>
        <v>0</v>
      </c>
      <c r="U724" s="10">
        <f t="shared" si="213"/>
        <v>0</v>
      </c>
      <c r="V724" s="10">
        <f t="shared" si="214"/>
        <v>0</v>
      </c>
    </row>
    <row r="725" spans="1:22" x14ac:dyDescent="0.2">
      <c r="A725" s="32"/>
      <c r="B725" s="33"/>
      <c r="C725" s="32"/>
      <c r="D725" s="32"/>
      <c r="E725" s="32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</row>
    <row r="726" spans="1:22" x14ac:dyDescent="0.2">
      <c r="A726" s="32"/>
      <c r="B726" s="33"/>
      <c r="C726" s="32"/>
      <c r="D726" s="32"/>
      <c r="E726" s="32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</row>
    <row r="727" spans="1:22" x14ac:dyDescent="0.2">
      <c r="A727" s="32"/>
      <c r="B727" s="33"/>
      <c r="C727" s="32"/>
      <c r="D727" s="32"/>
      <c r="E727" s="32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</row>
    <row r="728" spans="1:22" x14ac:dyDescent="0.2">
      <c r="A728" s="32"/>
      <c r="B728" s="33"/>
      <c r="C728" s="32"/>
      <c r="D728" s="32"/>
      <c r="E728" s="32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</row>
    <row r="729" spans="1:22" x14ac:dyDescent="0.2">
      <c r="A729" s="32"/>
      <c r="B729" s="33"/>
      <c r="C729" s="32"/>
      <c r="D729" s="32"/>
      <c r="E729" s="32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</row>
    <row r="730" spans="1:22" x14ac:dyDescent="0.2">
      <c r="A730" s="32"/>
      <c r="B730" s="33"/>
      <c r="C730" s="32"/>
      <c r="D730" s="32"/>
      <c r="E730" s="32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</row>
    <row r="731" spans="1:22" x14ac:dyDescent="0.2">
      <c r="A731" s="32"/>
      <c r="B731" s="33"/>
      <c r="C731" s="32"/>
      <c r="D731" s="32"/>
      <c r="E731" s="32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</row>
    <row r="732" spans="1:22" x14ac:dyDescent="0.2">
      <c r="A732" s="32"/>
      <c r="B732" s="33"/>
      <c r="C732" s="32"/>
      <c r="D732" s="32"/>
      <c r="E732" s="32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</row>
    <row r="733" spans="1:22" x14ac:dyDescent="0.2">
      <c r="A733" s="32"/>
      <c r="B733" s="33"/>
      <c r="C733" s="32"/>
      <c r="D733" s="32"/>
      <c r="E733" s="32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</row>
    <row r="734" spans="1:22" x14ac:dyDescent="0.2">
      <c r="A734" s="32"/>
      <c r="B734" s="33"/>
      <c r="C734" s="32"/>
      <c r="D734" s="32"/>
      <c r="E734" s="32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</row>
    <row r="735" spans="1:22" x14ac:dyDescent="0.2">
      <c r="A735" s="32"/>
      <c r="B735" s="33"/>
      <c r="C735" s="32"/>
      <c r="D735" s="32"/>
      <c r="E735" s="32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</row>
    <row r="736" spans="1:22" x14ac:dyDescent="0.2">
      <c r="A736" s="32"/>
      <c r="B736" s="33"/>
      <c r="C736" s="32"/>
      <c r="D736" s="32"/>
      <c r="E736" s="32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</row>
    <row r="737" spans="1:22" x14ac:dyDescent="0.2">
      <c r="A737" s="32"/>
      <c r="B737" s="33"/>
      <c r="C737" s="32"/>
      <c r="D737" s="32"/>
      <c r="E737" s="32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</row>
    <row r="738" spans="1:22" x14ac:dyDescent="0.2">
      <c r="A738" s="32"/>
      <c r="B738" s="33"/>
      <c r="C738" s="32"/>
      <c r="D738" s="32"/>
      <c r="E738" s="32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</row>
    <row r="739" spans="1:22" x14ac:dyDescent="0.2">
      <c r="A739" s="32"/>
      <c r="B739" s="33"/>
      <c r="C739" s="32"/>
      <c r="D739" s="32"/>
      <c r="E739" s="32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</row>
    <row r="740" spans="1:22" x14ac:dyDescent="0.2">
      <c r="A740" s="32"/>
      <c r="B740" s="33"/>
      <c r="C740" s="32"/>
      <c r="D740" s="32"/>
      <c r="E740" s="32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</row>
    <row r="741" spans="1:22" x14ac:dyDescent="0.2">
      <c r="A741" s="32"/>
      <c r="B741" s="33"/>
      <c r="C741" s="32"/>
      <c r="D741" s="32"/>
      <c r="E741" s="32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</row>
    <row r="742" spans="1:22" x14ac:dyDescent="0.2">
      <c r="A742" s="32"/>
      <c r="B742" s="33"/>
      <c r="C742" s="32"/>
      <c r="D742" s="32"/>
      <c r="E742" s="32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</row>
    <row r="743" spans="1:22" x14ac:dyDescent="0.2">
      <c r="A743" s="32"/>
      <c r="B743" s="33"/>
      <c r="C743" s="32"/>
      <c r="D743" s="32"/>
      <c r="E743" s="32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</row>
    <row r="744" spans="1:22" x14ac:dyDescent="0.2">
      <c r="A744" s="32"/>
      <c r="B744" s="33"/>
      <c r="C744" s="32"/>
      <c r="D744" s="32"/>
      <c r="E744" s="32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</row>
    <row r="745" spans="1:22" x14ac:dyDescent="0.2">
      <c r="A745" s="32"/>
      <c r="B745" s="33"/>
      <c r="C745" s="32"/>
      <c r="D745" s="32"/>
      <c r="E745" s="32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</row>
    <row r="746" spans="1:22" x14ac:dyDescent="0.2">
      <c r="A746" s="32"/>
      <c r="B746" s="33"/>
      <c r="C746" s="32"/>
      <c r="D746" s="32"/>
      <c r="E746" s="32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</row>
    <row r="747" spans="1:22" x14ac:dyDescent="0.2">
      <c r="A747" s="32"/>
      <c r="B747" s="33"/>
      <c r="C747" s="32"/>
      <c r="D747" s="32"/>
      <c r="E747" s="32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</row>
    <row r="748" spans="1:22" x14ac:dyDescent="0.2">
      <c r="A748" s="32"/>
      <c r="B748" s="33"/>
      <c r="C748" s="32"/>
      <c r="D748" s="32"/>
      <c r="E748" s="32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</row>
    <row r="749" spans="1:22" x14ac:dyDescent="0.2">
      <c r="B749" s="28"/>
    </row>
    <row r="750" spans="1:22" x14ac:dyDescent="0.2">
      <c r="B750" s="28"/>
    </row>
    <row r="751" spans="1:22" x14ac:dyDescent="0.2">
      <c r="B751" s="28"/>
    </row>
    <row r="752" spans="1:22" x14ac:dyDescent="0.2">
      <c r="B752" s="28"/>
    </row>
    <row r="753" spans="2:2" x14ac:dyDescent="0.2">
      <c r="B753" s="28"/>
    </row>
    <row r="754" spans="2:2" x14ac:dyDescent="0.2">
      <c r="B754" s="28"/>
    </row>
    <row r="755" spans="2:2" x14ac:dyDescent="0.2">
      <c r="B755" s="28"/>
    </row>
    <row r="756" spans="2:2" x14ac:dyDescent="0.2">
      <c r="B756" s="28"/>
    </row>
    <row r="757" spans="2:2" x14ac:dyDescent="0.2">
      <c r="B757" s="28"/>
    </row>
    <row r="758" spans="2:2" x14ac:dyDescent="0.2">
      <c r="B758" s="28"/>
    </row>
    <row r="759" spans="2:2" x14ac:dyDescent="0.2">
      <c r="B759" s="28"/>
    </row>
    <row r="760" spans="2:2" x14ac:dyDescent="0.2">
      <c r="B760" s="28"/>
    </row>
    <row r="761" spans="2:2" x14ac:dyDescent="0.2">
      <c r="B761" s="28"/>
    </row>
    <row r="762" spans="2:2" x14ac:dyDescent="0.2">
      <c r="B762" s="28"/>
    </row>
    <row r="763" spans="2:2" x14ac:dyDescent="0.2">
      <c r="B763" s="28"/>
    </row>
    <row r="764" spans="2:2" x14ac:dyDescent="0.2">
      <c r="B764" s="28"/>
    </row>
    <row r="765" spans="2:2" x14ac:dyDescent="0.2">
      <c r="B765" s="28"/>
    </row>
    <row r="766" spans="2:2" x14ac:dyDescent="0.2">
      <c r="B766" s="28"/>
    </row>
    <row r="767" spans="2:2" x14ac:dyDescent="0.2">
      <c r="B767" s="28"/>
    </row>
    <row r="768" spans="2:2" x14ac:dyDescent="0.2">
      <c r="B768" s="28"/>
    </row>
    <row r="769" spans="2:2" x14ac:dyDescent="0.2">
      <c r="B769" s="28"/>
    </row>
    <row r="770" spans="2:2" x14ac:dyDescent="0.2">
      <c r="B770" s="28"/>
    </row>
    <row r="771" spans="2:2" x14ac:dyDescent="0.2">
      <c r="B771" s="28"/>
    </row>
    <row r="772" spans="2:2" x14ac:dyDescent="0.2">
      <c r="B772" s="28"/>
    </row>
  </sheetData>
  <sheetProtection algorithmName="SHA-512" hashValue="IYYhtBDX6nBwOP9MHvLQC10KMtsOHFK14hhlqNGmsyfEX9naV5RSIuxTBpgRdCsf4hGt3yMYkeStN/1SCBDhDg==" saltValue="nxyTH4NY95xp7vSCt1uElw==" spinCount="100000" sheet="1" objects="1" scenarios="1"/>
  <mergeCells count="12">
    <mergeCell ref="A1:C2"/>
    <mergeCell ref="W4:Y5"/>
    <mergeCell ref="AA22:AB22"/>
    <mergeCell ref="Z23:AB23"/>
    <mergeCell ref="AE4:AF4"/>
    <mergeCell ref="E1:G1"/>
    <mergeCell ref="J1:L1"/>
    <mergeCell ref="X1:Y1"/>
    <mergeCell ref="X2:Y2"/>
    <mergeCell ref="Z4:AC4"/>
    <mergeCell ref="Z2:AC2"/>
    <mergeCell ref="D2:E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2300z</vt:lpstr>
      <vt:lpstr>2200z</vt:lpstr>
      <vt:lpstr>2100z</vt:lpstr>
      <vt:lpstr>2000z</vt:lpstr>
      <vt:lpstr>1900z</vt:lpstr>
      <vt:lpstr>1800z</vt:lpstr>
      <vt:lpstr>1700z</vt:lpstr>
      <vt:lpstr>1600z</vt:lpstr>
      <vt:lpstr>1500z</vt:lpstr>
      <vt:lpstr>1400z</vt:lpstr>
      <vt:lpstr>1300z</vt:lpstr>
      <vt:lpstr>1200z</vt:lpstr>
      <vt:lpstr>CL2</vt:lpstr>
      <vt:lpstr>1100z</vt:lpstr>
      <vt:lpstr>1000z</vt:lpstr>
      <vt:lpstr>0900z</vt:lpstr>
      <vt:lpstr>0800z</vt:lpstr>
      <vt:lpstr>0700z</vt:lpstr>
      <vt:lpstr>0600z</vt:lpstr>
      <vt:lpstr>0500z</vt:lpstr>
      <vt:lpstr>0400z</vt:lpstr>
      <vt:lpstr>0300z</vt:lpstr>
      <vt:lpstr>0200z</vt:lpstr>
      <vt:lpstr>0100z</vt:lpstr>
      <vt:lpstr>0000z</vt:lpstr>
      <vt:lpstr>Wind rose</vt:lpstr>
    </vt:vector>
  </TitlesOfParts>
  <Company>Grenada Airports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gmo</dc:creator>
  <cp:lastModifiedBy>Kendra Clarke</cp:lastModifiedBy>
  <cp:lastPrinted>2015-01-12T17:56:55Z</cp:lastPrinted>
  <dcterms:created xsi:type="dcterms:W3CDTF">2007-09-28T08:20:51Z</dcterms:created>
  <dcterms:modified xsi:type="dcterms:W3CDTF">2026-06-22T08:44:02Z</dcterms:modified>
</cp:coreProperties>
</file>